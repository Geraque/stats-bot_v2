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F94ABD71-5B2C-46B9-9E70-78A9607912F0}" xr6:coauthVersionLast="45" xr6:coauthVersionMax="47" xr10:uidLastSave="{00000000-0000-0000-0000-000000000000}"/>
  <bookViews>
    <workbookView xWindow="-120" yWindow="-120" windowWidth="29040" windowHeight="15720" firstSheet="8" activeTab="16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5" i="18" l="1"/>
  <c r="D55" i="18"/>
  <c r="B55" i="18"/>
  <c r="CQ2" i="18"/>
  <c r="CR2" i="18"/>
  <c r="CP2" i="18"/>
  <c r="CK5" i="18"/>
  <c r="CL5" i="18"/>
  <c r="CJ5" i="18"/>
  <c r="CK2" i="18"/>
  <c r="CL2" i="18"/>
  <c r="CJ2" i="18"/>
  <c r="DC5" i="18"/>
  <c r="DD5" i="18"/>
  <c r="DB5" i="18"/>
  <c r="DI2" i="18"/>
  <c r="DJ2" i="18"/>
  <c r="DH2" i="18"/>
  <c r="CW5" i="18"/>
  <c r="CX5" i="18"/>
  <c r="CV5" i="18"/>
  <c r="CW2" i="18"/>
  <c r="CX2" i="18"/>
  <c r="CV2" i="18"/>
  <c r="T4" i="19" l="1"/>
  <c r="L4" i="19"/>
  <c r="M4" i="19"/>
  <c r="N4" i="19"/>
  <c r="O4" i="19"/>
  <c r="U4" i="19"/>
  <c r="V4" i="19"/>
  <c r="W4" i="19"/>
  <c r="B19" i="19"/>
  <c r="DF5" i="18"/>
  <c r="DE5" i="18"/>
  <c r="DB5" i="16"/>
  <c r="B48" i="16"/>
  <c r="DI5" i="16" l="1"/>
  <c r="DH6" i="16" s="1"/>
  <c r="DJ5" i="16"/>
  <c r="DK5" i="16"/>
  <c r="DL5" i="16"/>
  <c r="DH5" i="16"/>
  <c r="CY5" i="18"/>
  <c r="CZ5" i="18"/>
  <c r="CQ5" i="18"/>
  <c r="CR5" i="18"/>
  <c r="CS5" i="18"/>
  <c r="CT5" i="18"/>
  <c r="CP5" i="18"/>
  <c r="CM5" i="18"/>
  <c r="CN5" i="18"/>
  <c r="H332" i="14"/>
  <c r="CV2" i="16" l="1"/>
  <c r="CJ2" i="16" l="1"/>
  <c r="DK2" i="18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9" i="19"/>
  <c r="D19" i="19"/>
  <c r="C19" i="19"/>
  <c r="BS48" i="16"/>
  <c r="BR48" i="16"/>
  <c r="BQ48" i="16"/>
  <c r="BP48" i="16"/>
  <c r="BO48" i="16"/>
  <c r="BN48" i="16"/>
  <c r="BM48" i="16"/>
  <c r="BL48" i="16"/>
  <c r="BK48" i="16"/>
  <c r="BJ48" i="16"/>
  <c r="BI48" i="16"/>
  <c r="BH48" i="16"/>
  <c r="BG48" i="16"/>
  <c r="BF48" i="16"/>
  <c r="BE48" i="16"/>
  <c r="BD48" i="16"/>
  <c r="BC48" i="16"/>
  <c r="BB48" i="16"/>
  <c r="BA48" i="16"/>
  <c r="AZ48" i="16"/>
  <c r="AY48" i="16"/>
  <c r="AX48" i="16"/>
  <c r="AW48" i="16"/>
  <c r="AV48" i="16"/>
  <c r="AU48" i="16"/>
  <c r="AT48" i="16"/>
  <c r="AS48" i="16"/>
  <c r="AR48" i="16"/>
  <c r="AQ48" i="16"/>
  <c r="AP48" i="16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CB55" i="18"/>
  <c r="CA55" i="18"/>
  <c r="BZ55" i="18"/>
  <c r="BY55" i="18"/>
  <c r="BX55" i="18"/>
  <c r="BW55" i="18"/>
  <c r="BV55" i="18"/>
  <c r="BU55" i="18"/>
  <c r="BT55" i="18"/>
  <c r="BS55" i="18"/>
  <c r="BR55" i="18"/>
  <c r="BQ55" i="18"/>
  <c r="BP55" i="18"/>
  <c r="BO55" i="18"/>
  <c r="BN55" i="18"/>
  <c r="BM55" i="18"/>
  <c r="BL55" i="18"/>
  <c r="BK55" i="18"/>
  <c r="BJ55" i="18"/>
  <c r="BI55" i="18"/>
  <c r="BH55" i="18"/>
  <c r="BG55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</calcChain>
</file>

<file path=xl/sharedStrings.xml><?xml version="1.0" encoding="utf-8"?>
<sst xmlns="http://schemas.openxmlformats.org/spreadsheetml/2006/main" count="2862" uniqueCount="1439">
  <si>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</si>
  <si>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</si>
  <si>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</si>
  <si>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</si>
  <si>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</si>
  <si>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</si>
  <si>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</si>
  <si>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</si>
  <si>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</si>
  <si>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</si>
  <si>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</si>
  <si>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</si>
  <si>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</si>
  <si>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</si>
  <si>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</si>
  <si>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</si>
  <si>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</si>
  <si>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</si>
  <si>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</si>
  <si>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</si>
  <si>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</si>
  <si>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</si>
  <si>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</si>
  <si>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</si>
  <si>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</si>
  <si>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</si>
  <si>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</si>
  <si>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</si>
  <si>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</si>
  <si>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</si>
  <si>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</si>
  <si>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</si>
  <si>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</si>
  <si>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</si>
  <si>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</si>
  <si>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</si>
  <si>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</si>
  <si>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</si>
  <si>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</si>
  <si>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</si>
  <si>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</si>
  <si>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</si>
  <si>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</si>
  <si>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</si>
  <si>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</si>
  <si>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</si>
  <si>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</si>
  <si>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</si>
  <si>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</si>
  <si>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</si>
  <si>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</si>
  <si>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</si>
  <si>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</si>
  <si>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</si>
  <si>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</si>
  <si>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</si>
  <si>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</si>
  <si>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</si>
  <si>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</si>
  <si>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</si>
  <si>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</si>
  <si>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</si>
  <si>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</si>
  <si>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</si>
  <si>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</si>
  <si>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</si>
  <si>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</si>
  <si>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</si>
  <si>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</si>
  <si>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</si>
  <si>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</si>
  <si>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</si>
  <si>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</si>
  <si>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</si>
  <si>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</si>
  <si>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</si>
  <si>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</si>
  <si>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</si>
  <si>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</si>
  <si>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</si>
  <si>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</si>
  <si>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</si>
  <si>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</si>
  <si>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</si>
  <si>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</si>
  <si>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</si>
  <si>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</si>
  <si>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</si>
  <si>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</si>
  <si>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</si>
  <si>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</si>
  <si>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</si>
  <si>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</si>
  <si>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</si>
  <si>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</si>
  <si>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</si>
  <si>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</si>
  <si>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</si>
  <si>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</si>
  <si>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</si>
  <si>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</si>
  <si>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</si>
  <si>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</si>
  <si>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</si>
  <si>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</si>
  <si>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</si>
  <si>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</si>
  <si>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</si>
  <si>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</si>
  <si>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</si>
  <si>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</si>
  <si>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</si>
  <si>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</si>
  <si>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</si>
  <si>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</si>
  <si>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</si>
  <si>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</si>
  <si>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</si>
  <si>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</si>
  <si>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</si>
  <si>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</si>
  <si>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</si>
  <si>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</si>
  <si>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</si>
  <si>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</si>
  <si>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</si>
  <si>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</si>
  <si>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</si>
  <si>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</si>
  <si>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</si>
  <si>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</si>
  <si>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</si>
  <si>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</si>
  <si>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</si>
  <si>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</si>
  <si>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</si>
  <si>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</si>
  <si>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</si>
  <si>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</si>
  <si>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</si>
  <si>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</si>
  <si>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</si>
  <si>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</si>
  <si>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</si>
  <si>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</si>
  <si>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</si>
  <si>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</si>
  <si>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</si>
  <si>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</si>
  <si>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</si>
  <si>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</si>
  <si>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</si>
  <si>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</si>
  <si>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</si>
  <si>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</si>
  <si>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</si>
  <si>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</si>
  <si>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</si>
  <si>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</si>
  <si>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</si>
  <si>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</si>
  <si>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</si>
  <si>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</si>
  <si>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</si>
  <si>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</si>
  <si>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</si>
  <si>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</si>
  <si>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</si>
  <si>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</si>
  <si>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</si>
  <si>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</si>
  <si>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</si>
  <si>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</si>
  <si>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</si>
  <si>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</si>
  <si>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</si>
  <si>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</si>
  <si>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</si>
  <si>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</si>
  <si>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</si>
  <si>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</si>
  <si>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</si>
  <si>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</si>
  <si>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</si>
  <si>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</si>
  <si>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</si>
  <si>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</si>
  <si>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</si>
  <si>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</si>
  <si>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</si>
  <si>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</si>
  <si>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</si>
  <si>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</si>
  <si>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</si>
  <si>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</si>
  <si>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</si>
  <si>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</si>
  <si>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</si>
  <si>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</si>
  <si>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</si>
  <si>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</si>
  <si>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</si>
  <si>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</si>
  <si>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</si>
  <si>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</si>
  <si>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</si>
  <si>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</si>
  <si>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</si>
  <si>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</si>
  <si>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</si>
  <si>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</si>
  <si>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</si>
  <si>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</si>
  <si>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</si>
  <si>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</si>
  <si>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</si>
  <si>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</si>
  <si>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</si>
  <si>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</si>
  <si>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</si>
  <si>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</si>
  <si>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</si>
  <si>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</si>
  <si>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</si>
  <si>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</si>
  <si>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</si>
  <si>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</si>
  <si>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</si>
  <si>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</si>
  <si>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</si>
  <si>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</si>
  <si>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</si>
  <si>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</si>
  <si>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</si>
  <si>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</si>
  <si>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</si>
  <si>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</si>
  <si>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</si>
  <si>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</si>
  <si>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</si>
  <si>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</si>
  <si>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</si>
  <si>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</si>
  <si>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</si>
  <si>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</si>
  <si>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</si>
  <si>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</si>
  <si>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</si>
  <si>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</si>
  <si>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</si>
  <si>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</si>
  <si>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</si>
  <si>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</si>
  <si>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</si>
  <si>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</si>
  <si>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</si>
  <si>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</si>
  <si>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</si>
  <si>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</si>
  <si>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</si>
  <si>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</si>
  <si>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</si>
  <si>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</si>
  <si>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</si>
  <si>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</si>
  <si>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</si>
  <si>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</si>
  <si>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</si>
  <si>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</si>
  <si>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</si>
  <si>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</si>
  <si>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</si>
  <si>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</si>
  <si>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</si>
  <si>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</si>
  <si>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</si>
  <si>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</si>
  <si>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</si>
  <si>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</si>
  <si>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</si>
  <si>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</si>
  <si>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</si>
  <si>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</si>
  <si>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</si>
  <si>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</si>
  <si>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</si>
  <si>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</si>
  <si>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</si>
  <si>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</si>
  <si>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</si>
  <si>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</si>
  <si>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</si>
  <si>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</si>
  <si>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</si>
  <si>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</si>
  <si>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</si>
  <si>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</si>
  <si>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</si>
  <si>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</si>
  <si>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</si>
  <si>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</si>
  <si>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</si>
  <si>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</si>
  <si>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</si>
  <si>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</si>
  <si>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</si>
  <si>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</si>
  <si>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</si>
  <si>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</si>
  <si>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</si>
  <si>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</si>
  <si>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</si>
  <si>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</si>
  <si>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</si>
  <si>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</si>
  <si>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</si>
  <si>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</si>
  <si>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</si>
  <si>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</si>
  <si>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</si>
  <si>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</si>
  <si>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</si>
  <si>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</si>
  <si>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</si>
  <si>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</si>
  <si>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</si>
  <si>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</si>
  <si>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</si>
  <si>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</si>
  <si>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</si>
  <si>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</si>
  <si>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</si>
  <si>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</si>
  <si>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</si>
  <si>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</si>
  <si>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</si>
  <si>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</si>
  <si>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</si>
  <si>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</si>
  <si>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</si>
  <si>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</si>
  <si>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</si>
  <si>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</si>
  <si>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</si>
  <si>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</si>
  <si>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</si>
  <si>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</si>
  <si>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</si>
  <si>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</si>
  <si>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</si>
  <si>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</si>
  <si>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</si>
  <si>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</si>
  <si>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</si>
  <si>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</si>
  <si>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</si>
  <si>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</si>
  <si>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</si>
  <si>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</si>
  <si>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</si>
  <si>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</si>
  <si>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</si>
  <si>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</si>
  <si>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</si>
  <si>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</si>
  <si>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</si>
  <si>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</si>
  <si>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</si>
  <si>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</si>
  <si>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</si>
  <si>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</si>
  <si>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</si>
  <si>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</si>
  <si>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</si>
  <si>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</si>
  <si>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</si>
  <si>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</si>
  <si>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</si>
  <si>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</si>
  <si>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</si>
  <si>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</si>
  <si>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</si>
  <si>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</si>
  <si>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</si>
  <si>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</si>
  <si>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</si>
  <si>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</si>
  <si>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</si>
  <si>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</si>
  <si>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</si>
  <si>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</si>
  <si>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</si>
  <si>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</si>
  <si>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</si>
  <si>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</si>
  <si>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</si>
  <si>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</si>
  <si>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</si>
  <si>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</si>
  <si>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</si>
  <si>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</si>
  <si>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</si>
  <si>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</si>
  <si>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</si>
  <si>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</si>
  <si>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</si>
  <si>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</si>
  <si>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</si>
  <si>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</si>
  <si>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</si>
  <si>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</si>
  <si>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</si>
  <si>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</si>
  <si>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</si>
  <si>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</si>
  <si>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</si>
  <si>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</si>
  <si>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</si>
  <si>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</si>
  <si>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</si>
  <si>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</si>
  <si>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</si>
  <si>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</si>
  <si>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</si>
  <si>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</si>
  <si>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</si>
  <si>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</si>
  <si>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</si>
  <si>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</si>
  <si>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</si>
  <si>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</si>
  <si>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</si>
  <si>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</si>
  <si>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</si>
  <si>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</si>
  <si>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</si>
  <si>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</si>
  <si>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</si>
  <si>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</si>
  <si>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</si>
  <si>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</si>
  <si>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</si>
  <si>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</si>
  <si>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</si>
  <si>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</si>
  <si>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</si>
  <si>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</si>
  <si>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</si>
  <si>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</si>
  <si>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</si>
  <si>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</si>
  <si>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</si>
  <si>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</si>
  <si>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</si>
  <si>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</si>
  <si>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</si>
  <si>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</si>
  <si>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</si>
  <si>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</si>
  <si>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</si>
  <si>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</si>
  <si>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</si>
  <si>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</si>
  <si>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</si>
  <si>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</si>
  <si>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</si>
  <si>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</si>
  <si>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</si>
  <si>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</si>
  <si>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</si>
  <si>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</si>
  <si>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</si>
  <si>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</si>
  <si>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</si>
  <si>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</si>
  <si>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</si>
  <si>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</si>
  <si>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</si>
  <si>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</si>
  <si>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</si>
  <si>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</si>
  <si>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</si>
  <si>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</si>
  <si>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</si>
  <si>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</si>
  <si>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</si>
  <si>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</si>
  <si>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</si>
  <si>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</si>
  <si>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</si>
  <si>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</si>
  <si>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</si>
  <si>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</si>
  <si>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</si>
  <si>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</si>
  <si>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</si>
  <si>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</si>
  <si>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</si>
  <si>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</si>
  <si>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</si>
  <si>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</si>
  <si>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</si>
  <si>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</si>
  <si>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</si>
  <si>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</si>
  <si>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</si>
  <si>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</si>
  <si>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</si>
  <si>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</si>
  <si>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</si>
  <si>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</si>
  <si>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</si>
  <si>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</si>
  <si>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</si>
  <si>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</si>
  <si>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</si>
  <si>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</si>
  <si>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</si>
  <si>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</si>
  <si>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</si>
  <si>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</si>
  <si>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</si>
  <si>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</si>
  <si>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</si>
  <si>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</si>
  <si>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</si>
  <si>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</si>
  <si>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</si>
  <si>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</si>
  <si>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</si>
  <si>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</si>
  <si>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</si>
  <si>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</si>
  <si>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</si>
  <si>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</si>
  <si>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</si>
  <si>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</si>
  <si>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</si>
  <si>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</si>
  <si>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</si>
  <si>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</si>
  <si>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</si>
  <si>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</si>
  <si>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</si>
  <si>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</si>
  <si>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</si>
  <si>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</si>
  <si>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</si>
  <si>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</si>
  <si>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</si>
  <si>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</si>
  <si>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</si>
  <si>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</si>
  <si>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</si>
  <si>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</si>
  <si>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</si>
  <si>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</si>
  <si>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</si>
  <si>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</si>
  <si>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</si>
  <si>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</si>
  <si>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</si>
  <si>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</si>
  <si>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</si>
  <si>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</si>
  <si>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</si>
  <si>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</si>
  <si>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</si>
  <si>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</si>
  <si>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</si>
  <si>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</si>
  <si>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</si>
  <si>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</si>
  <si>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</si>
  <si>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</si>
  <si>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</si>
  <si>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</si>
  <si>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</si>
  <si>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</si>
  <si>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</si>
  <si>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</si>
  <si>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</si>
  <si>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</si>
  <si>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</si>
  <si>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</si>
  <si>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</si>
  <si>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</si>
  <si>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</si>
  <si>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</si>
  <si>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</si>
  <si>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</si>
  <si>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</si>
  <si>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</si>
  <si>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</si>
  <si>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</si>
  <si>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</si>
  <si>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</si>
  <si>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</si>
  <si>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</si>
  <si>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</si>
  <si>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</si>
  <si>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</si>
  <si>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</si>
  <si>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</si>
  <si>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</si>
  <si>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</si>
  <si>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</si>
  <si>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</si>
  <si>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</si>
  <si>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</si>
  <si>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</si>
  <si>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</si>
  <si>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</si>
  <si>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</si>
  <si>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</si>
  <si>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</si>
  <si>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</si>
  <si>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</si>
  <si>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</si>
  <si>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</si>
  <si>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</si>
  <si>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</si>
  <si>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</si>
  <si>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</si>
  <si>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</si>
  <si>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</si>
  <si>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</si>
  <si>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</si>
  <si>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</si>
  <si>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</si>
  <si>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</si>
  <si>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</si>
  <si>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</si>
  <si>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</si>
  <si>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</si>
  <si>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</si>
  <si>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</si>
  <si>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</si>
  <si>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</si>
  <si>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</si>
  <si>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</si>
  <si>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</si>
  <si>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</si>
  <si>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</si>
  <si>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</si>
  <si>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</si>
  <si>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</si>
  <si>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</si>
  <si>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</si>
  <si>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</si>
  <si>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</si>
  <si>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</si>
  <si>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</si>
  <si>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</si>
  <si>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</si>
  <si>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</si>
  <si>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</si>
  <si>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</si>
  <si>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</si>
  <si>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</si>
  <si>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</si>
  <si>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</si>
  <si>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</si>
  <si>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</si>
  <si>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</si>
  <si>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</si>
  <si>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</si>
  <si>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</si>
  <si>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</si>
  <si>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</si>
  <si>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</si>
  <si>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</si>
  <si>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</si>
  <si>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</si>
  <si>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</si>
  <si>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</si>
  <si>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</si>
  <si>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</si>
  <si>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</si>
  <si>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</si>
  <si>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</si>
  <si>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</si>
  <si>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</si>
  <si>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</si>
  <si>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</si>
  <si>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</si>
  <si>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</si>
  <si>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</si>
  <si>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</si>
  <si>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</si>
  <si>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</si>
  <si>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</si>
  <si>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</si>
  <si>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</si>
  <si>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</si>
  <si>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</si>
  <si>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</si>
  <si>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</si>
  <si>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</si>
  <si>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</si>
  <si>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</si>
  <si>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</si>
  <si>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</si>
  <si>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</si>
  <si>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</si>
  <si>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</si>
  <si>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</si>
  <si>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</si>
  <si>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</si>
  <si>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</si>
  <si>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</si>
  <si>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</si>
  <si>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</si>
  <si>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</si>
  <si>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</si>
  <si>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</si>
  <si>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</si>
  <si>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</si>
  <si>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</si>
  <si>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</si>
  <si>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</si>
  <si>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</si>
  <si>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</si>
  <si>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</si>
  <si>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</si>
  <si>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</si>
  <si>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</si>
  <si>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</si>
  <si>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</si>
  <si>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</si>
  <si>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</si>
  <si>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</si>
  <si>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</si>
  <si>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</si>
  <si>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</si>
  <si>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</si>
  <si>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</si>
  <si>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</si>
  <si>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</si>
  <si>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</si>
  <si>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</si>
  <si>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</si>
  <si>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</si>
  <si>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</si>
  <si>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</si>
  <si>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</si>
  <si>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</si>
  <si>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</si>
  <si>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</si>
  <si>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</si>
  <si>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</si>
  <si>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</si>
  <si>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</si>
  <si>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</si>
  <si>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</si>
  <si>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</si>
  <si>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</si>
  <si>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</si>
  <si>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</si>
  <si>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</si>
  <si>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</si>
  <si>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</si>
  <si>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</si>
  <si>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</si>
  <si>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</si>
  <si>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</si>
  <si>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</si>
  <si>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</si>
  <si>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</si>
  <si>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</si>
  <si>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</si>
  <si>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</si>
  <si>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</si>
  <si>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</si>
  <si>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</si>
  <si>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</si>
  <si>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</si>
  <si>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</si>
  <si>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</si>
  <si>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</si>
  <si>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</si>
  <si>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</si>
  <si>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</si>
  <si>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</si>
  <si>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</si>
  <si>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</si>
  <si>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</si>
  <si>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</si>
  <si>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</si>
  <si>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</si>
  <si>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</si>
  <si>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</si>
  <si>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</si>
  <si>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</si>
  <si>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</si>
  <si>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</si>
  <si>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</si>
  <si>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</si>
  <si>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</si>
  <si>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</si>
  <si>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</si>
  <si>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</si>
  <si>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</si>
  <si>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</si>
  <si>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</si>
  <si>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</si>
  <si>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</si>
  <si>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</si>
  <si>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</si>
  <si>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</si>
  <si>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</si>
  <si>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</si>
  <si>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</si>
  <si>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</si>
  <si>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</si>
  <si>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</si>
  <si>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</si>
  <si>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</si>
  <si>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</si>
  <si>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</si>
  <si>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</si>
  <si>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</si>
  <si>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</si>
  <si>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</si>
  <si>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</si>
  <si>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</si>
  <si>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</si>
  <si>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</si>
  <si>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</si>
  <si>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</si>
  <si>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</si>
  <si>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</si>
  <si>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</si>
  <si>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</si>
  <si>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</si>
  <si>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</si>
  <si>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</si>
  <si>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</si>
  <si>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</si>
  <si>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</si>
  <si>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</si>
  <si>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</si>
  <si>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</si>
  <si>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</si>
  <si>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</si>
  <si>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</si>
  <si>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</si>
  <si>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</si>
  <si>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</si>
  <si>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</si>
  <si>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</si>
  <si>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</si>
  <si>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</si>
  <si>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</si>
  <si>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</si>
  <si>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</si>
  <si>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</si>
  <si>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</si>
  <si>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</si>
  <si>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</si>
  <si>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</si>
  <si>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</si>
  <si>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</si>
  <si>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</si>
  <si>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</si>
  <si>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</si>
  <si>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</si>
  <si>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</si>
  <si>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</si>
  <si>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</si>
  <si>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</si>
  <si>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</si>
  <si>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</si>
  <si>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</si>
  <si>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</si>
  <si>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</si>
  <si>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</si>
  <si>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</si>
  <si>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</si>
  <si>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</si>
  <si>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</si>
  <si>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</si>
  <si>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</si>
  <si>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</si>
  <si>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</si>
  <si>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</si>
  <si>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</si>
  <si>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</si>
  <si>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</si>
  <si>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</si>
  <si>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</si>
  <si>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</si>
  <si>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</si>
  <si>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</si>
  <si>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</si>
  <si>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</si>
  <si>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</si>
  <si>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</si>
  <si>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</si>
  <si>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</si>
  <si>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</si>
  <si>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</si>
  <si>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</si>
  <si>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</si>
  <si>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</si>
  <si>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</si>
  <si>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</si>
  <si>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</si>
  <si>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</si>
  <si>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</si>
  <si>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</si>
  <si>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</si>
  <si>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</si>
  <si>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</si>
  <si>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</si>
  <si>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</si>
  <si>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</si>
  <si>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</si>
  <si>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</si>
  <si>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</si>
  <si>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</si>
  <si>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</si>
  <si>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</si>
  <si>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</si>
  <si>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</si>
  <si>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</si>
  <si>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</si>
  <si>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</si>
  <si>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</si>
  <si>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</si>
  <si>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</si>
  <si>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</si>
  <si>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</si>
  <si>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</si>
  <si>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</si>
  <si>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</si>
  <si>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</si>
  <si>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</si>
  <si>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</si>
  <si>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</si>
  <si>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</si>
  <si>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</si>
  <si>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</si>
  <si>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</si>
  <si>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</si>
  <si>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</si>
  <si>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</si>
  <si>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</si>
  <si>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</si>
  <si>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</si>
  <si>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</si>
  <si>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</si>
  <si>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</si>
  <si>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</si>
  <si>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</si>
  <si>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</si>
  <si>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</si>
  <si>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</si>
  <si>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</si>
  <si>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</si>
  <si>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</si>
  <si>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</si>
  <si>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</si>
  <si>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</si>
  <si>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</si>
  <si>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</si>
  <si>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</si>
  <si>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</si>
  <si>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</si>
  <si>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</si>
  <si>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</si>
  <si>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</si>
  <si>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</si>
  <si>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</si>
  <si>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</si>
  <si>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</si>
  <si>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</si>
  <si>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</si>
  <si>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</si>
  <si>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</si>
  <si>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</si>
  <si>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</si>
  <si>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</si>
  <si>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</si>
  <si>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</si>
  <si>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</si>
  <si>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</si>
  <si>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</si>
  <si>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</si>
  <si>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</si>
  <si>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</si>
  <si>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</si>
  <si>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</si>
  <si>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</si>
  <si>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</si>
  <si>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</si>
  <si>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</si>
  <si>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</si>
  <si>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</si>
  <si>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</si>
  <si>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</si>
  <si>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</si>
  <si>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</si>
  <si>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</si>
  <si>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</si>
  <si>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</si>
  <si>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</si>
  <si>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</si>
  <si>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</si>
  <si>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</si>
  <si>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</si>
  <si>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</si>
  <si>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</si>
  <si>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</si>
  <si>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</si>
  <si>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</si>
  <si>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</si>
  <si>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</si>
  <si>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</si>
  <si>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</si>
  <si>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</si>
  <si>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</si>
  <si>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</si>
  <si>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</si>
  <si>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</si>
  <si>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</si>
  <si>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</si>
  <si>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</si>
  <si>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</si>
  <si>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</si>
  <si>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</si>
  <si>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</si>
  <si>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</si>
  <si>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</si>
  <si>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</si>
  <si>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</si>
  <si>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</si>
  <si>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</si>
  <si>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</si>
  <si>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</si>
  <si>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</si>
  <si>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</si>
  <si>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</si>
  <si>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</si>
  <si>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</si>
  <si>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</si>
  <si>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</si>
  <si>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</si>
  <si>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</si>
  <si>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</si>
  <si>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</si>
  <si>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</si>
  <si>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</si>
  <si>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</si>
  <si>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</si>
  <si>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</si>
  <si>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</si>
  <si>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</si>
  <si>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</si>
  <si>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</si>
  <si>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</si>
  <si>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</si>
  <si>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</si>
  <si>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</si>
  <si>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</si>
  <si>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</si>
  <si>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</si>
  <si>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</si>
  <si>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</si>
  <si>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</si>
  <si>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</si>
  <si>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</si>
  <si>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</si>
  <si>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</si>
  <si>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</si>
  <si>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</si>
  <si>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</si>
  <si>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</si>
  <si>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</si>
  <si>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</si>
  <si>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</si>
  <si>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</si>
  <si>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</si>
  <si>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</si>
  <si>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</si>
  <si>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</si>
  <si>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</si>
  <si>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</si>
  <si>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</si>
  <si>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</si>
  <si>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</si>
  <si>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</si>
  <si>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</si>
  <si>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</si>
  <si>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</si>
  <si>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</si>
  <si>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</si>
  <si>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</si>
  <si>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</si>
  <si>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</si>
  <si>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</si>
  <si>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</si>
  <si>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</si>
  <si>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</si>
  <si>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</si>
  <si>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</si>
  <si>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</si>
  <si>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</si>
  <si>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</si>
  <si>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</si>
  <si>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</si>
  <si>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</si>
  <si>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</si>
  <si>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</si>
  <si>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</si>
  <si>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</si>
  <si>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</si>
  <si>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</si>
  <si>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</si>
  <si>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</si>
  <si>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</si>
  <si>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</si>
  <si>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</si>
  <si>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</si>
  <si>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</si>
  <si>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</si>
  <si>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</si>
  <si>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</si>
  <si>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</si>
  <si>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</si>
  <si>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</si>
  <si>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</si>
  <si>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</si>
  <si>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</si>
  <si>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</si>
  <si>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</si>
  <si>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</si>
  <si>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</si>
  <si>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</si>
  <si>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</si>
  <si>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</si>
  <si>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</si>
  <si>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</si>
  <si>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</si>
  <si>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</si>
  <si>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</si>
  <si>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</si>
  <si>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</si>
  <si>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</si>
  <si>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</si>
  <si>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</si>
  <si>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</si>
  <si>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</si>
  <si>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</si>
  <si>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</si>
  <si>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</si>
  <si>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</si>
  <si>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</si>
  <si>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</si>
  <si>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</si>
  <si>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</si>
  <si>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</si>
  <si>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</si>
  <si>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</si>
  <si>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</si>
  <si>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</si>
  <si>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</si>
  <si>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</si>
  <si>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</si>
  <si>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</si>
  <si>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</si>
  <si>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</si>
  <si>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</si>
  <si>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</si>
  <si>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</si>
  <si>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</si>
  <si>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</si>
  <si>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</si>
  <si>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</si>
  <si>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</si>
  <si>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</si>
  <si>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</si>
  <si>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</si>
  <si>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</si>
  <si>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</si>
  <si>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</si>
  <si>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</si>
  <si>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</si>
  <si>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</si>
  <si>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</si>
  <si>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</si>
  <si>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</si>
  <si>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</si>
  <si>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</si>
  <si>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</si>
  <si>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</si>
  <si>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</si>
  <si>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</si>
  <si>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</si>
  <si>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</si>
  <si>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</si>
  <si>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</si>
  <si>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</si>
  <si>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</si>
  <si>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</si>
  <si>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</si>
  <si>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</si>
  <si>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</si>
  <si>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</si>
  <si>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</si>
  <si>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</si>
  <si>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</si>
  <si>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</si>
  <si>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</si>
  <si>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</si>
  <si>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</si>
  <si>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</si>
  <si>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</si>
  <si>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</si>
  <si>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</si>
  <si>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</si>
  <si>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</si>
  <si>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</si>
  <si>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</si>
  <si>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</si>
  <si>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</si>
  <si>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</si>
  <si>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</si>
  <si>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</si>
  <si>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</si>
  <si>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</si>
  <si>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</si>
  <si>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</si>
  <si>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</si>
  <si>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</si>
  <si>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</si>
  <si>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</si>
  <si>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</si>
  <si>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</si>
  <si>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</si>
  <si>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</si>
  <si>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</si>
  <si>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</si>
  <si>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</si>
  <si>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</si>
  <si>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</si>
  <si>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</si>
  <si>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</si>
  <si>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</si>
  <si>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</si>
  <si>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</si>
  <si>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</si>
  <si>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</si>
  <si>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</si>
  <si>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</si>
  <si>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</si>
  <si>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</si>
  <si>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</si>
  <si>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</si>
  <si>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</si>
  <si>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</si>
  <si>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</si>
  <si>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</si>
  <si>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</si>
  <si>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</si>
  <si>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</si>
  <si>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</si>
  <si>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</si>
  <si>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</si>
  <si>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</si>
  <si>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</si>
  <si>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</si>
  <si>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</si>
  <si>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</si>
  <si>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</si>
  <si>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</si>
  <si>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</si>
  <si>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</si>
  <si>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</si>
  <si>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</si>
  <si>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</si>
  <si>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</si>
  <si>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</si>
  <si>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</si>
  <si>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</si>
  <si>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</si>
  <si>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</si>
  <si>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</si>
  <si>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</si>
  <si>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</si>
  <si>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</si>
  <si>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</si>
  <si>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</si>
  <si>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</si>
  <si>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</si>
  <si>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</si>
  <si>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</si>
  <si>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</si>
  <si>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</si>
  <si>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</si>
  <si>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</si>
  <si>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</si>
  <si>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</si>
  <si>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</si>
  <si>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</si>
  <si>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</si>
  <si>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</si>
  <si>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</si>
  <si>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</si>
  <si>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</si>
  <si>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</si>
  <si>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</si>
  <si>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</si>
  <si>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</si>
  <si>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</si>
  <si>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</si>
  <si>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</si>
  <si>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</si>
  <si>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</si>
  <si>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</si>
  <si>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</si>
  <si>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</si>
  <si>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</si>
  <si>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</si>
  <si>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</si>
  <si>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</si>
  <si>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</si>
  <si>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</si>
  <si>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</si>
  <si>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</si>
  <si>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</si>
  <si>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</si>
  <si>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</si>
  <si>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</si>
  <si>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</si>
  <si>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</si>
  <si>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</si>
  <si>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</si>
  <si>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</si>
  <si>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</si>
  <si>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</si>
  <si>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</si>
  <si>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</si>
  <si>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</si>
  <si>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</si>
  <si>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</si>
  <si>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</si>
  <si>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</si>
  <si>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</si>
  <si>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</si>
  <si>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</si>
  <si>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</si>
  <si>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</si>
  <si>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</si>
  <si>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</si>
  <si>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</si>
  <si>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</si>
  <si>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</si>
  <si>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</si>
  <si>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</si>
  <si>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</si>
  <si>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</si>
  <si>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</si>
  <si>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</si>
  <si>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</si>
  <si>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</si>
  <si>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</si>
  <si>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</si>
  <si>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</si>
  <si>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</si>
  <si>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</si>
  <si>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</si>
  <si>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</si>
  <si>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</si>
  <si>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</si>
  <si>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</si>
  <si>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</si>
  <si>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</si>
  <si>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</si>
  <si>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</si>
  <si>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</si>
  <si>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</si>
  <si>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</si>
  <si>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</si>
  <si>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</si>
  <si>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</si>
  <si>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</si>
  <si>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</si>
  <si>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</si>
  <si>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INFERNO (2/2/0)</t>
  </si>
  <si>
    <t>30 map (vert)</t>
  </si>
  <si>
    <t>VERTIGO (2/1/0)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</si>
  <si>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</si>
  <si>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</si>
  <si>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</si>
  <si>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</si>
  <si>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</si>
  <si>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</si>
  <si>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</si>
  <si>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</si>
  <si>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</si>
  <si>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</si>
  <si>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</si>
  <si>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</si>
  <si>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</si>
  <si>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OFFICE (4/1/0)</t>
  </si>
  <si>
    <t>36 map (over)</t>
  </si>
  <si>
    <t>37 map (over)</t>
  </si>
  <si>
    <t>OVERPASS (4/1/1)</t>
  </si>
  <si>
    <t>16 map (dust)</t>
  </si>
  <si>
    <t>17 map (dust)</t>
  </si>
  <si>
    <t>20 map (mir)</t>
  </si>
  <si>
    <t>22 map (nuke)</t>
  </si>
  <si>
    <t>24 map (anc)</t>
  </si>
  <si>
    <t>9, 9, 7, 4, 9 lose</t>
  </si>
  <si>
    <t>10, 10, 10, 4, 4 lose</t>
  </si>
  <si>
    <t>10, 9, 7, 9, 10 lose</t>
  </si>
  <si>
    <t>14.03.2026</t>
  </si>
  <si>
    <t>27 map (anc)</t>
  </si>
  <si>
    <t>21.03.2026</t>
  </si>
  <si>
    <t>29 map (mir)</t>
  </si>
  <si>
    <t>30 map (inf)</t>
  </si>
  <si>
    <t>31 map (dust)</t>
  </si>
  <si>
    <t>32 map (nuke)</t>
  </si>
  <si>
    <t>33 map (anu)</t>
  </si>
  <si>
    <t>ANUBIS (0/0/1)</t>
  </si>
  <si>
    <t>9, 6, 8, 7, 6 win</t>
  </si>
  <si>
    <t>28.03.2026</t>
  </si>
  <si>
    <t>34 map (nuke)</t>
  </si>
  <si>
    <t>OVERPASS (0/2/0)</t>
  </si>
  <si>
    <t>29.03.2026</t>
  </si>
  <si>
    <t>NUKE (4/2/0)</t>
  </si>
  <si>
    <t>40 map (anc)</t>
  </si>
  <si>
    <t>ANCIENT (3/1/0)</t>
  </si>
  <si>
    <t>DUST (5/7/0)</t>
  </si>
  <si>
    <t>42 map (inf)</t>
  </si>
  <si>
    <t>MIRAGE (5/7/0)</t>
  </si>
  <si>
    <t>INFERNO (5/2/0)</t>
  </si>
  <si>
    <t>43 map (mir)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</si>
</sst>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403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352" t="s">
        <v>0</v>
      </c>
      <c r="C1" s="5353"/>
      <c r="D1" s="5354" t="s">
        <v>1</v>
      </c>
      <c r="E1" s="5353"/>
      <c r="F1" s="5355" t="s">
        <v>177</v>
      </c>
      <c r="G1" s="5353"/>
      <c r="H1" s="5352" t="s">
        <v>174</v>
      </c>
      <c r="I1" s="5353"/>
      <c r="J1" s="5354" t="s">
        <v>175</v>
      </c>
      <c r="K1" s="5353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356" t="str">
        <f>"Mirage"&amp;" "&amp;H5/SUM(H5:I5)*100</f>
        <v>Mirage 25</v>
      </c>
      <c r="I3" s="5357"/>
      <c r="J3" s="5356" t="str">
        <f>"Inferno"&amp;" "&amp;ROUND(J5/SUM(J5:K5)*100,0)</f>
        <v>Inferno 40</v>
      </c>
      <c r="K3" s="5357"/>
      <c r="L3" s="5356" t="str">
        <f>"Overpass"&amp;" "&amp;ROUND(L5/SUM(L5:M5)*100,0)</f>
        <v>Overpass 67</v>
      </c>
      <c r="M3" s="5357"/>
      <c r="N3" s="5356" t="str">
        <f>"Vertigo"&amp;" "&amp;ROUND(N5/SUM(N5:O5)*100,0)</f>
        <v>Vertigo 80</v>
      </c>
      <c r="O3" s="5357"/>
      <c r="P3" s="5356" t="str">
        <f>"Ancient"&amp;" "&amp;ROUND(P5/SUM(P5:Q5)*100,0)</f>
        <v>Ancient 50</v>
      </c>
      <c r="Q3" s="5357"/>
      <c r="R3" s="5356" t="str">
        <f>"Anubis"&amp;" "&amp;ROUND(R5/SUM(R5:S5)*100,0)</f>
        <v>Anubis 67</v>
      </c>
      <c r="S3" s="5357"/>
      <c r="T3" s="5356" t="str">
        <f>"Dust II"&amp;" "&amp;ROUND(T5/SUM(T5:U5)*100,0)</f>
        <v>Dust II 100</v>
      </c>
      <c r="U3" s="5357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356" t="s">
        <v>206</v>
      </c>
      <c r="I7" s="5357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356" t="s">
        <v>373</v>
      </c>
      <c r="G3" s="5357"/>
      <c r="H3" s="5357"/>
      <c r="I3" s="5356" t="s">
        <v>374</v>
      </c>
      <c r="J3" s="5357"/>
      <c r="K3" s="5357"/>
      <c r="L3" s="5356" t="s">
        <v>375</v>
      </c>
      <c r="M3" s="5357"/>
      <c r="N3" s="5357"/>
      <c r="O3" s="5356" t="s">
        <v>376</v>
      </c>
      <c r="P3" s="5357"/>
      <c r="Q3" s="5357"/>
      <c r="R3" s="5356" t="s">
        <v>377</v>
      </c>
      <c r="S3" s="5357"/>
      <c r="T3" s="5356" t="s">
        <v>378</v>
      </c>
      <c r="U3" s="5357"/>
      <c r="V3" s="5356" t="s">
        <v>379</v>
      </c>
      <c r="W3" s="5357"/>
      <c r="X3" s="5357"/>
      <c r="Y3" s="5356" t="s">
        <v>380</v>
      </c>
      <c r="Z3" s="5357"/>
      <c r="AA3" s="5357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352" t="s">
        <v>641</v>
      </c>
      <c r="B1" s="5361"/>
      <c r="C1" s="5361"/>
      <c r="D1" s="5353"/>
      <c r="E1" s="5354" t="s">
        <v>642</v>
      </c>
      <c r="F1" s="5361"/>
      <c r="G1" s="5361"/>
      <c r="H1" s="5361"/>
      <c r="I1" s="5361"/>
      <c r="J1" s="5353"/>
      <c r="K1" s="5355" t="s">
        <v>643</v>
      </c>
      <c r="L1" s="5361"/>
      <c r="M1" s="5361"/>
      <c r="N1" s="5353"/>
      <c r="O1" s="5362" t="s">
        <v>644</v>
      </c>
      <c r="P1" s="5363"/>
      <c r="Q1" s="5363"/>
      <c r="R1" s="5363"/>
      <c r="S1" s="5364"/>
      <c r="T1" s="5365" t="s">
        <v>645</v>
      </c>
      <c r="U1" s="5366"/>
      <c r="V1" s="5366"/>
      <c r="W1" s="5366"/>
      <c r="X1" s="5367"/>
      <c r="Y1" s="5368" t="s">
        <v>646</v>
      </c>
      <c r="Z1" s="5369"/>
      <c r="AA1" s="5369"/>
      <c r="AB1" s="5370"/>
      <c r="AC1" s="5371" t="s">
        <v>647</v>
      </c>
      <c r="AD1" s="5361"/>
      <c r="AE1" s="5361"/>
      <c r="AF1" s="5361"/>
      <c r="AG1" s="5353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356" t="s">
        <v>651</v>
      </c>
      <c r="B8" s="5357"/>
      <c r="C8" s="5357"/>
      <c r="D8" s="5357"/>
      <c r="E8" s="5357"/>
      <c r="F8" s="5357"/>
      <c r="G8" s="5357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358" t="s">
        <v>710</v>
      </c>
      <c r="C20" s="5359"/>
      <c r="D20" s="5359"/>
      <c r="E20" s="5359"/>
      <c r="F20" s="5359"/>
      <c r="G20" s="5359"/>
      <c r="H20" s="5360"/>
    </row>
    <row r="21" spans="1:13" ht="15.75" customHeight="1" x14ac:dyDescent="0.25"/>
    <row r="22" spans="1:13" ht="15.75" customHeight="1" x14ac:dyDescent="0.25">
      <c r="A22" s="5358" t="s">
        <v>711</v>
      </c>
      <c r="B22" s="5359"/>
      <c r="C22" s="5360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376" t="s">
        <v>1293</v>
      </c>
      <c r="I3" s="5377"/>
      <c r="J3" s="5377"/>
      <c r="K3" s="5377"/>
      <c r="L3" s="5374" t="s">
        <v>1322</v>
      </c>
      <c r="M3" s="5378"/>
      <c r="N3" s="5378"/>
      <c r="O3" s="5378"/>
      <c r="P3" s="5375" t="s">
        <v>944</v>
      </c>
      <c r="Q3" s="5379"/>
      <c r="R3" s="5379"/>
      <c r="S3" s="5379"/>
      <c r="T3" s="5380" t="s">
        <v>941</v>
      </c>
      <c r="U3" s="5357"/>
      <c r="V3" s="5357"/>
      <c r="W3" s="5357"/>
      <c r="X3" s="5381" t="s">
        <v>1324</v>
      </c>
      <c r="Y3" s="5357"/>
      <c r="Z3" s="5357"/>
      <c r="AA3" s="5357"/>
      <c r="AB3" s="5373" t="s">
        <v>1289</v>
      </c>
      <c r="AC3" s="5357"/>
      <c r="AD3" s="5357"/>
      <c r="AE3" s="5357"/>
      <c r="AF3" s="5375" t="s">
        <v>1029</v>
      </c>
      <c r="AG3" s="5375"/>
      <c r="AH3" s="5375"/>
      <c r="AI3" s="5375"/>
      <c r="AJ3" s="5375" t="s">
        <v>1030</v>
      </c>
      <c r="AK3" s="5375"/>
      <c r="AL3" s="5375"/>
      <c r="AM3" s="5375"/>
      <c r="AN3" s="5374" t="s">
        <v>1231</v>
      </c>
      <c r="AO3" s="5374"/>
      <c r="AP3" s="5374"/>
      <c r="AQ3" s="5374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372">
        <f>AVERAGE(H4:I4)</f>
        <v>1.0193362533692722</v>
      </c>
      <c r="I5" s="5372"/>
      <c r="J5" s="5372"/>
      <c r="K5" s="5372"/>
      <c r="L5" s="5372">
        <f>AVERAGE(L4:M4)</f>
        <v>1.0659129143988122</v>
      </c>
      <c r="M5" s="5372"/>
      <c r="N5" s="5372"/>
      <c r="O5" s="5372"/>
      <c r="P5" s="5372">
        <f>AVERAGE(P4:Q4)</f>
        <v>0.92159926470588238</v>
      </c>
      <c r="Q5" s="5372"/>
      <c r="R5" s="5372"/>
      <c r="S5" s="5372"/>
      <c r="T5" s="5372">
        <f>AVERAGE(T4:U4)</f>
        <v>1.1372058823529412</v>
      </c>
      <c r="U5" s="5372"/>
      <c r="V5" s="5372"/>
      <c r="W5" s="5372"/>
      <c r="X5" s="5372">
        <f>AVERAGE(X4:Y4)</f>
        <v>1.1944506048387096</v>
      </c>
      <c r="Y5" s="5372"/>
      <c r="Z5" s="5372"/>
      <c r="AA5" s="5372"/>
      <c r="AB5" s="5372">
        <f>AVERAGE(AB4:AC4)</f>
        <v>1.0036596218020022</v>
      </c>
      <c r="AC5" s="5372"/>
      <c r="AD5" s="5372"/>
      <c r="AE5" s="5372"/>
      <c r="AF5" s="5372">
        <f>AVERAGE(AF4:AG4)</f>
        <v>0.74166666666666659</v>
      </c>
      <c r="AG5" s="5372"/>
      <c r="AH5" s="5372"/>
      <c r="AI5" s="5372"/>
      <c r="AJ5" s="5372">
        <f>AVERAGE(AJ4:AK4)</f>
        <v>0.75</v>
      </c>
      <c r="AK5" s="5372"/>
      <c r="AL5" s="5372"/>
      <c r="AM5" s="5372"/>
      <c r="AN5" s="5372">
        <f>AVERAGE(AN4:AO4)</f>
        <v>1.4249999999999998</v>
      </c>
      <c r="AO5" s="5372"/>
      <c r="AP5" s="5372"/>
      <c r="AQ5" s="5372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384" t="s">
        <v>1340</v>
      </c>
      <c r="CK1" s="5384"/>
      <c r="CL1" s="5384"/>
      <c r="CM1" s="5384"/>
      <c r="CN1" s="5384"/>
      <c r="CO1" s="5384"/>
      <c r="CP1" s="5380" t="s">
        <v>1332</v>
      </c>
      <c r="CQ1" s="5380"/>
      <c r="CR1" s="5380"/>
      <c r="CS1" s="5380"/>
      <c r="CT1" s="5380"/>
      <c r="CU1" s="5380"/>
      <c r="CV1" s="5373" t="s">
        <v>1306</v>
      </c>
      <c r="CW1" s="5373"/>
      <c r="CX1" s="5373"/>
      <c r="CY1" s="5373"/>
      <c r="CZ1" s="5373"/>
      <c r="DA1" s="5373"/>
      <c r="DB1" s="5383" t="s">
        <v>1272</v>
      </c>
      <c r="DC1" s="5383"/>
      <c r="DD1" s="5383"/>
      <c r="DE1" s="5383"/>
      <c r="DF1" s="5383"/>
      <c r="DG1" s="5383"/>
      <c r="DH1" s="5373" t="s">
        <v>1333</v>
      </c>
      <c r="DI1" s="5373"/>
      <c r="DJ1" s="5373"/>
      <c r="DK1" s="5373"/>
      <c r="DL1" s="5373"/>
      <c r="DM1" s="5373"/>
      <c r="DN1" s="5380" t="s">
        <v>997</v>
      </c>
      <c r="DO1" s="5380"/>
      <c r="DP1" s="5380"/>
      <c r="DQ1" s="5380"/>
      <c r="DR1" s="5380"/>
      <c r="DS1" s="5380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356">
        <f>_xlfn.AGGREGATE(1,6,CJ2:CO2)</f>
        <v>1.0302314814814812</v>
      </c>
      <c r="CK3" s="5356"/>
      <c r="CL3" s="5356"/>
      <c r="CM3" s="5356"/>
      <c r="CN3" s="5356"/>
      <c r="CO3" s="5356"/>
      <c r="CP3" s="5356">
        <f t="shared" ref="CP3" si="6">_xlfn.AGGREGATE(1,6,CP2:CU2)</f>
        <v>1.1007646356033451</v>
      </c>
      <c r="CQ3" s="5356"/>
      <c r="CR3" s="5356"/>
      <c r="CS3" s="5356"/>
      <c r="CT3" s="5356"/>
      <c r="CU3" s="5356"/>
      <c r="CV3" s="5356">
        <f t="shared" ref="CV3" si="7">_xlfn.AGGREGATE(1,6,CV2:DA2)</f>
        <v>1.0716666666666665</v>
      </c>
      <c r="CW3" s="5356"/>
      <c r="CX3" s="5356"/>
      <c r="CY3" s="5356"/>
      <c r="CZ3" s="5356"/>
      <c r="DA3" s="5356"/>
      <c r="DB3" s="5356">
        <f t="shared" ref="DB3" si="8">_xlfn.AGGREGATE(1,6,DB2:DG2)</f>
        <v>1.1828888888888889</v>
      </c>
      <c r="DC3" s="5356"/>
      <c r="DD3" s="5356"/>
      <c r="DE3" s="5356"/>
      <c r="DF3" s="5356"/>
      <c r="DG3" s="5356"/>
      <c r="DH3" s="5356">
        <f t="shared" ref="DH3" si="9">_xlfn.AGGREGATE(1,6,DH2:DM2)</f>
        <v>1.1250000000000002</v>
      </c>
      <c r="DI3" s="5356"/>
      <c r="DJ3" s="5356"/>
      <c r="DK3" s="5356"/>
      <c r="DL3" s="5356"/>
      <c r="DM3" s="5356"/>
      <c r="DN3" s="5356" t="e">
        <f t="shared" ref="DN3" si="10">_xlfn.AGGREGATE(1,6,DN2:DS2)</f>
        <v>#DIV/0!</v>
      </c>
      <c r="DO3" s="5356"/>
      <c r="DP3" s="5356"/>
      <c r="DQ3" s="5356"/>
      <c r="DR3" s="5356"/>
      <c r="DS3" s="5356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373" t="s">
        <v>1303</v>
      </c>
      <c r="CK4" s="5373"/>
      <c r="CL4" s="5373"/>
      <c r="CM4" s="5373"/>
      <c r="CN4" s="5373"/>
      <c r="CO4" s="5373"/>
      <c r="CP4" s="5382" t="s">
        <v>993</v>
      </c>
      <c r="CQ4" s="5382"/>
      <c r="CR4" s="5382"/>
      <c r="CS4" s="5382"/>
      <c r="CT4" s="5382"/>
      <c r="CU4" s="5382"/>
      <c r="CV4" s="5380" t="s">
        <v>994</v>
      </c>
      <c r="CW4" s="5380"/>
      <c r="CX4" s="5380"/>
      <c r="CY4" s="5380"/>
      <c r="CZ4" s="5380"/>
      <c r="DA4" s="5380"/>
      <c r="DB4" s="5373" t="s">
        <v>995</v>
      </c>
      <c r="DC4" s="5373"/>
      <c r="DD4" s="5373"/>
      <c r="DE4" s="5373"/>
      <c r="DF4" s="5373"/>
      <c r="DG4" s="5373"/>
      <c r="DH4" s="5380" t="s">
        <v>996</v>
      </c>
      <c r="DI4" s="5380"/>
      <c r="DJ4" s="5380"/>
      <c r="DK4" s="5380"/>
      <c r="DL4" s="5380"/>
      <c r="DM4" s="5380"/>
      <c r="DN4" s="5383" t="s">
        <v>1308</v>
      </c>
      <c r="DO4" s="5383"/>
      <c r="DP4" s="5383"/>
      <c r="DQ4" s="5383"/>
      <c r="DR4" s="5383"/>
      <c r="DS4" s="5383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356">
        <f>_xlfn.AGGREGATE(1,6,CJ5:CO5)</f>
        <v>1.098888888888889</v>
      </c>
      <c r="CK6" s="5356"/>
      <c r="CL6" s="5356"/>
      <c r="CM6" s="5356"/>
      <c r="CN6" s="5356"/>
      <c r="CO6" s="5356"/>
      <c r="CP6" s="5356" t="e">
        <f t="shared" ref="CP6" si="17">_xlfn.AGGREGATE(1,6,CP5:CU5)</f>
        <v>#DIV/0!</v>
      </c>
      <c r="CQ6" s="5356"/>
      <c r="CR6" s="5356"/>
      <c r="CS6" s="5356"/>
      <c r="CT6" s="5356"/>
      <c r="CU6" s="5356"/>
      <c r="CV6" s="5356" t="e">
        <f t="shared" ref="CV6" si="18">_xlfn.AGGREGATE(1,6,CV5:DA5)</f>
        <v>#DIV/0!</v>
      </c>
      <c r="CW6" s="5356"/>
      <c r="CX6" s="5356"/>
      <c r="CY6" s="5356"/>
      <c r="CZ6" s="5356"/>
      <c r="DA6" s="5356"/>
      <c r="DB6" s="5356">
        <f t="shared" ref="DB6" si="19">_xlfn.AGGREGATE(1,6,DB5:DG5)</f>
        <v>1.0416666666666667</v>
      </c>
      <c r="DC6" s="5356"/>
      <c r="DD6" s="5356"/>
      <c r="DE6" s="5356"/>
      <c r="DF6" s="5356"/>
      <c r="DG6" s="5356"/>
      <c r="DH6" s="5356" t="e">
        <f t="shared" ref="DH6" si="20">_xlfn.AGGREGATE(1,6,DH5:DM5)</f>
        <v>#DIV/0!</v>
      </c>
      <c r="DI6" s="5356"/>
      <c r="DJ6" s="5356"/>
      <c r="DK6" s="5356"/>
      <c r="DL6" s="5356"/>
      <c r="DM6" s="5356"/>
      <c r="DN6" s="5356">
        <f t="shared" ref="DN6" si="21">_xlfn.AGGREGATE(1,6,DN5:DS5)</f>
        <v>1.0967878787878786</v>
      </c>
      <c r="DO6" s="5356"/>
      <c r="DP6" s="5356"/>
      <c r="DQ6" s="5356"/>
      <c r="DR6" s="5356"/>
      <c r="DS6" s="5356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396" t="s">
        <v>1326</v>
      </c>
      <c r="CK1" s="5392"/>
      <c r="CL1" s="5392"/>
      <c r="CM1" s="5392"/>
      <c r="CN1" s="5392"/>
      <c r="CO1" s="5393"/>
      <c r="CP1" s="5395" t="s">
        <v>1338</v>
      </c>
      <c r="CQ1" s="5389"/>
      <c r="CR1" s="5389"/>
      <c r="CS1" s="5389"/>
      <c r="CT1" s="5389"/>
      <c r="CU1" s="5390"/>
      <c r="CV1" s="5396" t="s">
        <v>1313</v>
      </c>
      <c r="CW1" s="5392"/>
      <c r="CX1" s="5392"/>
      <c r="CY1" s="5392"/>
      <c r="CZ1" s="5392"/>
      <c r="DA1" s="5393"/>
      <c r="DB1" s="5397" t="s">
        <v>1336</v>
      </c>
      <c r="DC1" s="5392"/>
      <c r="DD1" s="5392"/>
      <c r="DE1" s="5392"/>
      <c r="DF1" s="5392"/>
      <c r="DG1" s="5393"/>
      <c r="DH1" s="5398" t="s">
        <v>1282</v>
      </c>
      <c r="DI1" s="5399"/>
      <c r="DJ1" s="5399"/>
      <c r="DK1" s="5399"/>
      <c r="DL1" s="5399"/>
      <c r="DM1" s="5400"/>
      <c r="DN1" s="5395" t="s">
        <v>991</v>
      </c>
      <c r="DO1" s="5389"/>
      <c r="DP1" s="5389"/>
      <c r="DQ1" s="5389"/>
      <c r="DR1" s="5389"/>
      <c r="DS1" s="5390"/>
      <c r="DT1" s="5395" t="s">
        <v>992</v>
      </c>
      <c r="DU1" s="5389"/>
      <c r="DV1" s="5389"/>
      <c r="DW1" s="5389"/>
      <c r="DX1" s="5389"/>
      <c r="DY1" s="5390"/>
      <c r="DZ1" s="5385" t="s">
        <v>1121</v>
      </c>
      <c r="EA1" s="5386"/>
      <c r="EB1" s="5386"/>
      <c r="EC1" s="5386"/>
      <c r="ED1" s="5386"/>
      <c r="EE1" s="5387"/>
      <c r="EF1" s="5385" t="s">
        <v>1178</v>
      </c>
      <c r="EG1" s="5386"/>
      <c r="EH1" s="5386"/>
      <c r="EI1" s="5386"/>
      <c r="EJ1" s="5386"/>
      <c r="EK1" s="5387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356">
        <f>_xlfn.AGGREGATE(1,3,CJ2:CL2)</f>
        <v>1.2020329670329672</v>
      </c>
      <c r="CK3" s="5357"/>
      <c r="CL3" s="5357"/>
      <c r="CM3" s="5357"/>
      <c r="CN3" s="5357"/>
      <c r="CO3" s="5357"/>
      <c r="CP3" s="5356">
        <f>_xlfn.AGGREGATE(1,3,CP2:CR2)</f>
        <v>1.1494795008912657</v>
      </c>
      <c r="CQ3" s="5357"/>
      <c r="CR3" s="5357"/>
      <c r="CS3" s="5357"/>
      <c r="CT3" s="5357"/>
      <c r="CU3" s="5357"/>
      <c r="CV3" s="5356">
        <f>_xlfn.AGGREGATE(1,3,CV2:CX2)</f>
        <v>1.0901058201058202</v>
      </c>
      <c r="CW3" s="5357"/>
      <c r="CX3" s="5357"/>
      <c r="CY3" s="5357"/>
      <c r="CZ3" s="5357"/>
      <c r="DA3" s="5357"/>
      <c r="DB3" s="5356">
        <f>_xlfn.AGGREGATE(1,3,DB2:DD2)</f>
        <v>1.2281853623958889</v>
      </c>
      <c r="DC3" s="5357"/>
      <c r="DD3" s="5357"/>
      <c r="DE3" s="5357"/>
      <c r="DF3" s="5357"/>
      <c r="DG3" s="5357"/>
      <c r="DH3" s="5356">
        <f>_xlfn.AGGREGATE(1,3,DH2:DJ2)</f>
        <v>1.0894419306184009</v>
      </c>
      <c r="DI3" s="5357"/>
      <c r="DJ3" s="5357"/>
      <c r="DK3" s="5357"/>
      <c r="DL3" s="5357"/>
      <c r="DM3" s="5357"/>
      <c r="DN3" s="5356">
        <f t="shared" ref="DN3" si="9">_xlfn.AGGREGATE(1,6,DN2:DS2)</f>
        <v>1.2135555555555557</v>
      </c>
      <c r="DO3" s="5357"/>
      <c r="DP3" s="5357"/>
      <c r="DQ3" s="5357"/>
      <c r="DR3" s="5357"/>
      <c r="DS3" s="5357"/>
      <c r="DT3" s="5356">
        <f>_xlfn.AGGREGATE(1,3,DT2:DV2)</f>
        <v>1.355</v>
      </c>
      <c r="DU3" s="5357"/>
      <c r="DV3" s="5357"/>
      <c r="DW3" s="5357"/>
      <c r="DX3" s="5357"/>
      <c r="DY3" s="5357"/>
      <c r="DZ3" s="5356">
        <f>_xlfn.AGGREGATE(1,3,DZ2:EB2)</f>
        <v>1.0728333333333335</v>
      </c>
      <c r="EA3" s="5357"/>
      <c r="EB3" s="5357"/>
      <c r="EC3" s="5357"/>
      <c r="ED3" s="5357"/>
      <c r="EE3" s="5357"/>
      <c r="EF3" s="5356">
        <f>_xlfn.AGGREGATE(1,3,EF2:EH2)</f>
        <v>0.94666666666666666</v>
      </c>
      <c r="EG3" s="5357"/>
      <c r="EH3" s="5357"/>
      <c r="EI3" s="5357"/>
      <c r="EJ3" s="5357"/>
      <c r="EK3" s="5357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388" t="s">
        <v>1330</v>
      </c>
      <c r="CK4" s="5389"/>
      <c r="CL4" s="5389"/>
      <c r="CM4" s="5389"/>
      <c r="CN4" s="5389"/>
      <c r="CO4" s="5390"/>
      <c r="CP4" s="5391" t="s">
        <v>1311</v>
      </c>
      <c r="CQ4" s="5392"/>
      <c r="CR4" s="5392"/>
      <c r="CS4" s="5392"/>
      <c r="CT4" s="5392"/>
      <c r="CU4" s="5393"/>
      <c r="CV4" s="5394" t="s">
        <v>1316</v>
      </c>
      <c r="CW4" s="5389"/>
      <c r="CX4" s="5389"/>
      <c r="CY4" s="5389"/>
      <c r="CZ4" s="5389"/>
      <c r="DA4" s="5390"/>
      <c r="DB4" s="5391" t="s">
        <v>1280</v>
      </c>
      <c r="DC4" s="5392"/>
      <c r="DD4" s="5392"/>
      <c r="DE4" s="5392"/>
      <c r="DF4" s="5392"/>
      <c r="DG4" s="5393"/>
      <c r="DH4" s="5395" t="s">
        <v>946</v>
      </c>
      <c r="DI4" s="5389"/>
      <c r="DJ4" s="5389"/>
      <c r="DK4" s="5389"/>
      <c r="DL4" s="5389"/>
      <c r="DM4" s="5390"/>
      <c r="DN4" s="5385" t="s">
        <v>1191</v>
      </c>
      <c r="DO4" s="5386"/>
      <c r="DP4" s="5386"/>
      <c r="DQ4" s="5386"/>
      <c r="DR4" s="5386"/>
      <c r="DS4" s="5387"/>
      <c r="DT4" s="5395" t="s">
        <v>1328</v>
      </c>
      <c r="DU4" s="5389"/>
      <c r="DV4" s="5389"/>
      <c r="DW4" s="5389"/>
      <c r="DX4" s="5389"/>
      <c r="DY4" s="5390"/>
      <c r="DZ4" s="5385" t="s">
        <v>1205</v>
      </c>
      <c r="EA4" s="5386"/>
      <c r="EB4" s="5386"/>
      <c r="EC4" s="5386"/>
      <c r="ED4" s="5386"/>
      <c r="EE4" s="5387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356">
        <f>_xlfn.AGGREGATE(1,3,CJ5:CL5)</f>
        <v>1.1417748538011698</v>
      </c>
      <c r="CK6" s="5357"/>
      <c r="CL6" s="5357"/>
      <c r="CM6" s="5357"/>
      <c r="CN6" s="5357"/>
      <c r="CO6" s="5357"/>
      <c r="CP6" s="5356">
        <f>_xlfn.AGGREGATE(1,3,CP5:CR5)</f>
        <v>1.2262257187257186</v>
      </c>
      <c r="CQ6" s="5357"/>
      <c r="CR6" s="5357"/>
      <c r="CS6" s="5357"/>
      <c r="CT6" s="5357"/>
      <c r="CU6" s="5357"/>
      <c r="CV6" s="5356">
        <f>_xlfn.AGGREGATE(1,3,CV5:CX5)</f>
        <v>1.1702931473984102</v>
      </c>
      <c r="CW6" s="5357"/>
      <c r="CX6" s="5357"/>
      <c r="CY6" s="5357"/>
      <c r="CZ6" s="5357"/>
      <c r="DA6" s="5357"/>
      <c r="DB6" s="5356">
        <f>_xlfn.AGGREGATE(1,3,DB5:DD5)</f>
        <v>1.2373106060606061</v>
      </c>
      <c r="DC6" s="5357"/>
      <c r="DD6" s="5357"/>
      <c r="DE6" s="5357"/>
      <c r="DF6" s="5357"/>
      <c r="DG6" s="5357"/>
      <c r="DH6" s="5356">
        <f>_xlfn.AGGREGATE(1,3,DH5:DJ5)</f>
        <v>1.1100000000000001</v>
      </c>
      <c r="DI6" s="5357"/>
      <c r="DJ6" s="5357"/>
      <c r="DK6" s="5357"/>
      <c r="DL6" s="5357"/>
      <c r="DM6" s="5357"/>
      <c r="DN6" s="5356">
        <f>_xlfn.AGGREGATE(1,3,DN5:DP5)</f>
        <v>1.0518518518518516</v>
      </c>
      <c r="DO6" s="5357"/>
      <c r="DP6" s="5357"/>
      <c r="DQ6" s="5357"/>
      <c r="DR6" s="5357"/>
      <c r="DS6" s="5357"/>
      <c r="DT6" s="5356">
        <f>_xlfn.AGGREGATE(1,3,DT5:DV5)</f>
        <v>1.2530952380952383</v>
      </c>
      <c r="DU6" s="5357"/>
      <c r="DV6" s="5357"/>
      <c r="DW6" s="5357"/>
      <c r="DX6" s="5357"/>
      <c r="DY6" s="5357"/>
      <c r="DZ6" s="5356">
        <f>_xlfn.AGGREGATE(1,3,DZ5:EB5)</f>
        <v>0.91333333333333344</v>
      </c>
      <c r="EA6" s="5357"/>
      <c r="EB6" s="5357"/>
      <c r="EC6" s="5357"/>
      <c r="ED6" s="5357"/>
      <c r="EE6" s="5357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384" t="s">
        <v>1100</v>
      </c>
      <c r="CK1" s="5384"/>
      <c r="CL1" s="5384"/>
      <c r="CM1" s="5384"/>
      <c r="CN1" s="5384"/>
      <c r="CO1" s="5384"/>
      <c r="CP1" s="5401" t="s">
        <v>1111</v>
      </c>
      <c r="CQ1" s="5382"/>
      <c r="CR1" s="5382"/>
      <c r="CS1" s="5382"/>
      <c r="CT1" s="5382"/>
      <c r="CU1" s="5382"/>
      <c r="CV1" s="5383" t="s">
        <v>1101</v>
      </c>
      <c r="CW1" s="5383"/>
      <c r="CX1" s="5383"/>
      <c r="CY1" s="5383"/>
      <c r="CZ1" s="5383"/>
      <c r="DA1" s="5383"/>
      <c r="DB1" s="5373" t="s">
        <v>1102</v>
      </c>
      <c r="DC1" s="5373"/>
      <c r="DD1" s="5373"/>
      <c r="DE1" s="5373"/>
      <c r="DF1" s="5373"/>
      <c r="DG1" s="5373"/>
      <c r="DH1" s="5383" t="s">
        <v>1104</v>
      </c>
      <c r="DI1" s="5383"/>
      <c r="DJ1" s="5383"/>
      <c r="DK1" s="5383"/>
      <c r="DL1" s="5383"/>
      <c r="DM1" s="5383"/>
      <c r="DN1" s="5380" t="s">
        <v>997</v>
      </c>
      <c r="DO1" s="5380"/>
      <c r="DP1" s="5380"/>
      <c r="DQ1" s="5380"/>
      <c r="DR1" s="5380"/>
      <c r="DS1" s="5380"/>
      <c r="DT1" s="5380" t="s">
        <v>998</v>
      </c>
      <c r="DU1" s="5380"/>
      <c r="DV1" s="5380"/>
      <c r="DW1" s="5380"/>
      <c r="DX1" s="5380"/>
      <c r="DY1" s="5380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356" t="e">
        <f>_xlfn.AGGREGATE(1,6,CJ2:CO2)</f>
        <v>#DIV/0!</v>
      </c>
      <c r="CK3" s="5356"/>
      <c r="CL3" s="5356"/>
      <c r="CM3" s="5356"/>
      <c r="CN3" s="5356"/>
      <c r="CO3" s="5356"/>
      <c r="CP3" s="5356">
        <f t="shared" ref="CP3" si="1">_xlfn.AGGREGATE(1,6,CP2:CU2)</f>
        <v>1.4500000000000002</v>
      </c>
      <c r="CQ3" s="5356"/>
      <c r="CR3" s="5356"/>
      <c r="CS3" s="5356"/>
      <c r="CT3" s="5356"/>
      <c r="CU3" s="5356"/>
      <c r="CV3" s="5356" t="e">
        <f t="shared" ref="CV3" si="2">_xlfn.AGGREGATE(1,6,CV2:DA2)</f>
        <v>#DIV/0!</v>
      </c>
      <c r="CW3" s="5356"/>
      <c r="CX3" s="5356"/>
      <c r="CY3" s="5356"/>
      <c r="CZ3" s="5356"/>
      <c r="DA3" s="5356"/>
      <c r="DB3" s="5356" t="e">
        <f t="shared" ref="DB3" si="3">_xlfn.AGGREGATE(1,6,DB2:DG2)</f>
        <v>#DIV/0!</v>
      </c>
      <c r="DC3" s="5356"/>
      <c r="DD3" s="5356"/>
      <c r="DE3" s="5356"/>
      <c r="DF3" s="5356"/>
      <c r="DG3" s="5356"/>
      <c r="DH3" s="5356" t="e">
        <f t="shared" ref="DH3" si="4">_xlfn.AGGREGATE(1,6,DH2:DM2)</f>
        <v>#DIV/0!</v>
      </c>
      <c r="DI3" s="5356"/>
      <c r="DJ3" s="5356"/>
      <c r="DK3" s="5356"/>
      <c r="DL3" s="5356"/>
      <c r="DM3" s="5356"/>
      <c r="DN3" s="5356" t="e">
        <f t="shared" ref="DN3" si="5">_xlfn.AGGREGATE(1,6,DN2:DS2)</f>
        <v>#DIV/0!</v>
      </c>
      <c r="DO3" s="5356"/>
      <c r="DP3" s="5356"/>
      <c r="DQ3" s="5356"/>
      <c r="DR3" s="5356"/>
      <c r="DS3" s="5356"/>
      <c r="DT3" s="5356" t="e">
        <f t="shared" ref="DT3" si="6">_xlfn.AGGREGATE(1,6,DT2:DY2)</f>
        <v>#DIV/0!</v>
      </c>
      <c r="DU3" s="5356"/>
      <c r="DV3" s="5356"/>
      <c r="DW3" s="5356"/>
      <c r="DX3" s="5356"/>
      <c r="DY3" s="5356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373" t="s">
        <v>1099</v>
      </c>
      <c r="CK4" s="5373"/>
      <c r="CL4" s="5373"/>
      <c r="CM4" s="5373"/>
      <c r="CN4" s="5373"/>
      <c r="CO4" s="5373"/>
      <c r="CP4" s="5382" t="s">
        <v>993</v>
      </c>
      <c r="CQ4" s="5382"/>
      <c r="CR4" s="5382"/>
      <c r="CS4" s="5382"/>
      <c r="CT4" s="5382"/>
      <c r="CU4" s="5382"/>
      <c r="CV4" s="5380" t="s">
        <v>994</v>
      </c>
      <c r="CW4" s="5380"/>
      <c r="CX4" s="5380"/>
      <c r="CY4" s="5380"/>
      <c r="CZ4" s="5380"/>
      <c r="DA4" s="5380"/>
      <c r="DB4" s="5373" t="s">
        <v>1103</v>
      </c>
      <c r="DC4" s="5373"/>
      <c r="DD4" s="5373"/>
      <c r="DE4" s="5373"/>
      <c r="DF4" s="5373"/>
      <c r="DG4" s="5373"/>
      <c r="DH4" s="5380" t="s">
        <v>996</v>
      </c>
      <c r="DI4" s="5380"/>
      <c r="DJ4" s="5380"/>
      <c r="DK4" s="5380"/>
      <c r="DL4" s="5380"/>
      <c r="DM4" s="5380"/>
      <c r="DN4" s="5381" t="s">
        <v>1105</v>
      </c>
      <c r="DO4" s="5380"/>
      <c r="DP4" s="5380"/>
      <c r="DQ4" s="5380"/>
      <c r="DR4" s="5380"/>
      <c r="DS4" s="5380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48"/>
  <sheetViews>
    <sheetView workbookViewId="0">
      <pane ySplit="1" topLeftCell="A14" activePane="bottomLeft" state="frozen"/>
      <selection pane="bottomLeft" activeCell="J42" sqref="J42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384" t="s">
        <v>1379</v>
      </c>
      <c r="CK1" s="5384"/>
      <c r="CL1" s="5384"/>
      <c r="CM1" s="5384"/>
      <c r="CN1" s="5384"/>
      <c r="CO1" s="5384"/>
      <c r="CP1" s="5382" t="s">
        <v>1377</v>
      </c>
      <c r="CQ1" s="5382"/>
      <c r="CR1" s="5382"/>
      <c r="CS1" s="5382"/>
      <c r="CT1" s="5382"/>
      <c r="CU1" s="5382"/>
      <c r="CV1" s="5382" t="s">
        <v>1389</v>
      </c>
      <c r="CW1" s="5382"/>
      <c r="CX1" s="5382"/>
      <c r="CY1" s="5382"/>
      <c r="CZ1" s="5382"/>
      <c r="DA1" s="5382"/>
      <c r="DB1" s="5383" t="s">
        <v>1378</v>
      </c>
      <c r="DC1" s="5383"/>
      <c r="DD1" s="5383"/>
      <c r="DE1" s="5383"/>
      <c r="DF1" s="5383"/>
      <c r="DG1" s="5383"/>
      <c r="DH1" s="5384" t="s">
        <v>1405</v>
      </c>
      <c r="DI1" s="5384"/>
      <c r="DJ1" s="5384"/>
      <c r="DK1" s="5384"/>
      <c r="DL1" s="5384"/>
      <c r="DM1" s="5384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AVERAGE(B3,B21,B34,B37)</f>
        <v>0.97000000000000008</v>
      </c>
      <c r="CW2" s="1">
        <f>AVERAGE(C3,C21,C34,C37)</f>
        <v>1.1166666666666667</v>
      </c>
      <c r="CX2" s="1">
        <f>AVERAGE(D3,D21,D34,D37)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402">
        <f>_xlfn.AGGREGATE(1,6,CJ2:CO2)</f>
        <v>1.2085416666666666</v>
      </c>
      <c r="CK3" s="5402"/>
      <c r="CL3" s="5402"/>
      <c r="CM3" s="5402"/>
      <c r="CN3" s="5402"/>
      <c r="CO3" s="5402"/>
      <c r="CP3" s="5402">
        <f t="shared" ref="CP3" si="0">_xlfn.AGGREGATE(1,6,CP2:CU2)</f>
        <v>0.84299999999999997</v>
      </c>
      <c r="CQ3" s="5402"/>
      <c r="CR3" s="5402"/>
      <c r="CS3" s="5402"/>
      <c r="CT3" s="5402"/>
      <c r="CU3" s="5402"/>
      <c r="CV3" s="5402">
        <f t="shared" ref="CV3" si="1">_xlfn.AGGREGATE(1,6,CV2:DA2)</f>
        <v>1.0722222222222222</v>
      </c>
      <c r="CW3" s="5402"/>
      <c r="CX3" s="5402"/>
      <c r="CY3" s="5402"/>
      <c r="CZ3" s="5402"/>
      <c r="DA3" s="5402"/>
      <c r="DB3" s="5402">
        <f t="shared" ref="DB3" si="2">_xlfn.AGGREGATE(1,6,DB2:DG2)</f>
        <v>1.0822222222222224</v>
      </c>
      <c r="DC3" s="5402"/>
      <c r="DD3" s="5402"/>
      <c r="DE3" s="5402"/>
      <c r="DF3" s="5402"/>
      <c r="DG3" s="5402"/>
      <c r="DH3" s="5402">
        <f t="shared" ref="DH3" si="3">_xlfn.AGGREGATE(1,6,DH2:DM2)</f>
        <v>1.0249999999999999</v>
      </c>
      <c r="DI3" s="5402"/>
      <c r="DJ3" s="5402"/>
      <c r="DK3" s="5402"/>
      <c r="DL3" s="5402"/>
      <c r="DM3" s="5402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376" t="s">
        <v>1380</v>
      </c>
      <c r="CK4" s="5376"/>
      <c r="CL4" s="5376"/>
      <c r="CM4" s="5376"/>
      <c r="CN4" s="5376"/>
      <c r="CO4" s="5376"/>
      <c r="CP4" s="5373" t="s">
        <v>1391</v>
      </c>
      <c r="CQ4" s="5373"/>
      <c r="CR4" s="5373"/>
      <c r="CS4" s="5373"/>
      <c r="CT4" s="5373"/>
      <c r="CU4" s="5373"/>
      <c r="CV4" s="5380" t="s">
        <v>1356</v>
      </c>
      <c r="CW4" s="5380"/>
      <c r="CX4" s="5380"/>
      <c r="CY4" s="5380"/>
      <c r="CZ4" s="5380"/>
      <c r="DA4" s="5380"/>
      <c r="DB4" s="5373" t="s">
        <v>1408</v>
      </c>
      <c r="DC4" s="5373"/>
      <c r="DD4" s="5373"/>
      <c r="DE4" s="5373"/>
      <c r="DF4" s="5373"/>
      <c r="DG4" s="5373"/>
      <c r="DH4" s="5383" t="s">
        <v>1397</v>
      </c>
      <c r="DI4" s="5383"/>
      <c r="DJ4" s="5383"/>
      <c r="DK4" s="5383"/>
      <c r="DL4" s="5383"/>
      <c r="DM4" s="5383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AVERAGE(B8,B18,B38)</f>
        <v>0.71500000000000008</v>
      </c>
      <c r="CQ5" s="4150">
        <f t="shared" ref="CQ5:CT5" si="4">AVERAGE(C8,C18,C38)</f>
        <v>1.0466666666666666</v>
      </c>
      <c r="CR5" s="4150">
        <f t="shared" si="4"/>
        <v>1.1200000000000001</v>
      </c>
      <c r="CS5" s="4150" t="e">
        <f t="shared" si="4"/>
        <v>#DIV/0!</v>
      </c>
      <c r="CT5" s="4150" t="e">
        <f t="shared" si="4"/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AVERAGE(B23,B43,B44,B45,B46,B47)</f>
        <v>1.0516666666666665</v>
      </c>
      <c r="DC5" s="4150">
        <f t="shared" ref="DC5:DF5" si="6">AVERAGE(C23,C43,C44,C45,C46,C47)</f>
        <v>1.1849999999999998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 t="e">
        <f>AVERAGE(G23,#REF!,#REF!,#REF!,#REF!,#REF!)</f>
        <v>#REF!</v>
      </c>
      <c r="DH5" s="1">
        <f>AVERAGE(B13,B27,B31,B36,B39,B41)</f>
        <v>1.2100000000000002</v>
      </c>
      <c r="DI5" s="1">
        <f t="shared" ref="DI5:DL5" si="7">AVERAGE(C13,C27,C31,C36,C39,C41)</f>
        <v>0.63400000000000012</v>
      </c>
      <c r="DJ5" s="1">
        <f t="shared" si="7"/>
        <v>0.89600000000000013</v>
      </c>
      <c r="DK5" s="1" t="e">
        <f t="shared" si="7"/>
        <v>#DIV/0!</v>
      </c>
      <c r="DL5" s="1" t="e">
        <f t="shared" si="7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372">
        <f>_xlfn.AGGREGATE(1,6,CJ5:CO5)</f>
        <v>1.1372222222222224</v>
      </c>
      <c r="CK6" s="5372"/>
      <c r="CL6" s="5372"/>
      <c r="CM6" s="5372"/>
      <c r="CN6" s="5372"/>
      <c r="CO6" s="5372"/>
      <c r="CP6" s="5372">
        <f t="shared" ref="CP6" si="8">_xlfn.AGGREGATE(1,6,CP5:CU5)</f>
        <v>0.96055555555555561</v>
      </c>
      <c r="CQ6" s="5372"/>
      <c r="CR6" s="5372"/>
      <c r="CS6" s="5372"/>
      <c r="CT6" s="5372"/>
      <c r="CU6" s="5372"/>
      <c r="CV6" s="5372">
        <f t="shared" ref="CV6" si="9">_xlfn.AGGREGATE(1,6,CV5:DA5)</f>
        <v>1.2549999999999999</v>
      </c>
      <c r="CW6" s="5372"/>
      <c r="CX6" s="5372"/>
      <c r="CY6" s="5372"/>
      <c r="CZ6" s="5372"/>
      <c r="DA6" s="5372"/>
      <c r="DB6" s="5372">
        <f t="shared" ref="DB6" si="10">_xlfn.AGGREGATE(1,6,DB5:DG5)</f>
        <v>1.1183333333333332</v>
      </c>
      <c r="DC6" s="5372"/>
      <c r="DD6" s="5372"/>
      <c r="DE6" s="5372"/>
      <c r="DF6" s="5372"/>
      <c r="DG6" s="5372"/>
      <c r="DH6" s="5356">
        <f>_xlfn.AGGREGATE(1,3,DH5:DJ5)</f>
        <v>0.91333333333333344</v>
      </c>
      <c r="DI6" s="5357"/>
      <c r="DJ6" s="5357"/>
      <c r="DK6" s="5357"/>
      <c r="DL6" s="5357"/>
      <c r="DM6" s="5357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1376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1383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1384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A35" s="40" t="s">
        <v>1386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113" x14ac:dyDescent="0.25">
      <c r="A36" s="4666" t="s">
        <v>1387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113" x14ac:dyDescent="0.25">
      <c r="A37" s="4679" t="s">
        <v>1388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113" x14ac:dyDescent="0.25">
      <c r="A38" s="4692" t="s">
        <v>1390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113" x14ac:dyDescent="0.25">
      <c r="A39" s="4705" t="s">
        <v>1392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113" x14ac:dyDescent="0.25">
      <c r="A40" s="44" t="s">
        <v>1403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113" x14ac:dyDescent="0.25">
      <c r="A41" s="4823" t="s">
        <v>1404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113" x14ac:dyDescent="0.25">
      <c r="A42" s="40" t="s">
        <v>1398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113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113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113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113" x14ac:dyDescent="0.25">
      <c r="A46" s="4887" t="s">
        <v>1406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113" x14ac:dyDescent="0.25">
      <c r="A47" s="4900" t="s">
        <v>1407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113" x14ac:dyDescent="0.25">
      <c r="B48" s="4070">
        <f>AVERAGE(B3:B47)</f>
        <v>1.0954054054054054</v>
      </c>
      <c r="C48" s="4470">
        <f t="shared" ref="C48:AG48" si="11">AVERAGE(C3:C47)</f>
        <v>1.0505555555555555</v>
      </c>
      <c r="D48" s="4470">
        <f t="shared" si="11"/>
        <v>1.0285714285714287</v>
      </c>
      <c r="E48" s="4470">
        <f t="shared" si="11"/>
        <v>1.19</v>
      </c>
      <c r="F48" s="4470">
        <f t="shared" si="11"/>
        <v>0.73</v>
      </c>
      <c r="G48" s="4150">
        <f>AVERAGE(G3:G47)</f>
        <v>0.78378378378378377</v>
      </c>
      <c r="H48" s="4150">
        <f t="shared" si="11"/>
        <v>1.6216216216216217</v>
      </c>
      <c r="I48" s="4150">
        <f t="shared" si="11"/>
        <v>0.83783783783783783</v>
      </c>
      <c r="J48" s="4150">
        <f t="shared" si="11"/>
        <v>0.1891891891891892</v>
      </c>
      <c r="K48" s="4150">
        <f t="shared" si="11"/>
        <v>0</v>
      </c>
      <c r="L48" s="4150">
        <f t="shared" si="11"/>
        <v>0.1891891891891892</v>
      </c>
      <c r="M48" s="4150">
        <f t="shared" si="11"/>
        <v>2.0270270270270272</v>
      </c>
      <c r="N48" s="4150">
        <f t="shared" si="11"/>
        <v>0.64864864864864868</v>
      </c>
      <c r="O48" s="4150">
        <f t="shared" si="11"/>
        <v>0.21621621621621623</v>
      </c>
      <c r="P48" s="4150">
        <f t="shared" si="11"/>
        <v>5.4054054054054057E-2</v>
      </c>
      <c r="Q48" s="4150">
        <f t="shared" si="11"/>
        <v>2.7027027027027029E-2</v>
      </c>
      <c r="R48" s="4150">
        <f t="shared" si="11"/>
        <v>0</v>
      </c>
      <c r="S48" s="4150">
        <f t="shared" si="11"/>
        <v>0</v>
      </c>
      <c r="T48" s="4150">
        <f t="shared" si="11"/>
        <v>0.44444444444444442</v>
      </c>
      <c r="U48" s="4150">
        <f t="shared" si="11"/>
        <v>0.63888888888888884</v>
      </c>
      <c r="V48" s="4150">
        <f t="shared" si="11"/>
        <v>0.58333333333333337</v>
      </c>
      <c r="W48" s="4150">
        <f t="shared" si="11"/>
        <v>0.19444444444444445</v>
      </c>
      <c r="X48" s="4150">
        <f t="shared" si="11"/>
        <v>0</v>
      </c>
      <c r="Y48" s="4150">
        <f t="shared" si="11"/>
        <v>8.3333333333333329E-2</v>
      </c>
      <c r="Z48" s="4150">
        <f t="shared" si="11"/>
        <v>3.3055555555555554</v>
      </c>
      <c r="AA48" s="4150">
        <f t="shared" si="11"/>
        <v>0.52777777777777779</v>
      </c>
      <c r="AB48" s="4150">
        <f t="shared" si="11"/>
        <v>0.3611111111111111</v>
      </c>
      <c r="AC48" s="4150">
        <f t="shared" si="11"/>
        <v>8.3333333333333329E-2</v>
      </c>
      <c r="AD48" s="4150">
        <f t="shared" si="11"/>
        <v>5.5555555555555552E-2</v>
      </c>
      <c r="AE48" s="4150">
        <f t="shared" si="11"/>
        <v>0</v>
      </c>
      <c r="AF48" s="4150">
        <f t="shared" si="11"/>
        <v>0</v>
      </c>
      <c r="AG48" s="4150">
        <f t="shared" si="11"/>
        <v>0.8571428571428571</v>
      </c>
      <c r="AH48" s="4150">
        <f t="shared" ref="AH48:BM48" si="12">AVERAGE(AH3:AH47)</f>
        <v>1.8571428571428572</v>
      </c>
      <c r="AI48" s="4150">
        <f t="shared" si="12"/>
        <v>0.95238095238095233</v>
      </c>
      <c r="AJ48" s="4150">
        <f t="shared" si="12"/>
        <v>0.14285714285714285</v>
      </c>
      <c r="AK48" s="4150">
        <f t="shared" si="12"/>
        <v>4.7619047619047616E-2</v>
      </c>
      <c r="AL48" s="4150">
        <f t="shared" si="12"/>
        <v>0.42857142857142855</v>
      </c>
      <c r="AM48" s="4150">
        <f t="shared" si="12"/>
        <v>2.5238095238095237</v>
      </c>
      <c r="AN48" s="4150">
        <f t="shared" si="12"/>
        <v>0.23809523809523808</v>
      </c>
      <c r="AO48" s="4150">
        <f t="shared" si="12"/>
        <v>0.47619047619047616</v>
      </c>
      <c r="AP48" s="4150">
        <f t="shared" si="12"/>
        <v>0.19047619047619047</v>
      </c>
      <c r="AQ48" s="4150">
        <f t="shared" si="12"/>
        <v>4.7619047619047616E-2</v>
      </c>
      <c r="AR48" s="4150">
        <f t="shared" si="12"/>
        <v>0</v>
      </c>
      <c r="AS48" s="4150">
        <f t="shared" si="12"/>
        <v>0</v>
      </c>
      <c r="AT48" s="4150">
        <f t="shared" si="12"/>
        <v>0</v>
      </c>
      <c r="AU48" s="4150">
        <f t="shared" si="12"/>
        <v>1</v>
      </c>
      <c r="AV48" s="4150">
        <f t="shared" si="12"/>
        <v>1</v>
      </c>
      <c r="AW48" s="4150">
        <f t="shared" si="12"/>
        <v>1</v>
      </c>
      <c r="AX48" s="4150">
        <f t="shared" si="12"/>
        <v>0</v>
      </c>
      <c r="AY48" s="4150">
        <f t="shared" si="12"/>
        <v>0</v>
      </c>
      <c r="AZ48" s="4150">
        <f t="shared" si="12"/>
        <v>3</v>
      </c>
      <c r="BA48" s="4150">
        <f t="shared" si="12"/>
        <v>2</v>
      </c>
      <c r="BB48" s="4150">
        <f t="shared" si="12"/>
        <v>0</v>
      </c>
      <c r="BC48" s="4150">
        <f t="shared" si="12"/>
        <v>0</v>
      </c>
      <c r="BD48" s="4150">
        <f t="shared" si="12"/>
        <v>0</v>
      </c>
      <c r="BE48" s="4150">
        <f t="shared" si="12"/>
        <v>0</v>
      </c>
      <c r="BF48" s="4150">
        <f t="shared" si="12"/>
        <v>0</v>
      </c>
      <c r="BG48" s="4150">
        <f t="shared" si="12"/>
        <v>2</v>
      </c>
      <c r="BH48" s="4150">
        <f t="shared" si="12"/>
        <v>3</v>
      </c>
      <c r="BI48" s="4150">
        <f t="shared" si="12"/>
        <v>0</v>
      </c>
      <c r="BJ48" s="4150">
        <f t="shared" si="12"/>
        <v>0</v>
      </c>
      <c r="BK48" s="4150">
        <f t="shared" si="12"/>
        <v>0</v>
      </c>
      <c r="BL48" s="4150">
        <f t="shared" si="12"/>
        <v>0</v>
      </c>
      <c r="BM48" s="4150">
        <f t="shared" si="12"/>
        <v>3</v>
      </c>
      <c r="BN48" s="4150">
        <f t="shared" ref="BN48:BS48" si="13">AVERAGE(BN3:BN47)</f>
        <v>0</v>
      </c>
      <c r="BO48" s="4150">
        <f t="shared" si="13"/>
        <v>0</v>
      </c>
      <c r="BP48" s="4150">
        <f t="shared" si="13"/>
        <v>0</v>
      </c>
      <c r="BQ48" s="4150">
        <f t="shared" si="13"/>
        <v>0</v>
      </c>
      <c r="BR48" s="4150">
        <f t="shared" si="13"/>
        <v>0</v>
      </c>
      <c r="BS48" s="4150">
        <f t="shared" si="13"/>
        <v>0</v>
      </c>
      <c r="CK48" s="4150"/>
      <c r="CL48" s="4150"/>
      <c r="CM48" s="4150"/>
      <c r="CN48" s="4150"/>
      <c r="CO48" s="4150"/>
      <c r="CP48" s="4150"/>
      <c r="CQ48" s="4150"/>
      <c r="CR48" s="4150"/>
      <c r="CS48" s="4150"/>
      <c r="CT48" s="4150"/>
      <c r="CU48" s="4150"/>
      <c r="CV48" s="4150"/>
      <c r="CW48" s="4150"/>
      <c r="CX48" s="4150"/>
      <c r="CY48" s="4150"/>
      <c r="CZ48" s="4150"/>
      <c r="DA48" s="4150"/>
      <c r="DB48" s="4150"/>
      <c r="DC48" s="4150"/>
      <c r="DD48" s="4150"/>
      <c r="DE48" s="4150"/>
      <c r="DF48" s="4150"/>
      <c r="DG48" s="4150"/>
      <c r="DH48" s="4150"/>
      <c r="DI48" s="4150"/>
    </row>
  </sheetData>
  <mergeCells count="20">
    <mergeCell ref="DH6:DM6"/>
    <mergeCell ref="CJ6:CO6"/>
    <mergeCell ref="CP6:CU6"/>
    <mergeCell ref="CV6:DA6"/>
    <mergeCell ref="DB6:DG6"/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55"/>
  <sheetViews>
    <sheetView tabSelected="1" workbookViewId="0">
      <pane ySplit="1" topLeftCell="A32" activePane="bottomLeft" state="frozen"/>
      <selection pane="bottomLeft" activeCell="E58" sqref="E58"/>
    </sheetView>
  </sheetViews>
  <sheetFormatPr defaultRowHeight="15" x14ac:dyDescent="0.25"/>
  <cols>
    <col min="1" max="1" width="12.8554687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375" t="s">
        <v>1434</v>
      </c>
      <c r="CK1" s="5375"/>
      <c r="CL1" s="5375"/>
      <c r="CM1" s="5375"/>
      <c r="CN1" s="5375" t="s">
        <v>1111</v>
      </c>
      <c r="CO1" s="5375"/>
      <c r="CP1" s="5401" t="s">
        <v>1436</v>
      </c>
      <c r="CQ1" s="5382"/>
      <c r="CR1" s="5382"/>
      <c r="CS1" s="5382"/>
      <c r="CT1" s="5382" t="s">
        <v>1362</v>
      </c>
      <c r="CU1" s="5382"/>
      <c r="CV1" s="5383" t="s">
        <v>1437</v>
      </c>
      <c r="CW1" s="5383"/>
      <c r="CX1" s="5383"/>
      <c r="CY1" s="5383"/>
      <c r="CZ1" s="5383"/>
      <c r="DA1" s="5383"/>
      <c r="DB1" s="5373" t="s">
        <v>1102</v>
      </c>
      <c r="DC1" s="5373"/>
      <c r="DD1" s="5373"/>
      <c r="DE1" s="5373"/>
      <c r="DF1" s="5373" t="s">
        <v>1382</v>
      </c>
      <c r="DG1" s="5373"/>
      <c r="DH1" s="5374" t="s">
        <v>1431</v>
      </c>
      <c r="DI1" s="5374"/>
      <c r="DJ1" s="5374"/>
      <c r="DK1" s="5374"/>
      <c r="DL1" s="5374"/>
      <c r="DM1" s="5374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AVERAGE(B6,B10,B12,B15,B16,B22,B23,B24,B36,B39,B44,B51)</f>
        <v>0.84</v>
      </c>
      <c r="CK2" s="1">
        <f t="shared" ref="CK2:CL2" si="0">AVERAGE(C6,C10,C12,C15,C16,C22,C23,C24,C36,C39,C44,C51)</f>
        <v>0.95666666666666644</v>
      </c>
      <c r="CL2" s="1">
        <f t="shared" si="0"/>
        <v>1.1099999999999999</v>
      </c>
      <c r="CM2" s="1" t="e">
        <f t="shared" ref="CM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AVERAGE(B3,B7,B8,B17,B20,B25,B26,B27,B29,B37,B46,B53)</f>
        <v>0.8633333333333334</v>
      </c>
      <c r="CQ2" s="1">
        <f t="shared" ref="CQ2:CR2" si="2">AVERAGE(C3,C7,C8,C17,C20,C25,C26,C27,C29,C37,C46,C53)</f>
        <v>1.0549999999999999</v>
      </c>
      <c r="CR2" s="1">
        <f t="shared" si="2"/>
        <v>1.0072727272727271</v>
      </c>
      <c r="CS2" s="1" t="e">
        <f t="shared" ref="CS2:CT2" si="3">AVERAGE(E3,E7,E8,E17,E20,E25,E26,E27,E29)</f>
        <v>#DIV/0!</v>
      </c>
      <c r="CT2" s="1" t="e">
        <f t="shared" si="3"/>
        <v>#DIV/0!</v>
      </c>
      <c r="CU2" s="1"/>
      <c r="CV2" s="1">
        <f>AVERAGE(B5,B13,B32,B38,B49,B52,B54)</f>
        <v>1.26</v>
      </c>
      <c r="CW2" s="1">
        <f>AVERAGE(C5,C13,C32,C38,C49,C52,C54)</f>
        <v>1.1257142857142859</v>
      </c>
      <c r="CX2" s="1">
        <f>AVERAGE(D5,D13,D32,D38,D49,D52,D54)</f>
        <v>1.342857142857143</v>
      </c>
      <c r="CY2" s="1" t="e">
        <f t="shared" ref="CY2:CZ2" si="4">AVERAGE(E5,E13,E32)</f>
        <v>#DIV/0!</v>
      </c>
      <c r="CZ2" s="1" t="e">
        <f t="shared" si="4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AVERAGE(B11,B18,B28,B40,B43,B48)</f>
        <v>0.98333333333333339</v>
      </c>
      <c r="DI2" s="1">
        <f t="shared" ref="DI2:DJ2" si="5">AVERAGE(C11,C18,C28,C40,C43,C48)</f>
        <v>0.9816666666666668</v>
      </c>
      <c r="DJ2" s="1">
        <f t="shared" si="5"/>
        <v>1.1666666666666667</v>
      </c>
      <c r="DK2" s="1" t="e">
        <f t="shared" ref="DK2:DL2" si="6">AVERAGE(E11,E18,E28)</f>
        <v>#DIV/0!</v>
      </c>
      <c r="DL2" s="1" t="e">
        <f t="shared" si="6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356">
        <f>_xlfn.AGGREGATE(1,6,CJ2:CO2)</f>
        <v>0.9688888888888888</v>
      </c>
      <c r="CK3" s="5356"/>
      <c r="CL3" s="5356"/>
      <c r="CM3" s="5356"/>
      <c r="CN3" s="5356"/>
      <c r="CO3" s="5356"/>
      <c r="CP3" s="5356">
        <f t="shared" ref="CP3" si="7">_xlfn.AGGREGATE(1,6,CP2:CU2)</f>
        <v>0.97520202020202029</v>
      </c>
      <c r="CQ3" s="5356"/>
      <c r="CR3" s="5356"/>
      <c r="CS3" s="5356"/>
      <c r="CT3" s="5356"/>
      <c r="CU3" s="5356"/>
      <c r="CV3" s="5356">
        <f t="shared" ref="CV3" si="8">_xlfn.AGGREGATE(1,6,CV2:DA2)</f>
        <v>1.2428571428571431</v>
      </c>
      <c r="CW3" s="5356"/>
      <c r="CX3" s="5356"/>
      <c r="CY3" s="5356"/>
      <c r="CZ3" s="5356"/>
      <c r="DA3" s="5356"/>
      <c r="DB3" s="5356" t="e">
        <f t="shared" ref="DB3" si="9">_xlfn.AGGREGATE(1,6,DB2:DG2)</f>
        <v>#DIV/0!</v>
      </c>
      <c r="DC3" s="5356"/>
      <c r="DD3" s="5356"/>
      <c r="DE3" s="5356"/>
      <c r="DF3" s="5356"/>
      <c r="DG3" s="5356"/>
      <c r="DH3" s="5356">
        <f t="shared" ref="DH3" si="10">_xlfn.AGGREGATE(1,6,DH2:DM2)</f>
        <v>1.0438888888888889</v>
      </c>
      <c r="DI3" s="5356"/>
      <c r="DJ3" s="5356"/>
      <c r="DK3" s="5356"/>
      <c r="DL3" s="5356"/>
      <c r="DM3" s="5356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374" t="s">
        <v>1433</v>
      </c>
      <c r="CK4" s="5374"/>
      <c r="CL4" s="5374"/>
      <c r="CM4" s="5374"/>
      <c r="CN4" s="5374"/>
      <c r="CO4" s="5374"/>
      <c r="CP4" s="5380" t="s">
        <v>994</v>
      </c>
      <c r="CQ4" s="5380"/>
      <c r="CR4" s="5380"/>
      <c r="CS4" s="5380"/>
      <c r="CT4" s="5380"/>
      <c r="CU4" s="5380"/>
      <c r="CV4" s="5373" t="s">
        <v>1425</v>
      </c>
      <c r="CW4" s="5373"/>
      <c r="CX4" s="5373"/>
      <c r="CY4" s="5373"/>
      <c r="CZ4" s="5373"/>
      <c r="DA4" s="5373"/>
      <c r="DB4" s="5401" t="s">
        <v>1429</v>
      </c>
      <c r="DC4" s="5382"/>
      <c r="DD4" s="5382"/>
      <c r="DE4" s="5382"/>
      <c r="DF4" s="5382"/>
      <c r="DG4" s="5382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AVERAGE(B19,B30,B34,B50)</f>
        <v>1.06</v>
      </c>
      <c r="CK5" s="5184">
        <f t="shared" ref="CK5:CL5" si="11">AVERAGE(C19,C30,C34,C50)</f>
        <v>0.98750000000000004</v>
      </c>
      <c r="CL5" s="5184">
        <f t="shared" si="11"/>
        <v>1.135</v>
      </c>
      <c r="CM5" s="4653" t="e">
        <f t="shared" ref="CM5:CN5" si="12">AVERAGE(E19,E30)</f>
        <v>#DIV/0!</v>
      </c>
      <c r="CN5" s="4653" t="e">
        <f t="shared" si="12"/>
        <v>#DIV/0!</v>
      </c>
      <c r="CO5" s="4470"/>
      <c r="CP5" s="4149" t="e">
        <f>AVERAGE(CP8)</f>
        <v>#DIV/0!</v>
      </c>
      <c r="CQ5" s="4653" t="e">
        <f t="shared" ref="CQ5:CT5" si="13">AVERAGE(CQ8)</f>
        <v>#DIV/0!</v>
      </c>
      <c r="CR5" s="4653" t="e">
        <f t="shared" si="13"/>
        <v>#DIV/0!</v>
      </c>
      <c r="CS5" s="4653" t="e">
        <f t="shared" si="13"/>
        <v>#DIV/0!</v>
      </c>
      <c r="CT5" s="4653" t="e">
        <f t="shared" si="13"/>
        <v>#DIV/0!</v>
      </c>
      <c r="CU5" s="4149"/>
      <c r="CV5" s="4149">
        <f>AVERAGE(B41)</f>
        <v>0.92</v>
      </c>
      <c r="CW5" s="5093">
        <f t="shared" ref="CW5:CX5" si="14">AVERAGE(C41)</f>
        <v>0.96</v>
      </c>
      <c r="CX5" s="5093">
        <f t="shared" si="14"/>
        <v>1.06</v>
      </c>
      <c r="CY5" s="4653" t="e">
        <f t="shared" ref="CY5:CZ5" si="15">AVERAGE(CY8,E41)</f>
        <v>#DIV/0!</v>
      </c>
      <c r="CZ5" s="4653" t="e">
        <f t="shared" si="15"/>
        <v>#DIV/0!</v>
      </c>
      <c r="DA5" s="4149"/>
      <c r="DB5" s="4149">
        <f>AVERAGE(B31,B45)</f>
        <v>0.77499999999999991</v>
      </c>
      <c r="DC5" s="5184">
        <f t="shared" ref="DC5:DD5" si="16">AVERAGE(C31,C45)</f>
        <v>0.73499999999999999</v>
      </c>
      <c r="DD5" s="5184">
        <f t="shared" si="16"/>
        <v>1.1850000000000001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1375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356">
        <f>_xlfn.AGGREGATE(1,6,CJ5:CO5)</f>
        <v>1.0608333333333333</v>
      </c>
      <c r="CK6" s="5356"/>
      <c r="CL6" s="5356"/>
      <c r="CM6" s="5356"/>
      <c r="CN6" s="5356"/>
      <c r="CO6" s="5356"/>
      <c r="CP6" s="5356" t="e">
        <f>_xlfn.AGGREGATE(1,6,CP5:CU5)</f>
        <v>#DIV/0!</v>
      </c>
      <c r="CQ6" s="5356"/>
      <c r="CR6" s="5356"/>
      <c r="CS6" s="5356"/>
      <c r="CT6" s="5356"/>
      <c r="CU6" s="5356"/>
      <c r="CV6" s="5356">
        <f>_xlfn.AGGREGATE(1,6,CV5:DA5)</f>
        <v>0.98</v>
      </c>
      <c r="CW6" s="5356"/>
      <c r="CX6" s="5356"/>
      <c r="CY6" s="5356"/>
      <c r="CZ6" s="5356"/>
      <c r="DA6" s="5356"/>
      <c r="DB6" s="5356">
        <f>_xlfn.AGGREGATE(1,6,DB5:DG5)</f>
        <v>0.89833333333333332</v>
      </c>
      <c r="DC6" s="5356"/>
      <c r="DD6" s="5356"/>
      <c r="DE6" s="5356"/>
      <c r="DF6" s="5356"/>
      <c r="DG6" s="5356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1376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1381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1416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1386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1393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1394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1395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1396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1403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1409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1410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1414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1411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1412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1413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1415</v>
      </c>
    </row>
    <row r="33" spans="1:82" x14ac:dyDescent="0.25">
      <c r="A33" s="5081" t="s">
        <v>1417</v>
      </c>
      <c r="B33" s="5081"/>
      <c r="C33" s="5081"/>
      <c r="D33" s="5081"/>
      <c r="E33" s="5081"/>
      <c r="F33" s="5081"/>
      <c r="G33" s="5068"/>
      <c r="O33" s="5069"/>
      <c r="T33" s="5070"/>
      <c r="AB33" s="5071"/>
      <c r="AG33" s="5072"/>
      <c r="AO33" s="5073"/>
      <c r="AT33" s="5074"/>
      <c r="BB33" s="5075"/>
      <c r="BG33" s="5076"/>
      <c r="BO33" s="5077"/>
      <c r="BT33" s="5078"/>
      <c r="CB33" s="5079"/>
    </row>
    <row r="34" spans="1:82" x14ac:dyDescent="0.25">
      <c r="A34" s="5080" t="s">
        <v>1418</v>
      </c>
      <c r="B34">
        <v>1.04</v>
      </c>
      <c r="C34">
        <v>1.36</v>
      </c>
      <c r="D34">
        <v>0.81</v>
      </c>
      <c r="G34" s="5081">
        <v>2</v>
      </c>
      <c r="H34">
        <v>5</v>
      </c>
      <c r="I34">
        <v>1</v>
      </c>
      <c r="J34">
        <v>0</v>
      </c>
      <c r="K34">
        <v>0</v>
      </c>
      <c r="L34">
        <v>0</v>
      </c>
      <c r="M34">
        <v>2</v>
      </c>
      <c r="N34">
        <v>1</v>
      </c>
      <c r="O34" s="5082">
        <v>0</v>
      </c>
      <c r="P34">
        <v>0</v>
      </c>
      <c r="Q34">
        <v>0</v>
      </c>
      <c r="R34">
        <v>0</v>
      </c>
      <c r="S34">
        <v>0</v>
      </c>
      <c r="T34" s="5083">
        <v>0</v>
      </c>
      <c r="U34">
        <v>1</v>
      </c>
      <c r="V34">
        <v>2</v>
      </c>
      <c r="W34">
        <v>1</v>
      </c>
      <c r="X34">
        <v>0</v>
      </c>
      <c r="Y34">
        <v>1</v>
      </c>
      <c r="Z34">
        <v>6</v>
      </c>
      <c r="AA34">
        <v>1</v>
      </c>
      <c r="AB34" s="5084">
        <v>1</v>
      </c>
      <c r="AC34">
        <v>0</v>
      </c>
      <c r="AD34">
        <v>0</v>
      </c>
      <c r="AE34">
        <v>0</v>
      </c>
      <c r="AF34">
        <v>0</v>
      </c>
      <c r="AG34" s="5085">
        <v>2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4</v>
      </c>
      <c r="AN34">
        <v>0</v>
      </c>
      <c r="AO34" s="5086">
        <v>0</v>
      </c>
      <c r="AP34">
        <v>0</v>
      </c>
      <c r="AQ34">
        <v>0</v>
      </c>
      <c r="AR34">
        <v>0</v>
      </c>
      <c r="AS34">
        <v>0</v>
      </c>
      <c r="AT34" s="5087"/>
      <c r="BB34" s="5088"/>
      <c r="BG34" s="5089"/>
      <c r="BO34" s="5090"/>
      <c r="BT34" s="5091"/>
      <c r="CB34" s="5092"/>
    </row>
    <row r="35" spans="1:82" x14ac:dyDescent="0.25">
      <c r="A35" s="40" t="s">
        <v>1419</v>
      </c>
      <c r="B35" s="40"/>
      <c r="C35" s="40"/>
      <c r="D35" s="40"/>
      <c r="E35" s="40"/>
      <c r="F35" s="40"/>
      <c r="G35" s="5094"/>
      <c r="O35" s="5095"/>
      <c r="T35" s="5096"/>
      <c r="AB35" s="5097"/>
      <c r="AG35" s="5098"/>
      <c r="AO35" s="5099"/>
      <c r="AT35" s="5100"/>
      <c r="BB35" s="5101"/>
      <c r="BG35" s="5102"/>
      <c r="BO35" s="5103"/>
      <c r="BT35" s="5104"/>
      <c r="CB35" s="5105"/>
    </row>
    <row r="36" spans="1:82" x14ac:dyDescent="0.25">
      <c r="A36" s="5106" t="s">
        <v>1044</v>
      </c>
      <c r="B36">
        <v>1.26</v>
      </c>
      <c r="C36">
        <v>1.19</v>
      </c>
      <c r="D36">
        <v>1.35</v>
      </c>
      <c r="G36" s="5107">
        <v>0</v>
      </c>
      <c r="H36">
        <v>3</v>
      </c>
      <c r="I36">
        <v>1</v>
      </c>
      <c r="J36">
        <v>0</v>
      </c>
      <c r="K36">
        <v>0</v>
      </c>
      <c r="L36">
        <v>0</v>
      </c>
      <c r="M36">
        <v>1</v>
      </c>
      <c r="N36">
        <v>2</v>
      </c>
      <c r="O36" s="5108">
        <v>0</v>
      </c>
      <c r="P36">
        <v>0</v>
      </c>
      <c r="Q36">
        <v>1</v>
      </c>
      <c r="R36">
        <v>0</v>
      </c>
      <c r="S36">
        <v>0</v>
      </c>
      <c r="T36" s="5109">
        <v>1</v>
      </c>
      <c r="U36">
        <v>1</v>
      </c>
      <c r="V36">
        <v>1</v>
      </c>
      <c r="W36">
        <v>0</v>
      </c>
      <c r="X36">
        <v>0</v>
      </c>
      <c r="Y36">
        <v>0</v>
      </c>
      <c r="Z36">
        <v>3</v>
      </c>
      <c r="AA36">
        <v>2</v>
      </c>
      <c r="AB36" s="5110">
        <v>0</v>
      </c>
      <c r="AC36">
        <v>0</v>
      </c>
      <c r="AD36">
        <v>0</v>
      </c>
      <c r="AE36">
        <v>0</v>
      </c>
      <c r="AF36">
        <v>0</v>
      </c>
      <c r="AG36" s="5111">
        <v>0</v>
      </c>
      <c r="AH36">
        <v>2</v>
      </c>
      <c r="AI36">
        <v>0</v>
      </c>
      <c r="AJ36">
        <v>0</v>
      </c>
      <c r="AK36">
        <v>0</v>
      </c>
      <c r="AL36">
        <v>0</v>
      </c>
      <c r="AM36">
        <v>2</v>
      </c>
      <c r="AN36">
        <v>0</v>
      </c>
      <c r="AO36" s="5112">
        <v>0</v>
      </c>
      <c r="AP36">
        <v>0</v>
      </c>
      <c r="AQ36">
        <v>0</v>
      </c>
      <c r="AR36">
        <v>0</v>
      </c>
      <c r="AS36">
        <v>0</v>
      </c>
      <c r="AT36" s="5113"/>
      <c r="BB36" s="5114"/>
      <c r="BG36" s="5115"/>
      <c r="BO36" s="5116"/>
      <c r="BT36" s="5117"/>
      <c r="CB36" s="5118"/>
      <c r="CD36" t="s">
        <v>1426</v>
      </c>
    </row>
    <row r="37" spans="1:82" x14ac:dyDescent="0.25">
      <c r="A37" s="5119" t="s">
        <v>1420</v>
      </c>
      <c r="B37">
        <v>0.89</v>
      </c>
      <c r="C37">
        <v>1.99</v>
      </c>
      <c r="D37">
        <v>1.0900000000000001</v>
      </c>
      <c r="G37" s="5120">
        <v>0</v>
      </c>
      <c r="H37">
        <v>3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 s="5121">
        <v>0</v>
      </c>
      <c r="P37">
        <v>0</v>
      </c>
      <c r="Q37">
        <v>0</v>
      </c>
      <c r="R37">
        <v>0</v>
      </c>
      <c r="S37">
        <v>0</v>
      </c>
      <c r="T37" s="5122">
        <v>1</v>
      </c>
      <c r="U37">
        <v>0</v>
      </c>
      <c r="V37">
        <v>3</v>
      </c>
      <c r="W37">
        <v>1</v>
      </c>
      <c r="X37">
        <v>1</v>
      </c>
      <c r="Y37">
        <v>0</v>
      </c>
      <c r="Z37">
        <v>3</v>
      </c>
      <c r="AA37">
        <v>0</v>
      </c>
      <c r="AB37" s="5123">
        <v>1</v>
      </c>
      <c r="AC37">
        <v>1</v>
      </c>
      <c r="AD37">
        <v>0</v>
      </c>
      <c r="AE37">
        <v>0</v>
      </c>
      <c r="AF37">
        <v>0</v>
      </c>
      <c r="AG37" s="5124">
        <v>0</v>
      </c>
      <c r="AH37">
        <v>4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2</v>
      </c>
      <c r="AO37" s="5125">
        <v>0</v>
      </c>
      <c r="AP37">
        <v>0</v>
      </c>
      <c r="AQ37">
        <v>0</v>
      </c>
      <c r="AR37">
        <v>0</v>
      </c>
      <c r="AS37">
        <v>0</v>
      </c>
      <c r="AT37" s="5126"/>
      <c r="BB37" s="5127"/>
      <c r="BG37" s="5128"/>
      <c r="BO37" s="5129"/>
      <c r="BT37" s="5130"/>
      <c r="CB37" s="5131"/>
    </row>
    <row r="38" spans="1:82" x14ac:dyDescent="0.25">
      <c r="A38" s="5132" t="s">
        <v>1421</v>
      </c>
      <c r="B38">
        <v>1.34</v>
      </c>
      <c r="C38">
        <v>1.53</v>
      </c>
      <c r="D38">
        <v>0.73</v>
      </c>
      <c r="G38" s="5133">
        <v>0</v>
      </c>
      <c r="H38">
        <v>3</v>
      </c>
      <c r="I38">
        <v>0</v>
      </c>
      <c r="J38">
        <v>1</v>
      </c>
      <c r="K38">
        <v>0</v>
      </c>
      <c r="L38">
        <v>0</v>
      </c>
      <c r="M38">
        <v>2</v>
      </c>
      <c r="N38">
        <v>0</v>
      </c>
      <c r="O38" s="5134">
        <v>0</v>
      </c>
      <c r="P38">
        <v>0</v>
      </c>
      <c r="Q38">
        <v>0</v>
      </c>
      <c r="R38">
        <v>0</v>
      </c>
      <c r="S38">
        <v>0</v>
      </c>
      <c r="T38" s="5135">
        <v>0</v>
      </c>
      <c r="U38">
        <v>0</v>
      </c>
      <c r="V38">
        <v>1</v>
      </c>
      <c r="W38">
        <v>0</v>
      </c>
      <c r="X38">
        <v>1</v>
      </c>
      <c r="Y38">
        <v>0</v>
      </c>
      <c r="Z38">
        <v>2</v>
      </c>
      <c r="AA38">
        <v>1</v>
      </c>
      <c r="AB38" s="5136">
        <v>0</v>
      </c>
      <c r="AC38">
        <v>2</v>
      </c>
      <c r="AD38">
        <v>1</v>
      </c>
      <c r="AE38">
        <v>0</v>
      </c>
      <c r="AF38">
        <v>0</v>
      </c>
      <c r="AG38" s="5137">
        <v>0</v>
      </c>
      <c r="AH38">
        <v>2</v>
      </c>
      <c r="AI38">
        <v>0</v>
      </c>
      <c r="AJ38">
        <v>0</v>
      </c>
      <c r="AK38">
        <v>0</v>
      </c>
      <c r="AL38">
        <v>1</v>
      </c>
      <c r="AM38">
        <v>2</v>
      </c>
      <c r="AN38">
        <v>0</v>
      </c>
      <c r="AO38" s="5138">
        <v>0</v>
      </c>
      <c r="AP38">
        <v>0</v>
      </c>
      <c r="AQ38">
        <v>0</v>
      </c>
      <c r="AR38">
        <v>0</v>
      </c>
      <c r="AS38">
        <v>0</v>
      </c>
      <c r="AT38" s="5139"/>
      <c r="BB38" s="5140"/>
      <c r="BG38" s="5141"/>
      <c r="BO38" s="5142"/>
      <c r="BT38" s="5143"/>
      <c r="CB38" s="5144"/>
    </row>
    <row r="39" spans="1:82" x14ac:dyDescent="0.25">
      <c r="A39" s="5145" t="s">
        <v>1422</v>
      </c>
      <c r="B39">
        <v>1.23</v>
      </c>
      <c r="C39">
        <v>1.38</v>
      </c>
      <c r="D39">
        <v>1.04</v>
      </c>
      <c r="G39" s="5146">
        <v>2</v>
      </c>
      <c r="H39">
        <v>3</v>
      </c>
      <c r="I39">
        <v>2</v>
      </c>
      <c r="J39">
        <v>0</v>
      </c>
      <c r="K39">
        <v>0</v>
      </c>
      <c r="L39">
        <v>0</v>
      </c>
      <c r="M39">
        <v>1</v>
      </c>
      <c r="N39">
        <v>0</v>
      </c>
      <c r="O39" s="5147">
        <v>0</v>
      </c>
      <c r="P39">
        <v>0</v>
      </c>
      <c r="Q39">
        <v>0</v>
      </c>
      <c r="R39">
        <v>0</v>
      </c>
      <c r="S39">
        <v>0</v>
      </c>
      <c r="T39" s="5148">
        <v>0</v>
      </c>
      <c r="U39">
        <v>0</v>
      </c>
      <c r="V39">
        <v>1</v>
      </c>
      <c r="W39">
        <v>1</v>
      </c>
      <c r="X39">
        <v>0</v>
      </c>
      <c r="Y39">
        <v>0</v>
      </c>
      <c r="Z39">
        <v>5</v>
      </c>
      <c r="AA39">
        <v>0</v>
      </c>
      <c r="AB39" s="5149">
        <v>0</v>
      </c>
      <c r="AC39">
        <v>0</v>
      </c>
      <c r="AD39">
        <v>0</v>
      </c>
      <c r="AE39">
        <v>1</v>
      </c>
      <c r="AF39">
        <v>0</v>
      </c>
      <c r="AG39" s="5150">
        <v>0</v>
      </c>
      <c r="AH39">
        <v>1</v>
      </c>
      <c r="AI39">
        <v>1</v>
      </c>
      <c r="AJ39">
        <v>0</v>
      </c>
      <c r="AK39">
        <v>0</v>
      </c>
      <c r="AL39">
        <v>1</v>
      </c>
      <c r="AM39">
        <v>3</v>
      </c>
      <c r="AN39">
        <v>0</v>
      </c>
      <c r="AO39" s="5151">
        <v>0</v>
      </c>
      <c r="AP39">
        <v>0</v>
      </c>
      <c r="AQ39">
        <v>0</v>
      </c>
      <c r="AR39">
        <v>0</v>
      </c>
      <c r="AS39">
        <v>0</v>
      </c>
      <c r="AT39" s="5152"/>
      <c r="BB39" s="5153"/>
      <c r="BG39" s="5154"/>
      <c r="BO39" s="5155"/>
      <c r="BT39" s="5156"/>
      <c r="CB39" s="5157"/>
    </row>
    <row r="40" spans="1:82" x14ac:dyDescent="0.25">
      <c r="A40" s="5158" t="s">
        <v>1423</v>
      </c>
      <c r="B40">
        <v>0.9</v>
      </c>
      <c r="C40">
        <v>0.74</v>
      </c>
      <c r="D40">
        <v>1.1499999999999999</v>
      </c>
      <c r="G40" s="5159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 s="5160">
        <v>0</v>
      </c>
      <c r="P40">
        <v>0</v>
      </c>
      <c r="Q40">
        <v>0</v>
      </c>
      <c r="R40">
        <v>0</v>
      </c>
      <c r="S40">
        <v>0</v>
      </c>
      <c r="T40" s="5161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2</v>
      </c>
      <c r="AA40">
        <v>0</v>
      </c>
      <c r="AB40" s="5162">
        <v>1</v>
      </c>
      <c r="AC40">
        <v>1</v>
      </c>
      <c r="AD40">
        <v>0</v>
      </c>
      <c r="AE40">
        <v>0</v>
      </c>
      <c r="AF40">
        <v>0</v>
      </c>
      <c r="AG40" s="5163">
        <v>2</v>
      </c>
      <c r="AH40">
        <v>3</v>
      </c>
      <c r="AI40">
        <v>1</v>
      </c>
      <c r="AJ40">
        <v>0</v>
      </c>
      <c r="AK40">
        <v>0</v>
      </c>
      <c r="AL40">
        <v>0</v>
      </c>
      <c r="AM40">
        <v>1</v>
      </c>
      <c r="AN40">
        <v>0</v>
      </c>
      <c r="AO40" s="5164">
        <v>0</v>
      </c>
      <c r="AP40">
        <v>1</v>
      </c>
      <c r="AQ40">
        <v>0</v>
      </c>
      <c r="AR40">
        <v>0</v>
      </c>
      <c r="AS40">
        <v>0</v>
      </c>
      <c r="AT40" s="5165"/>
      <c r="BB40" s="5166"/>
      <c r="BG40" s="5167"/>
      <c r="BO40" s="5168"/>
      <c r="BT40" s="5169"/>
      <c r="CB40" s="5170"/>
    </row>
    <row r="41" spans="1:82" x14ac:dyDescent="0.25">
      <c r="A41" s="5171" t="s">
        <v>1424</v>
      </c>
      <c r="B41">
        <v>0.92</v>
      </c>
      <c r="C41">
        <v>0.96</v>
      </c>
      <c r="D41">
        <v>1.06</v>
      </c>
      <c r="G41" s="5172">
        <v>2</v>
      </c>
      <c r="H41">
        <v>3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 s="5173">
        <v>0</v>
      </c>
      <c r="P41">
        <v>0</v>
      </c>
      <c r="Q41">
        <v>0</v>
      </c>
      <c r="R41">
        <v>0</v>
      </c>
      <c r="S41">
        <v>0</v>
      </c>
      <c r="T41" s="5174">
        <v>1</v>
      </c>
      <c r="U41">
        <v>1</v>
      </c>
      <c r="V41">
        <v>1</v>
      </c>
      <c r="W41">
        <v>0</v>
      </c>
      <c r="X41">
        <v>0</v>
      </c>
      <c r="Y41">
        <v>1</v>
      </c>
      <c r="Z41">
        <v>7</v>
      </c>
      <c r="AA41">
        <v>1</v>
      </c>
      <c r="AB41" s="5175">
        <v>2</v>
      </c>
      <c r="AC41">
        <v>0</v>
      </c>
      <c r="AD41">
        <v>0</v>
      </c>
      <c r="AE41">
        <v>0</v>
      </c>
      <c r="AF41">
        <v>0</v>
      </c>
      <c r="AG41" s="5176">
        <v>2</v>
      </c>
      <c r="AH41">
        <v>2</v>
      </c>
      <c r="AI41">
        <v>1</v>
      </c>
      <c r="AJ41">
        <v>0</v>
      </c>
      <c r="AK41">
        <v>0</v>
      </c>
      <c r="AL41">
        <v>0</v>
      </c>
      <c r="AM41">
        <v>6</v>
      </c>
      <c r="AN41">
        <v>0</v>
      </c>
      <c r="AO41" s="5177">
        <v>1</v>
      </c>
      <c r="AP41">
        <v>0</v>
      </c>
      <c r="AQ41">
        <v>0</v>
      </c>
      <c r="AR41">
        <v>0</v>
      </c>
      <c r="AS41">
        <v>0</v>
      </c>
      <c r="AT41" s="5178"/>
      <c r="BB41" s="5179"/>
      <c r="BG41" s="5180"/>
      <c r="BO41" s="5181"/>
      <c r="BT41" s="5182"/>
      <c r="CB41" s="5183"/>
    </row>
    <row r="42" spans="1:82" x14ac:dyDescent="0.25">
      <c r="A42" t="s">
        <v>1427</v>
      </c>
      <c r="G42" s="5185"/>
      <c r="O42" s="5186"/>
      <c r="T42" s="5187"/>
      <c r="AB42" s="5188"/>
      <c r="AG42" s="5189"/>
      <c r="AO42" s="5190"/>
      <c r="AT42" s="5191"/>
      <c r="BB42" s="5192"/>
      <c r="BG42" s="5193"/>
      <c r="BO42" s="5194"/>
      <c r="BT42" s="5195"/>
      <c r="CB42" s="5196"/>
    </row>
    <row r="43" spans="1:82" x14ac:dyDescent="0.25">
      <c r="A43" s="5197" t="s">
        <v>1428</v>
      </c>
      <c r="B43">
        <v>1.0900000000000001</v>
      </c>
      <c r="C43">
        <v>0.75</v>
      </c>
      <c r="D43">
        <v>0.59</v>
      </c>
      <c r="G43" s="5198">
        <v>1</v>
      </c>
      <c r="H43">
        <v>2</v>
      </c>
      <c r="I43">
        <v>0</v>
      </c>
      <c r="J43">
        <v>1</v>
      </c>
      <c r="K43">
        <v>0</v>
      </c>
      <c r="L43">
        <v>0</v>
      </c>
      <c r="M43">
        <v>1</v>
      </c>
      <c r="N43">
        <v>1</v>
      </c>
      <c r="O43" s="5199">
        <v>0</v>
      </c>
      <c r="P43">
        <v>0</v>
      </c>
      <c r="Q43">
        <v>0</v>
      </c>
      <c r="R43">
        <v>0</v>
      </c>
      <c r="S43">
        <v>0</v>
      </c>
      <c r="T43" s="5200">
        <v>2</v>
      </c>
      <c r="U43">
        <v>0</v>
      </c>
      <c r="V43">
        <v>0</v>
      </c>
      <c r="W43">
        <v>0</v>
      </c>
      <c r="X43">
        <v>0</v>
      </c>
      <c r="Y43">
        <v>0</v>
      </c>
      <c r="Z43">
        <v>5</v>
      </c>
      <c r="AA43">
        <v>1</v>
      </c>
      <c r="AB43" s="5201">
        <v>0</v>
      </c>
      <c r="AC43">
        <v>0</v>
      </c>
      <c r="AD43">
        <v>0</v>
      </c>
      <c r="AE43">
        <v>0</v>
      </c>
      <c r="AF43">
        <v>0</v>
      </c>
      <c r="AG43" s="5202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1</v>
      </c>
      <c r="AO43" s="5203">
        <v>0</v>
      </c>
      <c r="AP43">
        <v>0</v>
      </c>
      <c r="AQ43">
        <v>0</v>
      </c>
      <c r="AR43">
        <v>0</v>
      </c>
      <c r="AS43">
        <v>0</v>
      </c>
      <c r="AT43" s="5204"/>
      <c r="BB43" s="5205"/>
      <c r="BG43" s="5206"/>
      <c r="BO43" s="5207"/>
      <c r="BT43" s="5208"/>
      <c r="CB43" s="5209"/>
    </row>
    <row r="44" spans="1:82" x14ac:dyDescent="0.25">
      <c r="A44" s="5210" t="s">
        <v>862</v>
      </c>
      <c r="B44">
        <v>0.61</v>
      </c>
      <c r="C44">
        <v>0.67</v>
      </c>
      <c r="D44">
        <v>1.57</v>
      </c>
      <c r="G44" s="5211">
        <v>0</v>
      </c>
      <c r="H44">
        <v>0</v>
      </c>
      <c r="I44">
        <v>1</v>
      </c>
      <c r="J44">
        <v>0</v>
      </c>
      <c r="K44">
        <v>0</v>
      </c>
      <c r="L44">
        <v>0</v>
      </c>
      <c r="M44">
        <v>0</v>
      </c>
      <c r="N44">
        <v>0</v>
      </c>
      <c r="O44" s="5212">
        <v>0</v>
      </c>
      <c r="P44">
        <v>0</v>
      </c>
      <c r="Q44">
        <v>0</v>
      </c>
      <c r="R44">
        <v>0</v>
      </c>
      <c r="S44">
        <v>0</v>
      </c>
      <c r="T44" s="5213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 s="5214">
        <v>0</v>
      </c>
      <c r="AC44">
        <v>0</v>
      </c>
      <c r="AD44">
        <v>0</v>
      </c>
      <c r="AE44">
        <v>0</v>
      </c>
      <c r="AF44">
        <v>0</v>
      </c>
      <c r="AG44" s="5215">
        <v>0</v>
      </c>
      <c r="AH44">
        <v>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</v>
      </c>
      <c r="AO44" s="5216">
        <v>0</v>
      </c>
      <c r="AP44">
        <v>0</v>
      </c>
      <c r="AQ44">
        <v>0</v>
      </c>
      <c r="AR44">
        <v>0</v>
      </c>
      <c r="AS44">
        <v>0</v>
      </c>
      <c r="AT44" s="5217"/>
      <c r="BB44" s="5218"/>
      <c r="BG44" s="5219"/>
      <c r="BO44" s="5220"/>
      <c r="BT44" s="5221"/>
      <c r="CB44" s="5222"/>
    </row>
    <row r="45" spans="1:82" x14ac:dyDescent="0.25">
      <c r="A45" s="5223" t="s">
        <v>1406</v>
      </c>
      <c r="B45">
        <v>0.97</v>
      </c>
      <c r="C45">
        <v>0.74</v>
      </c>
      <c r="D45">
        <v>1.1000000000000001</v>
      </c>
      <c r="G45" s="5224">
        <v>0</v>
      </c>
      <c r="H45">
        <v>3</v>
      </c>
      <c r="I45">
        <v>1</v>
      </c>
      <c r="J45">
        <v>0</v>
      </c>
      <c r="K45">
        <v>0</v>
      </c>
      <c r="L45">
        <v>1</v>
      </c>
      <c r="M45">
        <v>1</v>
      </c>
      <c r="N45">
        <v>0</v>
      </c>
      <c r="O45" s="5225">
        <v>0</v>
      </c>
      <c r="P45">
        <v>0</v>
      </c>
      <c r="Q45">
        <v>0</v>
      </c>
      <c r="R45">
        <v>0</v>
      </c>
      <c r="S45">
        <v>0</v>
      </c>
      <c r="T45" s="5226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4</v>
      </c>
      <c r="AA45">
        <v>0</v>
      </c>
      <c r="AB45" s="5227">
        <v>0</v>
      </c>
      <c r="AC45">
        <v>1</v>
      </c>
      <c r="AD45">
        <v>0</v>
      </c>
      <c r="AE45">
        <v>0</v>
      </c>
      <c r="AF45">
        <v>0</v>
      </c>
      <c r="AG45" s="5228">
        <v>2</v>
      </c>
      <c r="AH45">
        <v>3</v>
      </c>
      <c r="AI45">
        <v>2</v>
      </c>
      <c r="AJ45">
        <v>0</v>
      </c>
      <c r="AK45">
        <v>0</v>
      </c>
      <c r="AL45">
        <v>0</v>
      </c>
      <c r="AM45">
        <v>1</v>
      </c>
      <c r="AN45">
        <v>1</v>
      </c>
      <c r="AO45" s="5229">
        <v>0</v>
      </c>
      <c r="AP45">
        <v>1</v>
      </c>
      <c r="AQ45">
        <v>0</v>
      </c>
      <c r="AR45">
        <v>0</v>
      </c>
      <c r="AS45">
        <v>0</v>
      </c>
      <c r="AT45" s="5230"/>
      <c r="BB45" s="5231"/>
      <c r="BG45" s="5232"/>
      <c r="BO45" s="5233"/>
      <c r="BT45" s="5234"/>
      <c r="CB45" s="5235"/>
    </row>
    <row r="46" spans="1:82" x14ac:dyDescent="0.25">
      <c r="A46" s="5236" t="s">
        <v>1066</v>
      </c>
      <c r="B46">
        <v>0.54</v>
      </c>
      <c r="C46">
        <v>1.0900000000000001</v>
      </c>
      <c r="D46">
        <v>0.86</v>
      </c>
      <c r="G46" s="5237">
        <v>1</v>
      </c>
      <c r="H46">
        <v>1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 s="5238">
        <v>0</v>
      </c>
      <c r="P46">
        <v>0</v>
      </c>
      <c r="Q46">
        <v>0</v>
      </c>
      <c r="R46">
        <v>0</v>
      </c>
      <c r="S46">
        <v>0</v>
      </c>
      <c r="T46" s="5239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4</v>
      </c>
      <c r="AA46">
        <v>1</v>
      </c>
      <c r="AB46" s="5240">
        <v>0</v>
      </c>
      <c r="AC46">
        <v>0</v>
      </c>
      <c r="AD46">
        <v>0</v>
      </c>
      <c r="AE46">
        <v>0</v>
      </c>
      <c r="AF46">
        <v>0</v>
      </c>
      <c r="AG46" s="5241">
        <v>1</v>
      </c>
      <c r="AH46">
        <v>1</v>
      </c>
      <c r="AI46">
        <v>2</v>
      </c>
      <c r="AJ46">
        <v>0</v>
      </c>
      <c r="AK46">
        <v>0</v>
      </c>
      <c r="AL46">
        <v>1</v>
      </c>
      <c r="AM46">
        <v>2</v>
      </c>
      <c r="AN46">
        <v>0</v>
      </c>
      <c r="AO46" s="5242">
        <v>2</v>
      </c>
      <c r="AP46">
        <v>2</v>
      </c>
      <c r="AQ46">
        <v>0</v>
      </c>
      <c r="AR46">
        <v>0</v>
      </c>
      <c r="AS46">
        <v>0</v>
      </c>
      <c r="AT46" s="5243"/>
      <c r="BB46" s="5244"/>
      <c r="BG46" s="5245"/>
      <c r="BO46" s="5246"/>
      <c r="BT46" s="5247"/>
      <c r="CB46" s="5248"/>
    </row>
    <row r="47" spans="1:82" x14ac:dyDescent="0.25">
      <c r="A47" t="s">
        <v>1430</v>
      </c>
      <c r="G47" s="5249"/>
      <c r="O47" s="5250"/>
      <c r="T47" s="5251"/>
      <c r="AB47" s="5252"/>
      <c r="AG47" s="5253"/>
      <c r="AO47" s="5254"/>
      <c r="AT47" s="5255"/>
      <c r="BB47" s="5256"/>
      <c r="BG47" s="5257"/>
      <c r="BO47" s="5258"/>
      <c r="BT47" s="5259"/>
      <c r="CB47" s="5260"/>
    </row>
    <row r="48" spans="1:82" x14ac:dyDescent="0.25">
      <c r="A48" s="5261" t="s">
        <v>417</v>
      </c>
      <c r="B48">
        <v>0.65</v>
      </c>
      <c r="C48">
        <v>1.32</v>
      </c>
      <c r="D48">
        <v>1.33</v>
      </c>
      <c r="G48" s="5262">
        <v>1</v>
      </c>
      <c r="H48">
        <v>3</v>
      </c>
      <c r="I48">
        <v>0</v>
      </c>
      <c r="J48">
        <v>0</v>
      </c>
      <c r="K48">
        <v>0</v>
      </c>
      <c r="L48">
        <v>0</v>
      </c>
      <c r="M48">
        <v>2</v>
      </c>
      <c r="N48">
        <v>1</v>
      </c>
      <c r="O48" s="5263">
        <v>0</v>
      </c>
      <c r="P48">
        <v>0</v>
      </c>
      <c r="Q48">
        <v>0</v>
      </c>
      <c r="R48">
        <v>0</v>
      </c>
      <c r="S48">
        <v>0</v>
      </c>
      <c r="T48" s="5264">
        <v>0</v>
      </c>
      <c r="U48">
        <v>3</v>
      </c>
      <c r="V48">
        <v>1</v>
      </c>
      <c r="W48">
        <v>0</v>
      </c>
      <c r="X48">
        <v>0</v>
      </c>
      <c r="Y48">
        <v>0</v>
      </c>
      <c r="Z48">
        <v>5</v>
      </c>
      <c r="AA48">
        <v>0</v>
      </c>
      <c r="AB48" s="5265">
        <v>1</v>
      </c>
      <c r="AC48">
        <v>0</v>
      </c>
      <c r="AD48">
        <v>0</v>
      </c>
      <c r="AE48">
        <v>0</v>
      </c>
      <c r="AF48">
        <v>0</v>
      </c>
      <c r="AG48" s="5266">
        <v>0</v>
      </c>
      <c r="AH48">
        <v>1</v>
      </c>
      <c r="AI48">
        <v>1</v>
      </c>
      <c r="AJ48">
        <v>0</v>
      </c>
      <c r="AK48">
        <v>0</v>
      </c>
      <c r="AL48">
        <v>0</v>
      </c>
      <c r="AM48">
        <v>3</v>
      </c>
      <c r="AN48">
        <v>0</v>
      </c>
      <c r="AO48" s="5267">
        <v>1</v>
      </c>
      <c r="AP48">
        <v>0</v>
      </c>
      <c r="AQ48">
        <v>0</v>
      </c>
      <c r="AR48">
        <v>0</v>
      </c>
      <c r="AS48">
        <v>0</v>
      </c>
      <c r="AT48" s="5268"/>
      <c r="BB48" s="5269"/>
      <c r="BG48" s="5270"/>
      <c r="BO48" s="5271"/>
      <c r="BT48" s="5272"/>
      <c r="CB48" s="5273"/>
    </row>
    <row r="49" spans="1:80" x14ac:dyDescent="0.25">
      <c r="A49" s="5274" t="s">
        <v>865</v>
      </c>
      <c r="B49">
        <v>1.61</v>
      </c>
      <c r="C49">
        <v>1.1200000000000001</v>
      </c>
      <c r="D49">
        <v>1.53</v>
      </c>
      <c r="G49" s="5275">
        <v>2</v>
      </c>
      <c r="H49">
        <v>2</v>
      </c>
      <c r="I49">
        <v>1</v>
      </c>
      <c r="J49">
        <v>0</v>
      </c>
      <c r="K49">
        <v>0</v>
      </c>
      <c r="L49">
        <v>1</v>
      </c>
      <c r="M49">
        <v>1</v>
      </c>
      <c r="N49">
        <v>0</v>
      </c>
      <c r="O49" s="5276">
        <v>0</v>
      </c>
      <c r="P49">
        <v>0</v>
      </c>
      <c r="Q49">
        <v>0</v>
      </c>
      <c r="R49">
        <v>0</v>
      </c>
      <c r="S49">
        <v>0</v>
      </c>
      <c r="T49" s="5277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 s="5278">
        <v>0</v>
      </c>
      <c r="AC49">
        <v>0</v>
      </c>
      <c r="AD49">
        <v>0</v>
      </c>
      <c r="AE49">
        <v>0</v>
      </c>
      <c r="AF49">
        <v>0</v>
      </c>
      <c r="AG49" s="5279">
        <v>0</v>
      </c>
      <c r="AH49">
        <v>3</v>
      </c>
      <c r="AI49">
        <v>1</v>
      </c>
      <c r="AJ49">
        <v>0</v>
      </c>
      <c r="AK49">
        <v>0</v>
      </c>
      <c r="AL49">
        <v>1</v>
      </c>
      <c r="AM49">
        <v>2</v>
      </c>
      <c r="AN49">
        <v>1</v>
      </c>
      <c r="AO49" s="5280">
        <v>0</v>
      </c>
      <c r="AP49">
        <v>0</v>
      </c>
      <c r="AQ49">
        <v>0</v>
      </c>
      <c r="AR49">
        <v>0</v>
      </c>
      <c r="AS49">
        <v>0</v>
      </c>
      <c r="AT49" s="5281"/>
      <c r="BB49" s="5282"/>
      <c r="BG49" s="5283"/>
      <c r="BO49" s="5284"/>
      <c r="BT49" s="5285"/>
      <c r="CB49" s="5286"/>
    </row>
    <row r="50" spans="1:80" x14ac:dyDescent="0.25">
      <c r="A50" s="5287" t="s">
        <v>1432</v>
      </c>
      <c r="B50">
        <v>0.94</v>
      </c>
      <c r="C50">
        <v>0.99</v>
      </c>
      <c r="D50">
        <v>1.24</v>
      </c>
      <c r="G50" s="5288">
        <v>1</v>
      </c>
      <c r="H50">
        <v>0</v>
      </c>
      <c r="I50">
        <v>2</v>
      </c>
      <c r="J50">
        <v>0</v>
      </c>
      <c r="K50">
        <v>0</v>
      </c>
      <c r="L50">
        <v>0</v>
      </c>
      <c r="M50">
        <v>1</v>
      </c>
      <c r="N50">
        <v>1</v>
      </c>
      <c r="O50" s="5289">
        <v>0</v>
      </c>
      <c r="P50">
        <v>0</v>
      </c>
      <c r="Q50">
        <v>0</v>
      </c>
      <c r="R50">
        <v>0</v>
      </c>
      <c r="S50">
        <v>0</v>
      </c>
      <c r="T50" s="5290">
        <v>2</v>
      </c>
      <c r="U50">
        <v>1</v>
      </c>
      <c r="V50">
        <v>1</v>
      </c>
      <c r="W50">
        <v>0</v>
      </c>
      <c r="X50">
        <v>0</v>
      </c>
      <c r="Y50">
        <v>0</v>
      </c>
      <c r="Z50">
        <v>1</v>
      </c>
      <c r="AA50">
        <v>1</v>
      </c>
      <c r="AB50" s="5291">
        <v>0</v>
      </c>
      <c r="AC50">
        <v>0</v>
      </c>
      <c r="AD50">
        <v>0</v>
      </c>
      <c r="AE50">
        <v>0</v>
      </c>
      <c r="AF50">
        <v>0</v>
      </c>
      <c r="AG50" s="5292">
        <v>1</v>
      </c>
      <c r="AH50">
        <v>2</v>
      </c>
      <c r="AI50">
        <v>0</v>
      </c>
      <c r="AJ50">
        <v>2</v>
      </c>
      <c r="AK50">
        <v>0</v>
      </c>
      <c r="AL50">
        <v>2</v>
      </c>
      <c r="AM50">
        <v>1</v>
      </c>
      <c r="AN50">
        <v>1</v>
      </c>
      <c r="AO50" s="5293">
        <v>0</v>
      </c>
      <c r="AP50">
        <v>0</v>
      </c>
      <c r="AQ50">
        <v>0</v>
      </c>
      <c r="AR50">
        <v>0</v>
      </c>
      <c r="AS50">
        <v>0</v>
      </c>
      <c r="AT50" s="5294"/>
      <c r="BB50" s="5295"/>
      <c r="BG50" s="5296"/>
      <c r="BO50" s="5297"/>
      <c r="BT50" s="5298"/>
      <c r="CB50" s="5299"/>
    </row>
    <row r="51" spans="1:80" x14ac:dyDescent="0.25">
      <c r="A51" s="5300" t="s">
        <v>364</v>
      </c>
      <c r="B51">
        <v>0.64</v>
      </c>
      <c r="C51">
        <v>0.87</v>
      </c>
      <c r="D51">
        <v>1.19</v>
      </c>
      <c r="G51" s="5301">
        <v>1</v>
      </c>
      <c r="H51">
        <v>4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 s="5302">
        <v>0</v>
      </c>
      <c r="P51">
        <v>0</v>
      </c>
      <c r="Q51">
        <v>0</v>
      </c>
      <c r="R51">
        <v>0</v>
      </c>
      <c r="S51">
        <v>0</v>
      </c>
      <c r="T51" s="5303">
        <v>1</v>
      </c>
      <c r="U51">
        <v>1</v>
      </c>
      <c r="V51">
        <v>0</v>
      </c>
      <c r="W51">
        <v>0</v>
      </c>
      <c r="X51">
        <v>0</v>
      </c>
      <c r="Y51">
        <v>1</v>
      </c>
      <c r="Z51">
        <v>1</v>
      </c>
      <c r="AA51">
        <v>1</v>
      </c>
      <c r="AB51" s="5304">
        <v>0</v>
      </c>
      <c r="AC51">
        <v>0</v>
      </c>
      <c r="AD51">
        <v>0</v>
      </c>
      <c r="AE51">
        <v>0</v>
      </c>
      <c r="AF51">
        <v>0</v>
      </c>
      <c r="AG51" s="5305">
        <v>1</v>
      </c>
      <c r="AH51">
        <v>0</v>
      </c>
      <c r="AI51">
        <v>0</v>
      </c>
      <c r="AJ51">
        <v>1</v>
      </c>
      <c r="AK51">
        <v>0</v>
      </c>
      <c r="AL51">
        <v>0</v>
      </c>
      <c r="AM51">
        <v>9</v>
      </c>
      <c r="AN51">
        <v>1</v>
      </c>
      <c r="AO51" s="5306">
        <v>0</v>
      </c>
      <c r="AP51">
        <v>0</v>
      </c>
      <c r="AQ51">
        <v>0</v>
      </c>
      <c r="AR51">
        <v>1</v>
      </c>
      <c r="AS51">
        <v>0</v>
      </c>
      <c r="AT51" s="5307"/>
      <c r="BB51" s="5308"/>
      <c r="BG51" s="5309"/>
      <c r="BO51" s="5310"/>
      <c r="BT51" s="5311"/>
      <c r="CB51" s="5312"/>
    </row>
    <row r="52" spans="1:80" x14ac:dyDescent="0.25">
      <c r="A52" s="5313" t="s">
        <v>1435</v>
      </c>
      <c r="B52">
        <v>1.86</v>
      </c>
      <c r="C52">
        <v>1.1000000000000001</v>
      </c>
      <c r="D52">
        <v>2.11</v>
      </c>
      <c r="G52" s="5314">
        <v>2</v>
      </c>
      <c r="H52">
        <v>3</v>
      </c>
      <c r="I52">
        <v>1</v>
      </c>
      <c r="J52">
        <v>0</v>
      </c>
      <c r="K52">
        <v>0</v>
      </c>
      <c r="L52">
        <v>0</v>
      </c>
      <c r="M52">
        <v>1</v>
      </c>
      <c r="N52">
        <v>0</v>
      </c>
      <c r="O52" s="5315">
        <v>0</v>
      </c>
      <c r="P52">
        <v>0</v>
      </c>
      <c r="Q52">
        <v>1</v>
      </c>
      <c r="R52">
        <v>0</v>
      </c>
      <c r="S52">
        <v>0</v>
      </c>
      <c r="T52" s="5316">
        <v>1</v>
      </c>
      <c r="U52">
        <v>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 s="5317">
        <v>0</v>
      </c>
      <c r="AC52">
        <v>0</v>
      </c>
      <c r="AD52">
        <v>0</v>
      </c>
      <c r="AE52">
        <v>0</v>
      </c>
      <c r="AF52">
        <v>0</v>
      </c>
      <c r="AG52" s="5318">
        <v>2</v>
      </c>
      <c r="AH52">
        <v>5</v>
      </c>
      <c r="AI52">
        <v>1</v>
      </c>
      <c r="AJ52">
        <v>0</v>
      </c>
      <c r="AK52">
        <v>0</v>
      </c>
      <c r="AL52">
        <v>1</v>
      </c>
      <c r="AM52">
        <v>1</v>
      </c>
      <c r="AN52">
        <v>0</v>
      </c>
      <c r="AO52" s="5319">
        <v>1</v>
      </c>
      <c r="AP52">
        <v>0</v>
      </c>
      <c r="AQ52">
        <v>0</v>
      </c>
      <c r="AR52">
        <v>0</v>
      </c>
      <c r="AS52">
        <v>0</v>
      </c>
      <c r="AT52" s="5320"/>
      <c r="BB52" s="5321"/>
      <c r="BG52" s="5322"/>
      <c r="BO52" s="5323"/>
      <c r="BT52" s="5324"/>
      <c r="CB52" s="5325"/>
    </row>
    <row r="53" spans="1:80" x14ac:dyDescent="0.25">
      <c r="A53" s="5326" t="s">
        <v>1438</v>
      </c>
      <c r="B53">
        <v>1.06</v>
      </c>
      <c r="C53">
        <v>0.66</v>
      </c>
      <c r="D53">
        <v>1.04</v>
      </c>
      <c r="G53" s="5327">
        <v>2</v>
      </c>
      <c r="H53">
        <v>6</v>
      </c>
      <c r="I53">
        <v>0</v>
      </c>
      <c r="J53">
        <v>1</v>
      </c>
      <c r="K53">
        <v>0</v>
      </c>
      <c r="L53">
        <v>0</v>
      </c>
      <c r="M53">
        <v>3</v>
      </c>
      <c r="N53">
        <v>0</v>
      </c>
      <c r="O53" s="5328">
        <v>0</v>
      </c>
      <c r="P53">
        <v>0</v>
      </c>
      <c r="Q53">
        <v>0</v>
      </c>
      <c r="R53">
        <v>0</v>
      </c>
      <c r="S53">
        <v>0</v>
      </c>
      <c r="T53" s="5329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</v>
      </c>
      <c r="AA53">
        <v>1</v>
      </c>
      <c r="AB53" s="5330">
        <v>0</v>
      </c>
      <c r="AC53">
        <v>0</v>
      </c>
      <c r="AD53">
        <v>0</v>
      </c>
      <c r="AE53">
        <v>0</v>
      </c>
      <c r="AF53">
        <v>0</v>
      </c>
      <c r="AG53" s="5331">
        <v>1</v>
      </c>
      <c r="AH53">
        <v>0</v>
      </c>
      <c r="AI53">
        <v>0</v>
      </c>
      <c r="AJ53">
        <v>2</v>
      </c>
      <c r="AK53">
        <v>0</v>
      </c>
      <c r="AL53">
        <v>4</v>
      </c>
      <c r="AM53">
        <v>2</v>
      </c>
      <c r="AN53">
        <v>0</v>
      </c>
      <c r="AO53" s="5332">
        <v>0</v>
      </c>
      <c r="AP53">
        <v>0</v>
      </c>
      <c r="AQ53">
        <v>0</v>
      </c>
      <c r="AR53">
        <v>1</v>
      </c>
      <c r="AS53">
        <v>0</v>
      </c>
      <c r="AT53" s="5333"/>
      <c r="BB53" s="5334"/>
      <c r="BG53" s="5335"/>
      <c r="BO53" s="5336"/>
      <c r="BT53" s="5337"/>
      <c r="CB53" s="5338"/>
    </row>
    <row r="54" spans="1:80" x14ac:dyDescent="0.25">
      <c r="A54" s="5339" t="s">
        <v>746</v>
      </c>
      <c r="B54">
        <v>0.9</v>
      </c>
      <c r="C54">
        <v>1.49</v>
      </c>
      <c r="D54">
        <v>1.82</v>
      </c>
      <c r="G54" s="5340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s="5341">
        <v>0</v>
      </c>
      <c r="P54">
        <v>0</v>
      </c>
      <c r="Q54">
        <v>0</v>
      </c>
      <c r="R54">
        <v>0</v>
      </c>
      <c r="S54">
        <v>0</v>
      </c>
      <c r="T54" s="5342">
        <v>2</v>
      </c>
      <c r="U54">
        <v>2</v>
      </c>
      <c r="V54">
        <v>0</v>
      </c>
      <c r="W54">
        <v>0</v>
      </c>
      <c r="X54">
        <v>0</v>
      </c>
      <c r="Y54">
        <v>0</v>
      </c>
      <c r="Z54">
        <v>4</v>
      </c>
      <c r="AA54">
        <v>0</v>
      </c>
      <c r="AB54" s="5343">
        <v>1</v>
      </c>
      <c r="AC54">
        <v>0</v>
      </c>
      <c r="AD54">
        <v>0</v>
      </c>
      <c r="AE54">
        <v>0</v>
      </c>
      <c r="AF54">
        <v>0</v>
      </c>
      <c r="AG54" s="5344">
        <v>2</v>
      </c>
      <c r="AH54">
        <v>5</v>
      </c>
      <c r="AI54">
        <v>2</v>
      </c>
      <c r="AJ54">
        <v>0</v>
      </c>
      <c r="AK54">
        <v>1</v>
      </c>
      <c r="AL54">
        <v>0</v>
      </c>
      <c r="AM54">
        <v>2</v>
      </c>
      <c r="AN54">
        <v>0</v>
      </c>
      <c r="AO54" s="5345">
        <v>0</v>
      </c>
      <c r="AP54">
        <v>0</v>
      </c>
      <c r="AQ54">
        <v>0</v>
      </c>
      <c r="AR54">
        <v>0</v>
      </c>
      <c r="AS54">
        <v>0</v>
      </c>
      <c r="AT54" s="5346"/>
      <c r="BB54" s="5347"/>
      <c r="BG54" s="5348"/>
      <c r="BO54" s="5349"/>
      <c r="BT54" s="5350"/>
      <c r="CB54" s="5351"/>
    </row>
    <row r="55" spans="1:80" x14ac:dyDescent="0.25">
      <c r="B55">
        <f>AVERAGE(B3:B54)</f>
        <v>0.95159090909090904</v>
      </c>
      <c r="C55" s="5184">
        <f t="shared" ref="C55:D55" si="17">AVERAGE(C3:C54)</f>
        <v>1.0065909090909093</v>
      </c>
      <c r="D55" s="5184">
        <f t="shared" si="17"/>
        <v>1.1341860465116282</v>
      </c>
      <c r="E55" s="4653"/>
      <c r="F55" s="4653"/>
      <c r="G55" s="4653">
        <f>AVERAGE(G3:G54)</f>
        <v>0.95454545454545459</v>
      </c>
      <c r="H55" s="5093">
        <f>AVERAGE(H3:H54)</f>
        <v>2.0454545454545454</v>
      </c>
      <c r="I55" s="5093">
        <f>AVERAGE(I3:I54)</f>
        <v>0.63636363636363635</v>
      </c>
      <c r="J55" s="5093">
        <f>AVERAGE(J3:J54)</f>
        <v>6.8181818181818177E-2</v>
      </c>
      <c r="K55" s="5093">
        <f>AVERAGE(K3:K54)</f>
        <v>4.5454545454545456E-2</v>
      </c>
      <c r="L55" s="5093">
        <f>AVERAGE(L3:L54)</f>
        <v>0.20454545454545456</v>
      </c>
      <c r="M55" s="5093">
        <f>AVERAGE(M3:M54)</f>
        <v>1.6136363636363635</v>
      </c>
      <c r="N55" s="5093">
        <f>AVERAGE(N3:N54)</f>
        <v>0.40909090909090912</v>
      </c>
      <c r="O55" s="5093">
        <f>AVERAGE(O3:O54)</f>
        <v>0.18181818181818182</v>
      </c>
      <c r="P55" s="5093">
        <f>AVERAGE(P3:P54)</f>
        <v>2.2727272727272728E-2</v>
      </c>
      <c r="Q55" s="5093">
        <f>AVERAGE(Q3:Q54)</f>
        <v>6.8181818181818177E-2</v>
      </c>
      <c r="R55" s="5093">
        <f>AVERAGE(R3:R54)</f>
        <v>0</v>
      </c>
      <c r="S55" s="5093">
        <f>AVERAGE(S3:S54)</f>
        <v>0</v>
      </c>
      <c r="T55" s="5093">
        <f>AVERAGE(T3:T54)</f>
        <v>0.52272727272727271</v>
      </c>
      <c r="U55" s="5093">
        <f>AVERAGE(U3:U54)</f>
        <v>0.70454545454545459</v>
      </c>
      <c r="V55" s="5093">
        <f>AVERAGE(V3:V54)</f>
        <v>0.5</v>
      </c>
      <c r="W55" s="5093">
        <f>AVERAGE(W3:W54)</f>
        <v>0.20454545454545456</v>
      </c>
      <c r="X55" s="5093">
        <f>AVERAGE(X3:X54)</f>
        <v>4.5454545454545456E-2</v>
      </c>
      <c r="Y55" s="5093">
        <f>AVERAGE(Y3:Y54)</f>
        <v>0.11363636363636363</v>
      </c>
      <c r="Z55" s="5093">
        <f>AVERAGE(Z3:Z54)</f>
        <v>2.7727272727272729</v>
      </c>
      <c r="AA55" s="5093">
        <f>AVERAGE(AA3:AA54)</f>
        <v>0.47727272727272729</v>
      </c>
      <c r="AB55" s="5093">
        <f>AVERAGE(AB3:AB54)</f>
        <v>0.25</v>
      </c>
      <c r="AC55" s="5093">
        <f>AVERAGE(AC3:AC54)</f>
        <v>0.20454545454545456</v>
      </c>
      <c r="AD55" s="5093">
        <f>AVERAGE(AD3:AD54)</f>
        <v>2.2727272727272728E-2</v>
      </c>
      <c r="AE55" s="5093">
        <f>AVERAGE(AE3:AE54)</f>
        <v>2.2727272727272728E-2</v>
      </c>
      <c r="AF55" s="5093">
        <f>AVERAGE(AF3:AF54)</f>
        <v>0</v>
      </c>
      <c r="AG55" s="5093">
        <f>AVERAGE(AG3:AG54)</f>
        <v>0.72093023255813948</v>
      </c>
      <c r="AH55" s="5093">
        <f>AVERAGE(AH3:AH54)</f>
        <v>1.8837209302325582</v>
      </c>
      <c r="AI55" s="5093">
        <f>AVERAGE(AI3:AI54)</f>
        <v>0.55813953488372092</v>
      </c>
      <c r="AJ55" s="5093">
        <f>AVERAGE(AJ3:AJ54)</f>
        <v>0.20930232558139536</v>
      </c>
      <c r="AK55" s="5093">
        <f>AVERAGE(AK3:AK54)</f>
        <v>2.3255813953488372E-2</v>
      </c>
      <c r="AL55" s="5093">
        <f>AVERAGE(AL3:AL54)</f>
        <v>0.41860465116279072</v>
      </c>
      <c r="AM55" s="5093">
        <f>AVERAGE(AM3:AM54)</f>
        <v>2.7906976744186047</v>
      </c>
      <c r="AN55" s="5093">
        <f>AVERAGE(AN3:AN54)</f>
        <v>0.60465116279069764</v>
      </c>
      <c r="AO55" s="5093">
        <f>AVERAGE(AO3:AO54)</f>
        <v>0.2558139534883721</v>
      </c>
      <c r="AP55" s="5093">
        <f>AVERAGE(AP3:AP54)</f>
        <v>0.18604651162790697</v>
      </c>
      <c r="AQ55" s="5093">
        <f>AVERAGE(AQ3:AQ54)</f>
        <v>0</v>
      </c>
      <c r="AR55" s="5093">
        <f>AVERAGE(AR3:AR54)</f>
        <v>4.6511627906976744E-2</v>
      </c>
      <c r="AS55" s="5093">
        <f>AVERAGE(AS3:AS54)</f>
        <v>0</v>
      </c>
      <c r="AT55" s="4653" t="e">
        <f>AVERAGE(AT3:AT54)</f>
        <v>#DIV/0!</v>
      </c>
      <c r="AU55" s="4653" t="e">
        <f>AVERAGE(AU3:AU54)</f>
        <v>#DIV/0!</v>
      </c>
      <c r="AV55" s="4653" t="e">
        <f>AVERAGE(AV3:AV54)</f>
        <v>#DIV/0!</v>
      </c>
      <c r="AW55" s="4653" t="e">
        <f>AVERAGE(AW3:AW54)</f>
        <v>#DIV/0!</v>
      </c>
      <c r="AX55" s="4653" t="e">
        <f>AVERAGE(AX3:AX54)</f>
        <v>#DIV/0!</v>
      </c>
      <c r="AY55" s="4653" t="e">
        <f>AVERAGE(AY3:AY54)</f>
        <v>#DIV/0!</v>
      </c>
      <c r="AZ55" s="4653" t="e">
        <f>AVERAGE(AZ3:AZ54)</f>
        <v>#DIV/0!</v>
      </c>
      <c r="BA55" s="4653" t="e">
        <f>AVERAGE(BA3:BA54)</f>
        <v>#DIV/0!</v>
      </c>
      <c r="BB55" s="4653" t="e">
        <f>AVERAGE(BB3:BB54)</f>
        <v>#DIV/0!</v>
      </c>
      <c r="BC55" s="4653" t="e">
        <f>AVERAGE(BC3:BC54)</f>
        <v>#DIV/0!</v>
      </c>
      <c r="BD55" s="4653" t="e">
        <f>AVERAGE(BD3:BD54)</f>
        <v>#DIV/0!</v>
      </c>
      <c r="BE55" s="4653" t="e">
        <f>AVERAGE(BE3:BE54)</f>
        <v>#DIV/0!</v>
      </c>
      <c r="BF55" s="4653" t="e">
        <f>AVERAGE(BF3:BF54)</f>
        <v>#DIV/0!</v>
      </c>
      <c r="BG55" s="4653" t="e">
        <f>AVERAGE(BG3:BG54)</f>
        <v>#DIV/0!</v>
      </c>
      <c r="BH55" s="4653" t="e">
        <f>AVERAGE(BH3:BH54)</f>
        <v>#DIV/0!</v>
      </c>
      <c r="BI55" s="4653" t="e">
        <f>AVERAGE(BI3:BI54)</f>
        <v>#DIV/0!</v>
      </c>
      <c r="BJ55" s="4653" t="e">
        <f>AVERAGE(BJ3:BJ54)</f>
        <v>#DIV/0!</v>
      </c>
      <c r="BK55" s="4653" t="e">
        <f>AVERAGE(BK3:BK54)</f>
        <v>#DIV/0!</v>
      </c>
      <c r="BL55" s="4653" t="e">
        <f>AVERAGE(BL3:BL54)</f>
        <v>#DIV/0!</v>
      </c>
      <c r="BM55" s="4653" t="e">
        <f>AVERAGE(BM3:BM54)</f>
        <v>#DIV/0!</v>
      </c>
      <c r="BN55" s="4653" t="e">
        <f>AVERAGE(BN3:BN54)</f>
        <v>#DIV/0!</v>
      </c>
      <c r="BO55" s="4653" t="e">
        <f>AVERAGE(BO3:BO54)</f>
        <v>#DIV/0!</v>
      </c>
      <c r="BP55" s="4653" t="e">
        <f>AVERAGE(BP3:BP54)</f>
        <v>#DIV/0!</v>
      </c>
      <c r="BQ55" s="4653" t="e">
        <f>AVERAGE(BQ3:BQ54)</f>
        <v>#DIV/0!</v>
      </c>
      <c r="BR55" s="4653" t="e">
        <f>AVERAGE(BR3:BR54)</f>
        <v>#DIV/0!</v>
      </c>
      <c r="BS55" s="4653" t="e">
        <f>AVERAGE(BS3:BS54)</f>
        <v>#DIV/0!</v>
      </c>
      <c r="BT55" s="4653" t="e">
        <f>AVERAGE(BT3:BT54)</f>
        <v>#DIV/0!</v>
      </c>
      <c r="BU55" s="4653" t="e">
        <f>AVERAGE(BU3:BU54)</f>
        <v>#DIV/0!</v>
      </c>
      <c r="BV55" s="4653" t="e">
        <f>AVERAGE(BV3:BV54)</f>
        <v>#DIV/0!</v>
      </c>
      <c r="BW55" s="4653" t="e">
        <f>AVERAGE(BW3:BW54)</f>
        <v>#DIV/0!</v>
      </c>
      <c r="BX55" s="4653" t="e">
        <f>AVERAGE(BX3:BX54)</f>
        <v>#DIV/0!</v>
      </c>
      <c r="BY55" s="4653" t="e">
        <f>AVERAGE(BY3:BY54)</f>
        <v>#DIV/0!</v>
      </c>
      <c r="BZ55" s="4653" t="e">
        <f>AVERAGE(BZ3:BZ54)</f>
        <v>#DIV/0!</v>
      </c>
      <c r="CA55" s="4653" t="e">
        <f>AVERAGE(CA3:CA54)</f>
        <v>#DIV/0!</v>
      </c>
      <c r="CB55" s="4653" t="e">
        <f>AVERAGE(CB3:CB54)</f>
        <v>#DIV/0!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384" t="s">
        <v>1100</v>
      </c>
      <c r="CM1" s="5384"/>
      <c r="CN1" s="5384"/>
      <c r="CO1" s="5384"/>
      <c r="CP1" s="5384"/>
      <c r="CQ1" s="5384"/>
      <c r="CR1" s="5401" t="s">
        <v>1343</v>
      </c>
      <c r="CS1" s="5382"/>
      <c r="CT1" s="5382"/>
      <c r="CU1" s="5382"/>
      <c r="CV1" s="5382"/>
      <c r="CW1" s="5382"/>
      <c r="CX1" s="5383" t="s">
        <v>1101</v>
      </c>
      <c r="CY1" s="5383"/>
      <c r="CZ1" s="5383"/>
      <c r="DA1" s="5383"/>
      <c r="DB1" s="5383"/>
      <c r="DC1" s="5383"/>
      <c r="DD1" s="5373" t="s">
        <v>1102</v>
      </c>
      <c r="DE1" s="5373"/>
      <c r="DF1" s="5373"/>
      <c r="DG1" s="5373"/>
      <c r="DH1" s="5373"/>
      <c r="DI1" s="5373"/>
      <c r="DJ1" s="5383" t="s">
        <v>1104</v>
      </c>
      <c r="DK1" s="5383"/>
      <c r="DL1" s="5383"/>
      <c r="DM1" s="5383"/>
      <c r="DN1" s="5383"/>
      <c r="DO1" s="5383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356" t="e">
        <f>_xlfn.AGGREGATE(1,6,CL2:CQ2)</f>
        <v>#DIV/0!</v>
      </c>
      <c r="CM3" s="5356"/>
      <c r="CN3" s="5356"/>
      <c r="CO3" s="5356"/>
      <c r="CP3" s="5356"/>
      <c r="CQ3" s="5356"/>
      <c r="CR3" s="5356" t="e">
        <f t="shared" ref="CR3" si="1">_xlfn.AGGREGATE(1,6,CR2:CW2)</f>
        <v>#DIV/0!</v>
      </c>
      <c r="CS3" s="5356"/>
      <c r="CT3" s="5356"/>
      <c r="CU3" s="5356"/>
      <c r="CV3" s="5356"/>
      <c r="CW3" s="5356"/>
      <c r="CX3" s="5356" t="e">
        <f t="shared" ref="CX3" si="2">_xlfn.AGGREGATE(1,6,CX2:DC2)</f>
        <v>#DIV/0!</v>
      </c>
      <c r="CY3" s="5356"/>
      <c r="CZ3" s="5356"/>
      <c r="DA3" s="5356"/>
      <c r="DB3" s="5356"/>
      <c r="DC3" s="5356"/>
      <c r="DD3" s="5356" t="e">
        <f t="shared" ref="DD3" si="3">_xlfn.AGGREGATE(1,6,DD2:DI2)</f>
        <v>#DIV/0!</v>
      </c>
      <c r="DE3" s="5356"/>
      <c r="DF3" s="5356"/>
      <c r="DG3" s="5356"/>
      <c r="DH3" s="5356"/>
      <c r="DI3" s="5356"/>
      <c r="DJ3" s="5356" t="e">
        <f t="shared" ref="DJ3" si="4">_xlfn.AGGREGATE(1,6,DJ2:DO2)</f>
        <v>#DIV/0!</v>
      </c>
      <c r="DK3" s="5356"/>
      <c r="DL3" s="5356"/>
      <c r="DM3" s="5356"/>
      <c r="DN3" s="5356"/>
      <c r="DO3" s="5356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373" t="s">
        <v>1099</v>
      </c>
      <c r="CM4" s="5373"/>
      <c r="CN4" s="5373"/>
      <c r="CO4" s="5373"/>
      <c r="CP4" s="5373"/>
      <c r="CQ4" s="5373"/>
      <c r="CR4" s="5380" t="s">
        <v>994</v>
      </c>
      <c r="CS4" s="5380"/>
      <c r="CT4" s="5380"/>
      <c r="CU4" s="5380"/>
      <c r="CV4" s="5380"/>
      <c r="CW4" s="5380"/>
      <c r="CX4" s="5373" t="s">
        <v>1103</v>
      </c>
      <c r="CY4" s="5373"/>
      <c r="CZ4" s="5373"/>
      <c r="DA4" s="5373"/>
      <c r="DB4" s="5373"/>
      <c r="DC4" s="5373"/>
      <c r="DD4" s="5381" t="s">
        <v>1105</v>
      </c>
      <c r="DE4" s="5380"/>
      <c r="DF4" s="5380"/>
      <c r="DG4" s="5380"/>
      <c r="DH4" s="5380"/>
      <c r="DI4" s="5380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9"/>
  <sheetViews>
    <sheetView workbookViewId="0">
      <selection activeCell="L19" sqref="L19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376" t="s">
        <v>1372</v>
      </c>
      <c r="I3" s="5376"/>
      <c r="J3" s="5376"/>
      <c r="K3" s="5376"/>
      <c r="L3" s="5374" t="s">
        <v>1402</v>
      </c>
      <c r="M3" s="5374"/>
      <c r="N3" s="5374"/>
      <c r="O3" s="5374"/>
      <c r="P3" s="5381" t="s">
        <v>1370</v>
      </c>
      <c r="Q3" s="5381"/>
      <c r="R3" s="5381"/>
      <c r="S3" s="5381"/>
      <c r="T3" s="5373" t="s">
        <v>1400</v>
      </c>
      <c r="U3" s="5373"/>
      <c r="V3" s="5373"/>
      <c r="W3" s="5373"/>
      <c r="X3" s="5373" t="s">
        <v>1374</v>
      </c>
      <c r="Y3" s="5373"/>
      <c r="Z3" s="5373"/>
      <c r="AA3" s="5373"/>
      <c r="AB3" s="5375" t="s">
        <v>1367</v>
      </c>
      <c r="AC3" s="5375"/>
      <c r="AD3" s="5375"/>
      <c r="AE3" s="5375"/>
      <c r="AF3" s="5375" t="s">
        <v>1373</v>
      </c>
      <c r="AG3" s="5375"/>
      <c r="AH3" s="5375"/>
      <c r="AI3" s="5375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372" t="e">
        <f>AVERAGE(H4:K4)</f>
        <v>#DIV/0!</v>
      </c>
      <c r="I5" s="5372"/>
      <c r="J5" s="5372"/>
      <c r="K5" s="5372"/>
      <c r="L5" s="5372" t="e">
        <f>AVERAGE(L4:O4)</f>
        <v>#DIV/0!</v>
      </c>
      <c r="M5" s="5372"/>
      <c r="N5" s="5372"/>
      <c r="O5" s="5372"/>
      <c r="P5" s="5372" t="e">
        <f>AVERAGE(P4:S4)</f>
        <v>#DIV/0!</v>
      </c>
      <c r="Q5" s="5372"/>
      <c r="R5" s="5372"/>
      <c r="S5" s="5372"/>
      <c r="T5" s="5372" t="e">
        <f>AVERAGE(T4:W4)</f>
        <v>#DIV/0!</v>
      </c>
      <c r="U5" s="5372"/>
      <c r="V5" s="5372"/>
      <c r="W5" s="5372"/>
      <c r="X5" s="5372" t="e">
        <f>AVERAGE(X4:AA4)</f>
        <v>#DIV/0!</v>
      </c>
      <c r="Y5" s="5372"/>
      <c r="Z5" s="5372"/>
      <c r="AA5" s="5372"/>
      <c r="AB5" s="5372" t="e">
        <f t="shared" ref="AB5" si="6">AVERAGE(AB4:AE4)</f>
        <v>#DIV/0!</v>
      </c>
      <c r="AC5" s="5372"/>
      <c r="AD5" s="5372"/>
      <c r="AE5" s="5372"/>
      <c r="AF5" s="5372" t="e">
        <f>AVERAGE(AF4:AI4)</f>
        <v>#DIV/0!</v>
      </c>
      <c r="AG5" s="5372"/>
      <c r="AH5" s="5372"/>
      <c r="AI5" s="5372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1376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1385</v>
      </c>
      <c r="B15">
        <v>1.28</v>
      </c>
      <c r="C15">
        <v>0.79</v>
      </c>
    </row>
    <row r="16" spans="1:85" x14ac:dyDescent="0.25">
      <c r="A16" s="619" t="s">
        <v>1398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5" x14ac:dyDescent="0.25">
      <c r="A17" s="4809" t="s">
        <v>1399</v>
      </c>
      <c r="B17">
        <v>0.98</v>
      </c>
      <c r="C17">
        <v>1.1000000000000001</v>
      </c>
    </row>
    <row r="18" spans="1:5" x14ac:dyDescent="0.25">
      <c r="A18" s="4810" t="s">
        <v>1401</v>
      </c>
      <c r="B18">
        <v>0.56000000000000005</v>
      </c>
      <c r="C18">
        <v>0.79</v>
      </c>
    </row>
    <row r="19" spans="1:5" x14ac:dyDescent="0.25">
      <c r="B19">
        <f>AVERAGE(B3:B18)</f>
        <v>1.0033333333333332</v>
      </c>
      <c r="C19" s="4150">
        <f t="shared" ref="C19:E19" si="7">AVERAGE(C3:C18)</f>
        <v>1.0272727272727273</v>
      </c>
      <c r="D19" s="4150" t="e">
        <f t="shared" si="7"/>
        <v>#DIV/0!</v>
      </c>
      <c r="E19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2026-04-01T18:21:55Z</dcterms:modified>
</cp:coreProperties>
</file>