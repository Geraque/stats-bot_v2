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20980FCD-24B0-4643-9104-4CE5D0964BE3}" xr6:coauthVersionLast="45" xr6:coauthVersionMax="47" xr10:uidLastSave="{00000000-0000-0000-0000-000000000000}"/>
  <bookViews>
    <workbookView xWindow="-120" yWindow="-120" windowWidth="29040" windowHeight="15720" firstSheet="8" activeTab="18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  <sheet name="2026 mm" sheetId="16" r:id="rId16"/>
    <sheet name="Premier 2026" sheetId="18" r:id="rId17"/>
    <sheet name="Faceit 2026" sheetId="17" r:id="rId18"/>
    <sheet name="2х2 2026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9" i="18" l="1"/>
  <c r="D9" i="18"/>
  <c r="B9" i="18"/>
  <c r="CM2" i="18"/>
  <c r="CN2" i="18"/>
  <c r="CO2" i="18"/>
  <c r="CP2" i="18"/>
  <c r="CQ2" i="18"/>
  <c r="CL2" i="18"/>
  <c r="AF5" i="19"/>
  <c r="AB5" i="19"/>
  <c r="AG4" i="19"/>
  <c r="AH4" i="19"/>
  <c r="AI4" i="19"/>
  <c r="AF4" i="19"/>
  <c r="AC4" i="19"/>
  <c r="AD4" i="19"/>
  <c r="AE4" i="19"/>
  <c r="AB4" i="19"/>
  <c r="P4" i="19"/>
  <c r="U4" i="19" l="1"/>
  <c r="V4" i="19"/>
  <c r="W4" i="19"/>
  <c r="T4" i="19"/>
  <c r="Q4" i="19"/>
  <c r="R4" i="19"/>
  <c r="S4" i="19"/>
  <c r="M4" i="19"/>
  <c r="N4" i="19"/>
  <c r="O4" i="19"/>
  <c r="L4" i="19"/>
  <c r="I4" i="19"/>
  <c r="J4" i="19"/>
  <c r="K4" i="19"/>
  <c r="H4" i="19"/>
  <c r="B26" i="16" l="1"/>
  <c r="T5" i="19"/>
  <c r="P5" i="19"/>
  <c r="L5" i="19"/>
  <c r="H5" i="19"/>
  <c r="X5" i="19"/>
  <c r="Y4" i="19"/>
  <c r="Z4" i="19"/>
  <c r="AA4" i="19"/>
  <c r="X4" i="19"/>
  <c r="DC5" i="16"/>
  <c r="DB6" i="16" s="1"/>
  <c r="DD5" i="16"/>
  <c r="DE5" i="16"/>
  <c r="DF5" i="16"/>
  <c r="DG5" i="16"/>
  <c r="DB5" i="16"/>
  <c r="CW5" i="16"/>
  <c r="CX5" i="16"/>
  <c r="CY5" i="16"/>
  <c r="CZ5" i="16"/>
  <c r="DA5" i="16"/>
  <c r="CV5" i="16"/>
  <c r="CQ5" i="16"/>
  <c r="CP6" i="16" s="1"/>
  <c r="CR5" i="16"/>
  <c r="CS5" i="16"/>
  <c r="CT5" i="16"/>
  <c r="CU5" i="16"/>
  <c r="CP5" i="16"/>
  <c r="CK5" i="16"/>
  <c r="CL5" i="16"/>
  <c r="CM5" i="16"/>
  <c r="CN5" i="16"/>
  <c r="CO5" i="16"/>
  <c r="CJ5" i="16"/>
  <c r="DI2" i="16"/>
  <c r="DH3" i="16" s="1"/>
  <c r="DJ2" i="16"/>
  <c r="DK2" i="16"/>
  <c r="DL2" i="16"/>
  <c r="DM2" i="16"/>
  <c r="DH2" i="16"/>
  <c r="DC2" i="16"/>
  <c r="DB3" i="16" s="1"/>
  <c r="DD2" i="16"/>
  <c r="DE2" i="16"/>
  <c r="DF2" i="16"/>
  <c r="DG2" i="16"/>
  <c r="DB2" i="16"/>
  <c r="CW2" i="16"/>
  <c r="CX2" i="16"/>
  <c r="CY2" i="16"/>
  <c r="CZ2" i="16"/>
  <c r="DA2" i="16"/>
  <c r="CV2" i="16"/>
  <c r="CQ2" i="16"/>
  <c r="CR2" i="16"/>
  <c r="CS2" i="16"/>
  <c r="CT2" i="16"/>
  <c r="CU2" i="16"/>
  <c r="CP2" i="16"/>
  <c r="CO2" i="16"/>
  <c r="CK2" i="16"/>
  <c r="CL2" i="16"/>
  <c r="CM2" i="16"/>
  <c r="CN2" i="16"/>
  <c r="CJ2" i="16"/>
  <c r="CV6" i="16"/>
  <c r="CP3" i="16"/>
  <c r="H26" i="16"/>
  <c r="I26" i="16"/>
  <c r="J26" i="16"/>
  <c r="K26" i="16"/>
  <c r="L26" i="16"/>
  <c r="M26" i="16"/>
  <c r="N26" i="16"/>
  <c r="O26" i="16"/>
  <c r="P26" i="16"/>
  <c r="Q26" i="16"/>
  <c r="R26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AN26" i="16"/>
  <c r="AO26" i="16"/>
  <c r="AP26" i="16"/>
  <c r="AQ26" i="16"/>
  <c r="AR26" i="16"/>
  <c r="AS26" i="16"/>
  <c r="AT26" i="16"/>
  <c r="AU26" i="16"/>
  <c r="AV26" i="16"/>
  <c r="AW26" i="16"/>
  <c r="AX26" i="16"/>
  <c r="AY26" i="16"/>
  <c r="AZ26" i="16"/>
  <c r="BA26" i="16"/>
  <c r="BB26" i="16"/>
  <c r="BC26" i="16"/>
  <c r="BD26" i="16"/>
  <c r="BE26" i="16"/>
  <c r="BF26" i="16"/>
  <c r="BG26" i="16"/>
  <c r="BH26" i="16"/>
  <c r="BI26" i="16"/>
  <c r="BJ26" i="16"/>
  <c r="BK26" i="16"/>
  <c r="BL26" i="16"/>
  <c r="BM26" i="16"/>
  <c r="BN26" i="16"/>
  <c r="BO26" i="16"/>
  <c r="BP26" i="16"/>
  <c r="BQ26" i="16"/>
  <c r="BR26" i="16"/>
  <c r="BS26" i="16"/>
  <c r="G26" i="16"/>
  <c r="CV3" i="16" l="1"/>
  <c r="CM5" i="18"/>
  <c r="CN5" i="18"/>
  <c r="CO5" i="18"/>
  <c r="CP5" i="18"/>
  <c r="CQ5" i="18"/>
  <c r="CR5" i="18"/>
  <c r="CS5" i="18"/>
  <c r="CT5" i="18"/>
  <c r="CU5" i="18"/>
  <c r="CV5" i="18"/>
  <c r="CW5" i="18"/>
  <c r="CX5" i="18"/>
  <c r="CY5" i="18"/>
  <c r="CZ5" i="18"/>
  <c r="DA5" i="18"/>
  <c r="DB5" i="18"/>
  <c r="DC5" i="18"/>
  <c r="DD5" i="18"/>
  <c r="DE5" i="18"/>
  <c r="DF5" i="18"/>
  <c r="DG5" i="18"/>
  <c r="DH5" i="18"/>
  <c r="DI5" i="18"/>
  <c r="CL5" i="18"/>
  <c r="H5" i="12"/>
  <c r="B4" i="15" l="1"/>
  <c r="CR2" i="18"/>
  <c r="DO2" i="18" l="1"/>
  <c r="DN2" i="18"/>
  <c r="DM2" i="18"/>
  <c r="DL2" i="18"/>
  <c r="DK2" i="18"/>
  <c r="DJ2" i="18"/>
  <c r="DJ3" i="18" s="1"/>
  <c r="DI2" i="18"/>
  <c r="DH2" i="18"/>
  <c r="DG2" i="18"/>
  <c r="DF2" i="18"/>
  <c r="DE2" i="18"/>
  <c r="DD2" i="18"/>
  <c r="DC2" i="18"/>
  <c r="DB2" i="18"/>
  <c r="DA2" i="18"/>
  <c r="CZ2" i="18"/>
  <c r="CY2" i="18"/>
  <c r="CX2" i="18"/>
  <c r="CW2" i="18"/>
  <c r="CV2" i="18"/>
  <c r="CR3" i="18" s="1"/>
  <c r="CU2" i="18"/>
  <c r="CT2" i="18"/>
  <c r="CS2" i="18"/>
  <c r="DO2" i="17"/>
  <c r="DN2" i="17"/>
  <c r="DM2" i="17"/>
  <c r="DL2" i="17"/>
  <c r="DK2" i="17"/>
  <c r="DJ2" i="17"/>
  <c r="DJ3" i="17" s="1"/>
  <c r="DI2" i="17"/>
  <c r="DH2" i="17"/>
  <c r="DG2" i="17"/>
  <c r="DF2" i="17"/>
  <c r="DE2" i="17"/>
  <c r="DD2" i="17"/>
  <c r="DD3" i="17" s="1"/>
  <c r="DC2" i="17"/>
  <c r="DB2" i="17"/>
  <c r="DA2" i="17"/>
  <c r="CZ2" i="17"/>
  <c r="CY2" i="17"/>
  <c r="CX2" i="17"/>
  <c r="CX3" i="17" s="1"/>
  <c r="CW2" i="17"/>
  <c r="CV2" i="17"/>
  <c r="CU2" i="17"/>
  <c r="CT2" i="17"/>
  <c r="CS2" i="17"/>
  <c r="CR2" i="17"/>
  <c r="CQ2" i="17"/>
  <c r="CP2" i="17"/>
  <c r="CO2" i="17"/>
  <c r="CN2" i="17"/>
  <c r="CM2" i="17"/>
  <c r="CL2" i="17"/>
  <c r="U126" i="13"/>
  <c r="T126" i="13"/>
  <c r="AF126" i="13"/>
  <c r="S126" i="13"/>
  <c r="P126" i="13"/>
  <c r="O126" i="13"/>
  <c r="G126" i="13"/>
  <c r="H126" i="13"/>
  <c r="I126" i="13"/>
  <c r="J126" i="13"/>
  <c r="K126" i="13"/>
  <c r="L126" i="13"/>
  <c r="M126" i="13"/>
  <c r="N126" i="13"/>
  <c r="Q126" i="13"/>
  <c r="R126" i="13"/>
  <c r="F126" i="13"/>
  <c r="DN5" i="13"/>
  <c r="DH2" i="13"/>
  <c r="DB5" i="13"/>
  <c r="DB2" i="13"/>
  <c r="CV5" i="13"/>
  <c r="CW2" i="13"/>
  <c r="CX2" i="13"/>
  <c r="CY2" i="13"/>
  <c r="CV2" i="13"/>
  <c r="CK5" i="13"/>
  <c r="CL5" i="13"/>
  <c r="CM5" i="13"/>
  <c r="CJ5" i="13"/>
  <c r="CK2" i="13"/>
  <c r="CL2" i="13"/>
  <c r="CM2" i="13"/>
  <c r="CJ2" i="13"/>
  <c r="CQ2" i="13"/>
  <c r="CR2" i="13"/>
  <c r="CS2" i="13"/>
  <c r="CP2" i="13"/>
  <c r="B126" i="13"/>
  <c r="DU2" i="14"/>
  <c r="DV2" i="14"/>
  <c r="DW2" i="14"/>
  <c r="DX2" i="14"/>
  <c r="DY2" i="14"/>
  <c r="DT2" i="14"/>
  <c r="DZ5" i="14"/>
  <c r="DU5" i="14"/>
  <c r="DV5" i="14"/>
  <c r="DW5" i="14"/>
  <c r="DX5" i="14"/>
  <c r="DY5" i="14"/>
  <c r="DT5" i="14"/>
  <c r="DN5" i="14"/>
  <c r="DO5" i="14"/>
  <c r="DP5" i="14"/>
  <c r="DQ5" i="14"/>
  <c r="DR5" i="14"/>
  <c r="DS5" i="14"/>
  <c r="DO2" i="14"/>
  <c r="DP2" i="14"/>
  <c r="DQ2" i="14"/>
  <c r="DR2" i="14"/>
  <c r="DS2" i="14"/>
  <c r="DN2" i="14"/>
  <c r="DI5" i="14"/>
  <c r="DJ5" i="14"/>
  <c r="DK5" i="14"/>
  <c r="DL5" i="14"/>
  <c r="DM5" i="14"/>
  <c r="DH5" i="14"/>
  <c r="DI2" i="14"/>
  <c r="DJ2" i="14"/>
  <c r="DK2" i="14"/>
  <c r="DL2" i="14"/>
  <c r="DM2" i="14"/>
  <c r="DH2" i="14"/>
  <c r="DC5" i="14"/>
  <c r="DD5" i="14"/>
  <c r="DE5" i="14"/>
  <c r="DF5" i="14"/>
  <c r="DG5" i="14"/>
  <c r="DB5" i="14"/>
  <c r="DC2" i="14"/>
  <c r="DD2" i="14"/>
  <c r="DE2" i="14"/>
  <c r="DF2" i="14"/>
  <c r="DG2" i="14"/>
  <c r="DB2" i="14"/>
  <c r="DA5" i="14"/>
  <c r="CW5" i="14"/>
  <c r="CX5" i="14"/>
  <c r="CY5" i="14"/>
  <c r="CZ5" i="14"/>
  <c r="CV5" i="14"/>
  <c r="CW2" i="14"/>
  <c r="CX2" i="14"/>
  <c r="CY2" i="14"/>
  <c r="CZ2" i="14"/>
  <c r="DA2" i="14"/>
  <c r="CV2" i="14"/>
  <c r="CQ5" i="14"/>
  <c r="CR5" i="14"/>
  <c r="CS5" i="14"/>
  <c r="CT5" i="14"/>
  <c r="CU5" i="14"/>
  <c r="CP5" i="14"/>
  <c r="CQ2" i="14"/>
  <c r="CR2" i="14"/>
  <c r="CS2" i="14"/>
  <c r="CT2" i="14"/>
  <c r="CU2" i="14"/>
  <c r="CP2" i="14"/>
  <c r="CK5" i="14"/>
  <c r="CL5" i="14"/>
  <c r="CM5" i="14"/>
  <c r="CN5" i="14"/>
  <c r="CO5" i="14"/>
  <c r="CJ5" i="14"/>
  <c r="CK2" i="14"/>
  <c r="CL2" i="14"/>
  <c r="CM2" i="14"/>
  <c r="CN2" i="14"/>
  <c r="CO2" i="14"/>
  <c r="CJ2" i="14"/>
  <c r="I332" i="14"/>
  <c r="J332" i="14"/>
  <c r="K332" i="14"/>
  <c r="L332" i="14"/>
  <c r="M332" i="14"/>
  <c r="N332" i="14"/>
  <c r="O332" i="14"/>
  <c r="P332" i="14"/>
  <c r="Q332" i="14"/>
  <c r="R332" i="14"/>
  <c r="S332" i="14"/>
  <c r="T332" i="14"/>
  <c r="U332" i="14"/>
  <c r="V332" i="14"/>
  <c r="W332" i="14"/>
  <c r="X332" i="14"/>
  <c r="Y332" i="14"/>
  <c r="Z332" i="14"/>
  <c r="AA332" i="14"/>
  <c r="AB332" i="14"/>
  <c r="AC332" i="14"/>
  <c r="AD332" i="14"/>
  <c r="AE332" i="14"/>
  <c r="AF332" i="14"/>
  <c r="AG332" i="14"/>
  <c r="AH332" i="14"/>
  <c r="AI332" i="14"/>
  <c r="AJ332" i="14"/>
  <c r="AK332" i="14"/>
  <c r="AL332" i="14"/>
  <c r="AM332" i="14"/>
  <c r="AN332" i="14"/>
  <c r="AO332" i="14"/>
  <c r="AP332" i="14"/>
  <c r="AQ332" i="14"/>
  <c r="AR332" i="14"/>
  <c r="AS332" i="14"/>
  <c r="AT332" i="14"/>
  <c r="AU332" i="14"/>
  <c r="AV332" i="14"/>
  <c r="AW332" i="14"/>
  <c r="AX332" i="14"/>
  <c r="AY332" i="14"/>
  <c r="AZ332" i="14"/>
  <c r="BA332" i="14"/>
  <c r="BB332" i="14"/>
  <c r="BC332" i="14"/>
  <c r="BD332" i="14"/>
  <c r="BE332" i="14"/>
  <c r="BF332" i="14"/>
  <c r="BG332" i="14"/>
  <c r="BH332" i="14"/>
  <c r="BI332" i="14"/>
  <c r="BJ332" i="14"/>
  <c r="BK332" i="14"/>
  <c r="BL332" i="14"/>
  <c r="BM332" i="14"/>
  <c r="BN332" i="14"/>
  <c r="BO332" i="14"/>
  <c r="BP332" i="14"/>
  <c r="BQ332" i="14"/>
  <c r="BR332" i="14"/>
  <c r="BS332" i="14"/>
  <c r="BT332" i="14"/>
  <c r="BU332" i="14"/>
  <c r="BV332" i="14"/>
  <c r="BW332" i="14"/>
  <c r="BX332" i="14"/>
  <c r="BY332" i="14"/>
  <c r="BZ332" i="14"/>
  <c r="CA332" i="14"/>
  <c r="CB332" i="14"/>
  <c r="CC332" i="14"/>
  <c r="CD332" i="14"/>
  <c r="CE332" i="14"/>
  <c r="CF332" i="14"/>
  <c r="CG332" i="14"/>
  <c r="H332" i="14"/>
  <c r="C332" i="14"/>
  <c r="D332" i="14"/>
  <c r="E332" i="14"/>
  <c r="F332" i="14"/>
  <c r="G332" i="14"/>
  <c r="B332" i="14"/>
  <c r="CX3" i="18" l="1"/>
  <c r="CL3" i="18"/>
  <c r="DD3" i="18"/>
  <c r="CR3" i="17"/>
  <c r="CL3" i="17"/>
  <c r="B257" i="12"/>
  <c r="DJ2" i="13" l="1"/>
  <c r="DI2" i="13"/>
  <c r="DZ2" i="14" l="1"/>
  <c r="DO5" i="13"/>
  <c r="DP5" i="13"/>
  <c r="DQ5" i="13"/>
  <c r="AG4" i="12" l="1"/>
  <c r="AH4" i="12"/>
  <c r="AI4" i="12"/>
  <c r="AF4" i="12"/>
  <c r="I4" i="12"/>
  <c r="J4" i="12"/>
  <c r="K4" i="12"/>
  <c r="H4" i="12"/>
  <c r="M4" i="12"/>
  <c r="N4" i="12"/>
  <c r="O4" i="12"/>
  <c r="L4" i="12"/>
  <c r="Q4" i="12"/>
  <c r="R4" i="12"/>
  <c r="S4" i="12"/>
  <c r="P4" i="12"/>
  <c r="U4" i="12"/>
  <c r="V4" i="12"/>
  <c r="W4" i="12"/>
  <c r="T4" i="12"/>
  <c r="Y4" i="12"/>
  <c r="Z4" i="12"/>
  <c r="AA4" i="12"/>
  <c r="X4" i="12"/>
  <c r="AC4" i="12"/>
  <c r="AD4" i="12"/>
  <c r="AE4" i="12"/>
  <c r="AB4" i="12"/>
  <c r="DC5" i="13"/>
  <c r="DD5" i="13"/>
  <c r="DE5" i="13"/>
  <c r="DC2" i="13"/>
  <c r="DD2" i="13"/>
  <c r="DE2" i="13"/>
  <c r="AN5" i="12" l="1"/>
  <c r="AJ5" i="12"/>
  <c r="AF5" i="12"/>
  <c r="AB5" i="12"/>
  <c r="X5" i="12"/>
  <c r="T5" i="12"/>
  <c r="P5" i="12"/>
  <c r="L5" i="12"/>
  <c r="DB3" i="14"/>
  <c r="DK2" i="13" l="1"/>
  <c r="EG2" i="14" l="1"/>
  <c r="EH2" i="14"/>
  <c r="EI2" i="14"/>
  <c r="EJ2" i="14"/>
  <c r="EK2" i="14"/>
  <c r="EF2" i="14"/>
  <c r="EA5" i="14"/>
  <c r="EB5" i="14"/>
  <c r="EC5" i="14"/>
  <c r="ED5" i="14"/>
  <c r="EE5" i="14"/>
  <c r="DZ6" i="14"/>
  <c r="CP5" i="13"/>
  <c r="AO4" i="12"/>
  <c r="AP4" i="12"/>
  <c r="AQ4" i="12"/>
  <c r="AN4" i="12"/>
  <c r="EF3" i="14" l="1"/>
  <c r="DB6" i="14"/>
  <c r="CJ6" i="14" l="1"/>
  <c r="DN6" i="14"/>
  <c r="CJ3" i="14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3" i="14"/>
  <c r="DT3" i="14"/>
  <c r="DH6" i="14"/>
  <c r="DH3" i="14"/>
  <c r="CV3" i="14"/>
  <c r="CP3" i="14"/>
  <c r="DT6" i="14" l="1"/>
  <c r="CV6" i="14"/>
  <c r="CP6" i="14"/>
  <c r="CQ5" i="13"/>
  <c r="CR5" i="13"/>
  <c r="CS5" i="13"/>
  <c r="DN2" i="13"/>
  <c r="DN3" i="13" s="1"/>
  <c r="DO2" i="13"/>
  <c r="DP2" i="13"/>
  <c r="DQ2" i="13"/>
  <c r="CV6" i="13"/>
  <c r="CW5" i="13"/>
  <c r="CX5" i="13"/>
  <c r="CY5" i="13"/>
  <c r="DB6" i="13"/>
  <c r="DH5" i="13"/>
  <c r="DI5" i="13"/>
  <c r="DJ5" i="13"/>
  <c r="DK5" i="13"/>
  <c r="DH6" i="13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DN3" i="14" l="1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B44" i="7"/>
  <c r="C4" i="2"/>
  <c r="C44" i="7"/>
  <c r="D44" i="7"/>
  <c r="F44" i="7"/>
  <c r="E44" i="7"/>
  <c r="E257" i="12"/>
  <c r="D257" i="12"/>
  <c r="C257" i="12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E126" i="13"/>
  <c r="AD126" i="13"/>
  <c r="AC126" i="13"/>
  <c r="AB126" i="13"/>
  <c r="AA126" i="13"/>
  <c r="Z126" i="13"/>
  <c r="Y126" i="13"/>
  <c r="X126" i="13"/>
  <c r="W126" i="13"/>
  <c r="V126" i="13"/>
  <c r="E126" i="13"/>
  <c r="D126" i="13"/>
  <c r="C126" i="13"/>
  <c r="F26" i="16"/>
  <c r="E26" i="16"/>
  <c r="D26" i="16"/>
  <c r="C26" i="16"/>
  <c r="CJ6" i="16"/>
  <c r="CJ3" i="16" l="1"/>
  <c r="E14" i="19"/>
  <c r="D14" i="19"/>
  <c r="C14" i="19"/>
  <c r="B14" i="19"/>
  <c r="DD6" i="18"/>
  <c r="CX6" i="18"/>
  <c r="CR6" i="18"/>
  <c r="CL6" i="18"/>
</calcChain>
</file>

<file path=xl/sharedStrings.xml><?xml version="1.0" encoding="utf-8"?>
<sst xmlns="http://schemas.openxmlformats.org/spreadsheetml/2006/main" count="2783" uniqueCount="1387">
  <si>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</si>
  <si>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</si>
  <si>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</si>
  <si>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</si>
  <si>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</si>
  <si>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</si>
  <si>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</si>
  <si>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</si>
  <si>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</si>
  <si>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</si>
  <si>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</si>
  <si>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</si>
  <si>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</si>
  <si>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</si>
  <si>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</si>
  <si>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</si>
  <si>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</si>
  <si>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</si>
  <si>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</si>
  <si>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</si>
  <si>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</si>
  <si>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</si>
  <si>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</si>
  <si>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</si>
  <si>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</si>
  <si>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</si>
  <si>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</si>
  <si>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</si>
  <si>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</si>
  <si>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</si>
  <si>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</si>
  <si>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</si>
  <si>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</si>
  <si>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</si>
  <si>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</si>
  <si>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</si>
  <si>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</si>
  <si>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</si>
  <si>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</si>
  <si>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</si>
  <si>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</si>
  <si>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</si>
  <si>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</si>
  <si>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</si>
  <si>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</si>
  <si>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</si>
  <si>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</si>
  <si>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</si>
  <si>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</si>
  <si>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</si>
  <si>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</si>
  <si>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</si>
  <si>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</si>
  <si>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</si>
  <si>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</si>
  <si>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</si>
  <si>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</si>
  <si>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</si>
  <si>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</si>
  <si>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</si>
  <si>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</si>
  <si>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</si>
  <si>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</si>
  <si>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</si>
  <si>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</si>
  <si>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</si>
  <si>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</si>
  <si>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</si>
  <si>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</si>
  <si>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</si>
  <si>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</si>
  <si>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</si>
  <si>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</si>
  <si>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</si>
  <si>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</si>
  <si>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</si>
  <si>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</si>
  <si>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</si>
  <si>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</si>
  <si>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</si>
  <si>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</si>
  <si>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</si>
  <si>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</si>
  <si>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</si>
  <si>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</si>
  <si>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</si>
  <si>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</si>
  <si>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</si>
  <si>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</si>
  <si>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</si>
  <si>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</si>
  <si>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</si>
  <si>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</si>
  <si>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</si>
  <si>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</si>
  <si>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</si>
  <si>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</si>
  <si>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</si>
  <si>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</si>
  <si>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</si>
  <si>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</si>
  <si>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</si>
  <si>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</si>
  <si>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</si>
  <si>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</si>
  <si>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</si>
  <si>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</si>
  <si>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</si>
  <si>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</si>
  <si>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</si>
  <si>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</si>
  <si>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</si>
  <si>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</si>
  <si>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</si>
  <si>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</si>
  <si>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</si>
  <si>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</si>
  <si>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</si>
  <si>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</si>
  <si>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</si>
  <si>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</si>
  <si>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</si>
  <si>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</si>
  <si>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</si>
  <si>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</si>
  <si>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</si>
  <si>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</si>
  <si>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</si>
  <si>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</si>
  <si>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</si>
  <si>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</si>
  <si>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</si>
  <si>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</si>
  <si>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</si>
  <si>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</si>
  <si>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</si>
  <si>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</si>
  <si>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</si>
  <si>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</si>
  <si>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</si>
  <si>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</si>
  <si>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</si>
  <si>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</si>
  <si>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</si>
  <si>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</si>
  <si>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</si>
  <si>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</si>
  <si>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</si>
  <si>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</si>
  <si>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</si>
  <si>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</si>
  <si>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</si>
  <si>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</si>
  <si>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</si>
  <si>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</si>
  <si>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</si>
  <si>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</si>
  <si>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</si>
  <si>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</si>
  <si>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</si>
  <si>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</si>
  <si>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</si>
  <si>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</si>
  <si>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</si>
  <si>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</si>
  <si>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</si>
  <si>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</si>
  <si>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</si>
  <si>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</si>
  <si>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</si>
  <si>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</si>
  <si>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</si>
  <si>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</si>
  <si>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</si>
  <si>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</si>
  <si>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</si>
  <si>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</si>
  <si>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</si>
  <si>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</si>
  <si>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</si>
  <si>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</si>
  <si>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</si>
  <si>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</si>
  <si>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</si>
  <si>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</si>
  <si>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</si>
  <si>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</si>
  <si>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</si>
  <si>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</si>
  <si>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</si>
  <si>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</si>
  <si>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</si>
  <si>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</si>
  <si>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</si>
  <si>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</si>
  <si>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</si>
  <si>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</si>
  <si>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</si>
  <si>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</si>
  <si>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</si>
  <si>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</si>
  <si>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</si>
  <si>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</si>
  <si>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</si>
  <si>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</si>
  <si>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</si>
  <si>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</si>
  <si>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</si>
  <si>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</si>
  <si>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</si>
  <si>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</si>
  <si>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</si>
  <si>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</si>
  <si>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</si>
  <si>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</si>
  <si>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</si>
  <si>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</si>
  <si>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</si>
  <si>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</si>
  <si>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</si>
  <si>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</si>
  <si>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</si>
  <si>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</si>
  <si>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</si>
  <si>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</si>
  <si>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</si>
  <si>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</si>
  <si>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</si>
  <si>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</si>
  <si>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</si>
  <si>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</si>
  <si>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</si>
  <si>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</si>
  <si>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</si>
  <si>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</si>
  <si>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</si>
  <si>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</si>
  <si>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</si>
  <si>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</si>
  <si>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</si>
  <si>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</si>
  <si>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</si>
  <si>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</si>
  <si>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</si>
  <si>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</si>
  <si>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</si>
  <si>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</si>
  <si>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</si>
  <si>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</si>
  <si>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</si>
  <si>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</si>
  <si>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</si>
  <si>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</si>
  <si>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</si>
  <si>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</si>
  <si>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</si>
  <si>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</si>
  <si>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</si>
  <si>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</si>
  <si>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</si>
  <si>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</si>
  <si>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</si>
  <si>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</si>
  <si>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</si>
  <si>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</si>
  <si>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</si>
  <si>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</si>
  <si>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</si>
  <si>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</si>
  <si>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</si>
  <si>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</si>
  <si>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</si>
  <si>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</si>
  <si>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</si>
  <si>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</si>
  <si>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</si>
  <si>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</si>
  <si>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</si>
  <si>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</si>
  <si>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</si>
  <si>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</si>
  <si>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</si>
  <si>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</si>
  <si>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</si>
  <si>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</si>
  <si>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</si>
  <si>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</si>
  <si>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</si>
  <si>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</si>
  <si>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</si>
  <si>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</si>
  <si>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</si>
  <si>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</si>
  <si>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</si>
  <si>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</si>
  <si>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</si>
  <si>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</si>
  <si>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</si>
  <si>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</si>
  <si>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</si>
  <si>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</si>
  <si>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</si>
  <si>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</si>
  <si>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</si>
  <si>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</si>
  <si>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</si>
  <si>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</si>
  <si>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</si>
  <si>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</si>
  <si>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</si>
  <si>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</si>
  <si>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</si>
  <si>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</si>
  <si>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</si>
  <si>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</si>
  <si>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</si>
  <si>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</si>
  <si>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</si>
  <si>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</si>
  <si>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</si>
  <si>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</si>
  <si>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</si>
  <si>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</si>
  <si>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</si>
  <si>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</si>
  <si>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</si>
  <si>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</si>
  <si>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</si>
  <si>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</si>
  <si>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</si>
  <si>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</si>
  <si>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</si>
  <si>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</si>
  <si>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</si>
  <si>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</si>
  <si>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</si>
  <si>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</si>
  <si>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</si>
  <si>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</si>
  <si>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</si>
  <si>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</si>
  <si>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</si>
  <si>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</si>
  <si>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</si>
  <si>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</si>
  <si>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</si>
  <si>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</si>
  <si>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</si>
  <si>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</si>
  <si>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</si>
  <si>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</si>
  <si>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</si>
  <si>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</si>
  <si>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</si>
  <si>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</si>
  <si>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</si>
  <si>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</si>
  <si>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</si>
  <si>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</si>
  <si>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</si>
  <si>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</si>
  <si>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</si>
  <si>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</si>
  <si>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</si>
  <si>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</si>
  <si>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</si>
  <si>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</si>
  <si>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</si>
  <si>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</si>
  <si>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</si>
  <si>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</si>
  <si>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</si>
  <si>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</si>
  <si>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</si>
  <si>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</si>
  <si>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</si>
  <si>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</si>
  <si>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</si>
  <si>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</si>
  <si>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</si>
  <si>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</si>
  <si>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</si>
  <si>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</si>
  <si>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</si>
  <si>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</si>
  <si>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</si>
  <si>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</si>
  <si>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</si>
  <si>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</si>
  <si>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</si>
  <si>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</si>
  <si>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</si>
  <si>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</si>
  <si>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</si>
  <si>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</si>
  <si>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</si>
  <si>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</si>
  <si>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</si>
  <si>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</si>
  <si>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</si>
  <si>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</si>
  <si>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</si>
  <si>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</si>
  <si>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</si>
  <si>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</si>
  <si>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</si>
  <si>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</si>
  <si>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</si>
  <si>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</si>
  <si>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</si>
  <si>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</si>
  <si>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</si>
  <si>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</si>
  <si>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</si>
  <si>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</si>
  <si>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</si>
  <si>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</si>
  <si>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</si>
  <si>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</si>
  <si>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</si>
  <si>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</si>
  <si>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</si>
  <si>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</si>
  <si>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</si>
  <si>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</si>
  <si>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</si>
  <si>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</si>
  <si>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</si>
  <si>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</si>
  <si>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</si>
  <si>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</si>
  <si>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</si>
  <si>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</si>
  <si>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</si>
  <si>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</si>
  <si>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</si>
  <si>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</si>
  <si>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</si>
  <si>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</si>
  <si>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</si>
  <si>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</si>
  <si>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</si>
  <si>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</si>
  <si>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</si>
  <si>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</si>
  <si>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</si>
  <si>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</si>
  <si>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</si>
  <si>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</si>
  <si>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</si>
  <si>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</si>
  <si>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</si>
  <si>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</si>
  <si>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</si>
  <si>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</si>
  <si>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</si>
  <si>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</si>
  <si>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</si>
  <si>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</si>
  <si>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</si>
  <si>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</si>
  <si>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</si>
  <si>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</si>
  <si>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</si>
  <si>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</si>
  <si>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</si>
  <si>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</si>
  <si>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</si>
  <si>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</si>
  <si>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</si>
  <si>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</si>
  <si>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</si>
  <si>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</si>
  <si>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</si>
  <si>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</si>
  <si>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</si>
  <si>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</si>
  <si>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</si>
  <si>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</si>
  <si>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</si>
  <si>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</si>
  <si>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</si>
  <si>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</si>
  <si>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</si>
  <si>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</si>
  <si>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</si>
  <si>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</si>
  <si>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</si>
  <si>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</si>
  <si>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</si>
  <si>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</si>
  <si>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</si>
  <si>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</si>
  <si>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</si>
  <si>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</si>
  <si>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</si>
  <si>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</si>
  <si>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</si>
  <si>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</si>
  <si>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</si>
  <si>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</si>
  <si>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</si>
  <si>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</si>
  <si>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</si>
  <si>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</si>
  <si>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</si>
  <si>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</si>
  <si>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</si>
  <si>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</si>
  <si>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</si>
  <si>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</si>
  <si>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</si>
  <si>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</si>
  <si>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</si>
  <si>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</si>
  <si>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</si>
  <si>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</si>
  <si>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</si>
  <si>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</si>
  <si>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</si>
  <si>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</si>
  <si>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</si>
  <si>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</si>
  <si>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</si>
  <si>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</si>
  <si>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</si>
  <si>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</si>
  <si>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</si>
  <si>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</si>
  <si>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</si>
  <si>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</si>
  <si>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</si>
  <si>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</si>
  <si>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</si>
  <si>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</si>
  <si>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</si>
  <si>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</si>
  <si>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</si>
  <si>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</si>
  <si>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</si>
  <si>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</si>
  <si>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</si>
  <si>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</si>
  <si>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</si>
  <si>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</si>
  <si>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</si>
  <si>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</si>
  <si>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</si>
  <si>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</si>
  <si>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</si>
  <si>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</si>
  <si>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</si>
  <si>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</si>
  <si>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</si>
  <si>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</si>
  <si>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</si>
  <si>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</si>
  <si>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</si>
  <si>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</si>
  <si>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</si>
  <si>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</si>
  <si>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</si>
  <si>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</si>
  <si>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</si>
  <si>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</si>
  <si>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</si>
  <si>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</si>
  <si>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</si>
  <si>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</si>
  <si>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</si>
  <si>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</si>
  <si>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</si>
  <si>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</si>
  <si>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</si>
  <si>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</si>
  <si>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</si>
  <si>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</si>
  <si>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</si>
  <si>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</si>
  <si>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</si>
  <si>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</si>
  <si>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</si>
  <si>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</si>
  <si>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</si>
  <si>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</si>
  <si>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</si>
  <si>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</si>
  <si>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</si>
  <si>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</si>
  <si>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</si>
  <si>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</si>
  <si>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</si>
  <si>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</si>
  <si>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</si>
  <si>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</si>
  <si>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</si>
  <si>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</si>
  <si>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</si>
  <si>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</si>
  <si>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</si>
  <si>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</si>
  <si>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</si>
  <si>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</si>
  <si>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</si>
  <si>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</si>
  <si>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</si>
  <si>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</si>
  <si>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</si>
  <si>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</si>
  <si>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</si>
  <si>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</si>
  <si>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</si>
  <si>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</si>
  <si>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</si>
  <si>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</si>
  <si>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</si>
  <si>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</si>
  <si>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</si>
  <si>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</si>
  <si>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</si>
  <si>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</si>
  <si>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</si>
  <si>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</si>
  <si>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</si>
  <si>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</si>
  <si>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</si>
  <si>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</si>
  <si>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</si>
  <si>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</si>
  <si>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</si>
  <si>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</si>
  <si>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</si>
  <si>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</si>
  <si>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</si>
  <si>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</si>
  <si>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</si>
  <si>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</si>
  <si>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</si>
  <si>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</si>
  <si>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</si>
  <si>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</si>
  <si>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</si>
  <si>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</si>
  <si>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</si>
  <si>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</si>
  <si>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</si>
  <si>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</si>
  <si>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</si>
  <si>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</si>
  <si>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</si>
  <si>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</si>
  <si>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</si>
  <si>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</si>
  <si>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</si>
  <si>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</si>
  <si>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</si>
  <si>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</si>
  <si>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</si>
  <si>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</si>
  <si>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</si>
  <si>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</si>
  <si>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</si>
  <si>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</si>
  <si>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</si>
  <si>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</si>
  <si>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</si>
  <si>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</si>
  <si>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</si>
  <si>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</si>
  <si>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</si>
  <si>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</si>
  <si>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</si>
  <si>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</si>
  <si>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</si>
  <si>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</si>
  <si>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</si>
  <si>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</si>
  <si>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</si>
  <si>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</si>
  <si>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</si>
  <si>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</si>
  <si>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</si>
  <si>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</si>
  <si>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</si>
  <si>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</si>
  <si>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</si>
  <si>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</si>
  <si>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</si>
  <si>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</si>
  <si>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</si>
  <si>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</si>
  <si>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</si>
  <si>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</si>
  <si>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</si>
  <si>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</si>
  <si>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</si>
  <si>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</si>
  <si>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</si>
  <si>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</si>
  <si>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</si>
  <si>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</si>
  <si>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</si>
  <si>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</si>
  <si>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</si>
  <si>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</si>
  <si>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</si>
  <si>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</si>
  <si>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</si>
  <si>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</si>
  <si>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</si>
  <si>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</si>
  <si>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</si>
  <si>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</si>
  <si>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</si>
  <si>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</si>
  <si>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</si>
  <si>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</si>
  <si>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</si>
  <si>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</si>
  <si>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</si>
  <si>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</si>
  <si>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</si>
  <si>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</si>
  <si>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</si>
  <si>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</si>
  <si>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</si>
  <si>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</si>
  <si>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</si>
  <si>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</si>
  <si>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</si>
  <si>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</si>
  <si>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</si>
  <si>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</si>
  <si>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</si>
  <si>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</si>
  <si>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</si>
  <si>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</si>
  <si>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</si>
  <si>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</si>
  <si>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</si>
  <si>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</si>
  <si>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</si>
  <si>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</si>
  <si>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</si>
  <si>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</si>
  <si>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</si>
  <si>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</si>
  <si>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</si>
  <si>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</si>
  <si>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</si>
  <si>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</si>
  <si>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</si>
  <si>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</si>
  <si>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</si>
  <si>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</si>
  <si>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</si>
  <si>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</si>
  <si>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</si>
  <si>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</si>
  <si>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</si>
  <si>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</si>
  <si>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</si>
  <si>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</si>
  <si>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</si>
  <si>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</si>
  <si>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</si>
  <si>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</si>
  <si>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</si>
  <si>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</si>
  <si>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</si>
  <si>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</si>
  <si>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</si>
  <si>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</si>
  <si>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</si>
  <si>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</si>
  <si>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</si>
  <si>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</si>
  <si>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</si>
  <si>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</si>
  <si>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</si>
  <si>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</si>
  <si>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</si>
  <si>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</si>
  <si>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</si>
  <si>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</si>
  <si>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</si>
  <si>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</si>
  <si>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</si>
  <si>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</si>
  <si>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</si>
  <si>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</si>
  <si>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</si>
  <si>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</si>
  <si>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</si>
  <si>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</si>
  <si>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</si>
  <si>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</si>
  <si>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</si>
  <si>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</si>
  <si>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</si>
  <si>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</si>
  <si>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</si>
  <si>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</si>
  <si>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</si>
  <si>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</si>
  <si>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</si>
  <si>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</si>
  <si>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</si>
  <si>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</si>
  <si>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</si>
  <si>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</si>
  <si>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</si>
  <si>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</si>
  <si>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</si>
  <si>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</si>
  <si>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</si>
  <si>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</si>
  <si>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</si>
  <si>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</si>
  <si>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</si>
  <si>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</si>
  <si>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</si>
  <si>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</si>
  <si>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</si>
  <si>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</si>
  <si>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</si>
  <si>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</si>
  <si>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</si>
  <si>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</si>
  <si>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</si>
  <si>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</si>
  <si>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</si>
  <si>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</si>
  <si>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</si>
  <si>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</si>
  <si>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</si>
  <si>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</si>
  <si>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</si>
  <si>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</si>
  <si>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</si>
  <si>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</si>
  <si>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</si>
  <si>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</si>
  <si>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</si>
  <si>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</si>
  <si>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</si>
  <si>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</si>
  <si>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</si>
  <si>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</si>
  <si>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</si>
  <si>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</si>
  <si>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</si>
  <si>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</si>
  <si>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</si>
  <si>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</si>
  <si>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</si>
  <si>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</si>
  <si>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</si>
  <si>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</si>
  <si>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</si>
  <si>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</si>
  <si>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</si>
  <si>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</si>
  <si>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</si>
  <si>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</si>
  <si>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</si>
  <si>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</si>
  <si>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</si>
  <si>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</si>
  <si>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</si>
  <si>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</si>
  <si>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</si>
  <si>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</si>
  <si>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</si>
  <si>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</si>
  <si>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</si>
  <si>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</si>
  <si>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</si>
  <si>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</si>
  <si>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</si>
  <si>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</si>
  <si>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</si>
  <si>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</si>
  <si>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</si>
  <si>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</si>
  <si>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</si>
  <si>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</si>
  <si>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</si>
  <si>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</si>
  <si>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</si>
  <si>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</si>
  <si>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</si>
  <si>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</si>
  <si>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</si>
  <si>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</si>
  <si>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</si>
  <si>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</si>
  <si>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</si>
  <si>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</si>
  <si>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</si>
  <si>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</si>
  <si>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</si>
  <si>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</si>
  <si>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</si>
  <si>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</si>
  <si>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</si>
  <si>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</si>
  <si>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</si>
  <si>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</si>
  <si>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</si>
  <si>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</si>
  <si>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</si>
  <si>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</si>
  <si>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</si>
  <si>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</si>
  <si>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</si>
  <si>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</si>
  <si>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</si>
  <si>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</si>
  <si>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</si>
  <si>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</si>
  <si>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</si>
  <si>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</si>
  <si>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</si>
  <si>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</si>
  <si>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</si>
  <si>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</si>
  <si>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</si>
  <si>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</si>
  <si>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</si>
  <si>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</si>
  <si>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</si>
  <si>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</si>
  <si>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</si>
  <si>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</si>
  <si>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</si>
  <si>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</si>
  <si>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</si>
  <si>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</si>
  <si>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</si>
  <si>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</si>
  <si>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</si>
  <si>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</si>
  <si>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</si>
  <si>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</si>
  <si>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</si>
  <si>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</si>
  <si>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</si>
  <si>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</si>
  <si>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</si>
  <si>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</si>
  <si>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</si>
  <si>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</si>
  <si>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</si>
  <si>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</si>
  <si>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</si>
  <si>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</si>
  <si>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</si>
  <si>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</si>
  <si>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</si>
  <si>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</si>
  <si>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</si>
  <si>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</si>
  <si>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</si>
  <si>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</si>
  <si>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</si>
  <si>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</si>
  <si>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</si>
  <si>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</si>
  <si>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</si>
  <si>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</si>
  <si>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</si>
  <si>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</si>
  <si>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</si>
  <si>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</si>
  <si>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</si>
  <si>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</si>
  <si>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</si>
  <si>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</si>
  <si>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</si>
  <si>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</si>
  <si>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</si>
  <si>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</si>
  <si>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</si>
  <si>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</si>
  <si>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</si>
  <si>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</si>
  <si>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</si>
  <si>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</si>
  <si>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</si>
  <si>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</si>
  <si>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</si>
  <si>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</si>
  <si>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</si>
  <si>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</si>
  <si>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</si>
  <si>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</si>
  <si>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</si>
  <si>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</si>
  <si>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</si>
  <si>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</si>
  <si>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</si>
  <si>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</si>
  <si>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</si>
  <si>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</si>
  <si>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</si>
  <si>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</si>
  <si>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</si>
  <si>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</si>
  <si>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</si>
  <si>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</si>
  <si>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</si>
  <si>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</si>
  <si>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</si>
  <si>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</si>
  <si>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</si>
  <si>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</si>
  <si>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</si>
  <si>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</si>
  <si>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</si>
  <si>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</si>
  <si>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</si>
  <si>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</si>
  <si>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</si>
  <si>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</si>
  <si>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</si>
  <si>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</si>
  <si>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</si>
  <si>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</si>
  <si>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</si>
  <si>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</si>
  <si>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</si>
  <si>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</si>
  <si>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</si>
  <si>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</si>
  <si>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</si>
  <si>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</si>
  <si>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</si>
  <si>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</si>
  <si>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</si>
  <si>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</si>
  <si>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</si>
  <si>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</si>
  <si>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</si>
  <si>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</si>
  <si>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</si>
  <si>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</si>
  <si>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</si>
  <si>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</si>
  <si>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</si>
  <si>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</si>
  <si>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</si>
  <si>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</si>
  <si>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</si>
  <si>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</si>
  <si>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</si>
  <si>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</si>
  <si>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</si>
  <si>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</si>
  <si>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</si>
  <si>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</si>
  <si>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</si>
  <si>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</si>
  <si>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</si>
  <si>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</si>
  <si>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</si>
  <si>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</si>
  <si>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</si>
  <si>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</si>
  <si>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</si>
  <si>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</si>
  <si>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</si>
  <si>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</si>
  <si>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</si>
  <si>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</si>
  <si>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</si>
  <si>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</si>
  <si>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</si>
  <si>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</si>
  <si>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</si>
  <si>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</si>
  <si>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</si>
  <si>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</si>
  <si>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</si>
  <si>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</si>
  <si>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</si>
  <si>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</si>
  <si>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</si>
  <si>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</si>
  <si>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</si>
  <si>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</si>
  <si>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</si>
  <si>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</si>
  <si>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</si>
  <si>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</si>
  <si>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</si>
  <si>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</si>
  <si>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</si>
  <si>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</si>
  <si>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</si>
  <si>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</si>
  <si>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</si>
  <si>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</si>
  <si>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</si>
  <si>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</si>
  <si>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</si>
  <si>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</si>
  <si>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</si>
  <si>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</si>
  <si>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</si>
  <si>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</si>
  <si>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MIRAGE (1/0/0)</t>
  </si>
  <si>
    <t>24.09.2025</t>
  </si>
  <si>
    <t>170 map (over)</t>
  </si>
  <si>
    <t>171 map (over)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</si>
  <si>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</si>
  <si>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</si>
  <si>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</si>
  <si>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</si>
  <si>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</si>
  <si>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</si>
  <si>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</si>
  <si>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</si>
  <si>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</si>
  <si>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</si>
  <si>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</si>
  <si>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</si>
  <si>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</si>
  <si>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</si>
  <si>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</si>
  <si>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</si>
  <si>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</si>
  <si>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</si>
  <si>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</si>
  <si>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</si>
  <si>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</si>
  <si>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</si>
  <si>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</si>
  <si>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</si>
  <si>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191 map (roof)</t>
  </si>
  <si>
    <t>192 map (inf)</t>
  </si>
  <si>
    <t>04.10.2025</t>
  </si>
  <si>
    <t>179 map (off)</t>
  </si>
  <si>
    <t>180 map (off)</t>
  </si>
  <si>
    <t>181 map (off)</t>
  </si>
  <si>
    <t>182 map (inf)</t>
  </si>
  <si>
    <t>183 map (dust)</t>
  </si>
  <si>
    <t>184 map (vert)</t>
  </si>
  <si>
    <t>185 map (gold)</t>
  </si>
  <si>
    <t>50 map (inf)</t>
  </si>
  <si>
    <t>51 map (mir)</t>
  </si>
  <si>
    <t>52 map (dust)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</si>
  <si>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</si>
  <si>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</si>
  <si>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</si>
  <si>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</si>
  <si>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</si>
  <si>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</si>
  <si>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</si>
  <si>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190 map (anu)</t>
  </si>
  <si>
    <t>191 map (nuke)</t>
  </si>
  <si>
    <t>192 map (age)</t>
  </si>
  <si>
    <t>53 map (mir)</t>
  </si>
  <si>
    <t>54 map (mir)</t>
  </si>
  <si>
    <t>55 map (dust)</t>
  </si>
  <si>
    <t>56 map (mir)</t>
  </si>
  <si>
    <t>17.10.2025</t>
  </si>
  <si>
    <t>193 map (inf)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</si>
  <si>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</si>
  <si>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</si>
  <si>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</si>
  <si>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</si>
  <si>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</si>
  <si>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</si>
  <si>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</si>
  <si>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</si>
  <si>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</si>
  <si>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</si>
  <si>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</si>
  <si>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</si>
  <si>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</si>
  <si>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</si>
  <si>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</si>
  <si>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</si>
  <si>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</si>
  <si>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</si>
  <si>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</si>
  <si>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</si>
  <si>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</si>
  <si>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</si>
  <si>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</si>
  <si>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</si>
  <si>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</si>
  <si>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</si>
  <si>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</si>
  <si>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</si>
  <si>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</si>
  <si>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206 map (off)</t>
  </si>
  <si>
    <t>207 map (off)</t>
  </si>
  <si>
    <t>208 map (anu)</t>
  </si>
  <si>
    <t>209 map (vert)</t>
  </si>
  <si>
    <t>210 map (off)</t>
  </si>
  <si>
    <t>211 map (off)</t>
  </si>
  <si>
    <t>29.10.2025</t>
  </si>
  <si>
    <t>212 map (gold)</t>
  </si>
  <si>
    <t>GOLDEN (0/2/0)</t>
  </si>
  <si>
    <t>81 map (dust)</t>
  </si>
  <si>
    <t>72 map (mir)</t>
  </si>
  <si>
    <t>73 map (inf)</t>
  </si>
  <si>
    <t>7, 10, 10, 4, def - lose</t>
  </si>
  <si>
    <t>01.11.2025</t>
  </si>
  <si>
    <t>74 map (dust)</t>
  </si>
  <si>
    <t>75 map (dust)</t>
  </si>
  <si>
    <t>76 map (mir)</t>
  </si>
  <si>
    <t>77 map (dust)</t>
  </si>
  <si>
    <t>78 map (mir)</t>
  </si>
  <si>
    <t>02.11.2025</t>
  </si>
  <si>
    <t>213 map (anu)</t>
  </si>
  <si>
    <t>214 map (dust)</t>
  </si>
  <si>
    <t>05.11.2025</t>
  </si>
  <si>
    <t>215 map (vert)</t>
  </si>
  <si>
    <t>79 map (train)</t>
  </si>
  <si>
    <t>216 map (dust)</t>
  </si>
  <si>
    <t>217 map (off)</t>
  </si>
  <si>
    <t>10, 4, 10, 4, 10 - lose</t>
  </si>
  <si>
    <t>def, 10, 10, def, def - lose</t>
  </si>
  <si>
    <t>09.11.2025</t>
  </si>
  <si>
    <t>195 map (nuke)</t>
  </si>
  <si>
    <t>196 map (inf)</t>
  </si>
  <si>
    <t>197 map (inf)</t>
  </si>
  <si>
    <t>198 map (roof)</t>
  </si>
  <si>
    <t>rooftop (2)</t>
  </si>
  <si>
    <t>199 map (vert)</t>
  </si>
  <si>
    <t>12.11.2025</t>
  </si>
  <si>
    <t>200 map (inf)</t>
  </si>
  <si>
    <t>201 map (over)</t>
  </si>
  <si>
    <t>218 map (anc)</t>
  </si>
  <si>
    <t>219 map (train)</t>
  </si>
  <si>
    <t>220 map (nuke)</t>
  </si>
  <si>
    <t>221 map (dust)</t>
  </si>
  <si>
    <t>222 map (mir)</t>
  </si>
  <si>
    <t>223 map (anu)</t>
  </si>
  <si>
    <t>19.11.2025</t>
  </si>
  <si>
    <t>224 map (anc)</t>
  </si>
  <si>
    <t>225 map (dust)</t>
  </si>
  <si>
    <t>226 map (mir)</t>
  </si>
  <si>
    <t>227 map (inf)</t>
  </si>
  <si>
    <t>228 map (nuke)</t>
  </si>
  <si>
    <t>229 map (anu)</t>
  </si>
  <si>
    <t>230 map (over)</t>
  </si>
  <si>
    <t>231 map (vert)</t>
  </si>
  <si>
    <t>232 map (train)</t>
  </si>
  <si>
    <t>26.11.2025</t>
  </si>
  <si>
    <t>233 map (mir)</t>
  </si>
  <si>
    <t>234 map (off)</t>
  </si>
  <si>
    <t>235 map (train)</t>
  </si>
  <si>
    <t>236 map (inf)</t>
  </si>
  <si>
    <t>237 map (anc)</t>
  </si>
  <si>
    <t>238 map (vert)</t>
  </si>
  <si>
    <t>239 map (dust)</t>
  </si>
  <si>
    <t>240 map (anu)</t>
  </si>
  <si>
    <t>29.11.2025</t>
  </si>
  <si>
    <t>241 map (mir)</t>
  </si>
  <si>
    <t>242 map (anc)</t>
  </si>
  <si>
    <t>243 map (nuke)</t>
  </si>
  <si>
    <t>244 map (dust)</t>
  </si>
  <si>
    <t>245 map (off)</t>
  </si>
  <si>
    <t>246 map (anu)</t>
  </si>
  <si>
    <t>247 map (over)</t>
  </si>
  <si>
    <t>248 map (off)</t>
  </si>
  <si>
    <t>10, 9, 10, def, 4 - lose</t>
  </si>
  <si>
    <t>80 map (train)</t>
  </si>
  <si>
    <t>TRAIN (3/3/0)</t>
  </si>
  <si>
    <t>03.12.2025</t>
  </si>
  <si>
    <t>202 map (inf)</t>
  </si>
  <si>
    <t>203 map (vert)</t>
  </si>
  <si>
    <t>204 map (over)</t>
  </si>
  <si>
    <t>249 map (anc)</t>
  </si>
  <si>
    <t>250 map (train)</t>
  </si>
  <si>
    <t>251 map (anu)</t>
  </si>
  <si>
    <t>ANUBIS (15/8/1)</t>
  </si>
  <si>
    <t>252 map (nuke)</t>
  </si>
  <si>
    <t>NUKE (7/9/1)</t>
  </si>
  <si>
    <t>253 map (mir)</t>
  </si>
  <si>
    <t>255 map (dust)</t>
  </si>
  <si>
    <t>256 map (vert)</t>
  </si>
  <si>
    <t>10.12.2025</t>
  </si>
  <si>
    <t>206 map (vert)</t>
  </si>
  <si>
    <t>208 map (vert)</t>
  </si>
  <si>
    <t>vertigo (31)</t>
  </si>
  <si>
    <t>209 map (over)</t>
  </si>
  <si>
    <t>210 map (nuke)</t>
  </si>
  <si>
    <t>211 map (inf)</t>
  </si>
  <si>
    <t>inferno (56)</t>
  </si>
  <si>
    <t>212 map (nuke)</t>
  </si>
  <si>
    <t>257 map (train)</t>
  </si>
  <si>
    <t>258 map (dust)</t>
  </si>
  <si>
    <t>259 map (off)</t>
  </si>
  <si>
    <t>260 map (anc)</t>
  </si>
  <si>
    <t>3560 elo (top 900 europe), 3208 elo, def, 8, def - lose</t>
  </si>
  <si>
    <t>13.12.2025</t>
  </si>
  <si>
    <t>261 map (off)</t>
  </si>
  <si>
    <t>82 map (anc)</t>
  </si>
  <si>
    <t>ANCIENT (3/2/0)</t>
  </si>
  <si>
    <t>83 map (dust)</t>
  </si>
  <si>
    <t>84 map (inf)</t>
  </si>
  <si>
    <t>INFERNO (4/5/1)</t>
  </si>
  <si>
    <t>85 map (over)</t>
  </si>
  <si>
    <t>OVERPASS (5/6/0)</t>
  </si>
  <si>
    <t>17.12.2025</t>
  </si>
  <si>
    <t>262 map (off)</t>
  </si>
  <si>
    <t>OFFICE (23/17/5)</t>
  </si>
  <si>
    <t>263 map (inf)</t>
  </si>
  <si>
    <t>INFERNO (10/4/0)</t>
  </si>
  <si>
    <t>264 map (mir)</t>
  </si>
  <si>
    <t>265 map (vert)</t>
  </si>
  <si>
    <t>VERTIGO (10/7/2)</t>
  </si>
  <si>
    <t>86 map (mir)</t>
  </si>
  <si>
    <t>87 map (dust)</t>
  </si>
  <si>
    <t>6, 10, 9, def, def</t>
  </si>
  <si>
    <t>20.12.2025</t>
  </si>
  <si>
    <t>213 map (nuke)</t>
  </si>
  <si>
    <t>nuke (48)</t>
  </si>
  <si>
    <t>25.12.2025</t>
  </si>
  <si>
    <t>OVERPASS (33)</t>
  </si>
  <si>
    <t>266 map (dust)</t>
  </si>
  <si>
    <t>DUST (23/17/2)</t>
  </si>
  <si>
    <t>267 map (age)</t>
  </si>
  <si>
    <t>AGENCY (5/2/0)</t>
  </si>
  <si>
    <t>268 map (anc)</t>
  </si>
  <si>
    <t>ANCIENT (11/7/3)</t>
  </si>
  <si>
    <t>89 map (mir)</t>
  </si>
  <si>
    <t>MIRAGE (18/13/0)</t>
  </si>
  <si>
    <t>NUKE (0/2/1)</t>
  </si>
  <si>
    <t>27.12.2025</t>
  </si>
  <si>
    <t>269 map (train)</t>
  </si>
  <si>
    <t>TRAIN (11/6/2)</t>
  </si>
  <si>
    <t>270 map (mir)</t>
  </si>
  <si>
    <t>MIRAGE (17/15/2)</t>
  </si>
  <si>
    <t>92 map (dust)</t>
  </si>
  <si>
    <t>DUST (14/10/0)</t>
  </si>
  <si>
    <t>02.01.2026</t>
  </si>
  <si>
    <t>2 map (dust)</t>
  </si>
  <si>
    <t>MIRAGE (0/0/0)</t>
  </si>
  <si>
    <t>N1keho</t>
  </si>
  <si>
    <t>03.01.2026</t>
  </si>
  <si>
    <t>1 map (over)</t>
  </si>
  <si>
    <t>09.01.2026</t>
  </si>
  <si>
    <t>2 map (roof)</t>
  </si>
  <si>
    <t>4 map (dust)</t>
  </si>
  <si>
    <t>5 map (vert)</t>
  </si>
  <si>
    <t>8 map (anc)</t>
  </si>
  <si>
    <t>10 map (off)</t>
  </si>
  <si>
    <t>05.01.2026</t>
  </si>
  <si>
    <t>11 map (train)</t>
  </si>
  <si>
    <t>12 map (anu)</t>
  </si>
  <si>
    <t>ANUBIS (1/0/0)</t>
  </si>
  <si>
    <t>08.01.2026</t>
  </si>
  <si>
    <t>13 map (vert)</t>
  </si>
  <si>
    <t>VERTIGO (1/1/0)</t>
  </si>
  <si>
    <t>14 map (anc)</t>
  </si>
  <si>
    <t>ANCIENT (1/1/0)</t>
  </si>
  <si>
    <t>16 map (inf)</t>
  </si>
  <si>
    <t>17 map (nuke)</t>
  </si>
  <si>
    <t>OVERPASS (1/0/0)</t>
  </si>
  <si>
    <t>DUST (3/0/0)</t>
  </si>
  <si>
    <t>MIRAGE (1/1/0)</t>
  </si>
  <si>
    <t>INFERNO (1/1/0)</t>
  </si>
  <si>
    <t>TRAIN (1/1/0)</t>
  </si>
  <si>
    <t>NUKE (3/0/0)</t>
  </si>
  <si>
    <t>10, 10, 10, 9, def - lose</t>
  </si>
  <si>
    <t>10, 10, 10, def, def - lose</t>
  </si>
  <si>
    <t>23.02.2026</t>
  </si>
  <si>
    <t>3 map (pos)</t>
  </si>
  <si>
    <t>POSEIDON (1)</t>
  </si>
  <si>
    <t>4 map (san)</t>
  </si>
  <si>
    <t>vertigo (1)</t>
  </si>
  <si>
    <t>6 map (over)</t>
  </si>
  <si>
    <t>OVERPASS (2)</t>
  </si>
  <si>
    <t>8 map (nuke)</t>
  </si>
  <si>
    <t>nuke (2)</t>
  </si>
  <si>
    <t>inferno (1)</t>
  </si>
  <si>
    <t>INFERNO (0/1/0)</t>
  </si>
  <si>
    <t>DUST (1/0/0)</t>
  </si>
  <si>
    <t>SANCTUM (1)</t>
  </si>
  <si>
    <t>rooftop (1)</t>
  </si>
  <si>
    <t>3 map (dust)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</si>
</sst>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3" fillId="14" borderId="0" applyNumberFormat="0" applyBorder="0" applyAlignment="0" applyProtection="0"/>
    <xf numFmtId="0" fontId="9" fillId="17" borderId="2" applyNumberFormat="0" applyFont="0" applyAlignment="0" applyProtection="0"/>
    <xf numFmtId="0" fontId="24" fillId="15" borderId="0" applyNumberFormat="0" applyBorder="0" applyAlignment="0" applyProtection="0"/>
    <xf numFmtId="0" fontId="25" fillId="16" borderId="0" applyNumberFormat="0" applyBorder="0" applyAlignment="0" applyProtection="0"/>
  </cellStyleXfs>
  <cellXfs count="4521">
    <xf numFmtId="0" fontId="0" fillId="0" borderId="0" xfId="0"/>
    <xf numFmtId="0" fontId="9" fillId="0" borderId="0" xfId="0" applyFont="1"/>
    <xf numFmtId="0" fontId="10" fillId="2" borderId="1" xfId="0" applyFont="1" applyFill="1" applyBorder="1"/>
    <xf numFmtId="0" fontId="10" fillId="2" borderId="2" xfId="0" applyFont="1" applyFill="1" applyBorder="1"/>
    <xf numFmtId="0" fontId="11" fillId="3" borderId="1" xfId="0" applyFont="1" applyFill="1" applyBorder="1"/>
    <xf numFmtId="0" fontId="11" fillId="3" borderId="2" xfId="0" applyFont="1" applyFill="1" applyBorder="1"/>
    <xf numFmtId="0" fontId="12" fillId="4" borderId="1" xfId="0" applyFont="1" applyFill="1" applyBorder="1"/>
    <xf numFmtId="0" fontId="12" fillId="4" borderId="2" xfId="0" applyFont="1" applyFill="1" applyBorder="1"/>
    <xf numFmtId="0" fontId="13" fillId="5" borderId="1" xfId="0" applyFont="1" applyFill="1" applyBorder="1"/>
    <xf numFmtId="0" fontId="13" fillId="5" borderId="2" xfId="0" applyFont="1" applyFill="1" applyBorder="1"/>
    <xf numFmtId="0" fontId="14" fillId="6" borderId="1" xfId="0" applyFont="1" applyFill="1" applyBorder="1"/>
    <xf numFmtId="0" fontId="14" fillId="6" borderId="2" xfId="0" applyFont="1" applyFill="1" applyBorder="1"/>
    <xf numFmtId="14" fontId="10" fillId="2" borderId="1" xfId="0" applyNumberFormat="1" applyFont="1" applyFill="1" applyBorder="1"/>
    <xf numFmtId="0" fontId="14" fillId="7" borderId="2" xfId="0" applyFont="1" applyFill="1" applyBorder="1"/>
    <xf numFmtId="14" fontId="12" fillId="4" borderId="1" xfId="0" applyNumberFormat="1" applyFont="1" applyFill="1" applyBorder="1"/>
    <xf numFmtId="14" fontId="11" fillId="3" borderId="1" xfId="0" applyNumberFormat="1" applyFont="1" applyFill="1" applyBorder="1"/>
    <xf numFmtId="2" fontId="14" fillId="0" borderId="0" xfId="0" applyNumberFormat="1" applyFont="1"/>
    <xf numFmtId="14" fontId="14" fillId="0" borderId="0" xfId="0" applyNumberFormat="1" applyFont="1"/>
    <xf numFmtId="14" fontId="13" fillId="8" borderId="1" xfId="0" applyNumberFormat="1" applyFont="1" applyFill="1" applyBorder="1"/>
    <xf numFmtId="0" fontId="13" fillId="8" borderId="1" xfId="0" applyFont="1" applyFill="1" applyBorder="1"/>
    <xf numFmtId="49" fontId="14" fillId="0" borderId="0" xfId="0" applyNumberFormat="1" applyFont="1"/>
    <xf numFmtId="49" fontId="11" fillId="3" borderId="1" xfId="0" applyNumberFormat="1" applyFont="1" applyFill="1" applyBorder="1"/>
    <xf numFmtId="49" fontId="10" fillId="2" borderId="1" xfId="0" applyNumberFormat="1" applyFont="1" applyFill="1" applyBorder="1"/>
    <xf numFmtId="49" fontId="12" fillId="4" borderId="1" xfId="0" applyNumberFormat="1" applyFont="1" applyFill="1" applyBorder="1"/>
    <xf numFmtId="0" fontId="14" fillId="0" borderId="0" xfId="0" applyFont="1"/>
    <xf numFmtId="2" fontId="10" fillId="2" borderId="1" xfId="0" applyNumberFormat="1" applyFont="1" applyFill="1" applyBorder="1"/>
    <xf numFmtId="2" fontId="11" fillId="3" borderId="1" xfId="0" applyNumberFormat="1" applyFont="1" applyFill="1" applyBorder="1"/>
    <xf numFmtId="2" fontId="12" fillId="4" borderId="1" xfId="0" applyNumberFormat="1" applyFont="1" applyFill="1" applyBorder="1"/>
    <xf numFmtId="2" fontId="13" fillId="5" borderId="1" xfId="0" applyNumberFormat="1" applyFont="1" applyFill="1" applyBorder="1"/>
    <xf numFmtId="2" fontId="14" fillId="9" borderId="1" xfId="0" applyNumberFormat="1" applyFont="1" applyFill="1" applyBorder="1"/>
    <xf numFmtId="0" fontId="16" fillId="10" borderId="16" xfId="0" applyFont="1" applyFill="1" applyBorder="1"/>
    <xf numFmtId="0" fontId="14" fillId="11" borderId="1" xfId="0" applyFont="1" applyFill="1" applyBorder="1"/>
    <xf numFmtId="0" fontId="17" fillId="0" borderId="17" xfId="0" applyFont="1" applyBorder="1"/>
    <xf numFmtId="0" fontId="18" fillId="10" borderId="18" xfId="0" applyFont="1" applyFill="1" applyBorder="1"/>
    <xf numFmtId="164" fontId="11" fillId="3" borderId="1" xfId="0" applyNumberFormat="1" applyFont="1" applyFill="1" applyBorder="1"/>
    <xf numFmtId="0" fontId="19" fillId="0" borderId="0" xfId="0" applyFont="1"/>
    <xf numFmtId="0" fontId="19" fillId="0" borderId="0" xfId="0" applyFont="1" applyAlignment="1">
      <alignment horizontal="right"/>
    </xf>
    <xf numFmtId="0" fontId="19" fillId="4" borderId="0" xfId="0" applyFont="1" applyFill="1"/>
    <xf numFmtId="0" fontId="19" fillId="2" borderId="0" xfId="0" applyFont="1" applyFill="1"/>
    <xf numFmtId="164" fontId="19" fillId="4" borderId="0" xfId="0" applyNumberFormat="1" applyFont="1" applyFill="1"/>
    <xf numFmtId="164" fontId="20" fillId="3" borderId="0" xfId="0" applyNumberFormat="1" applyFont="1" applyFill="1"/>
    <xf numFmtId="0" fontId="20" fillId="3" borderId="0" xfId="0" applyFont="1" applyFill="1"/>
    <xf numFmtId="0" fontId="19" fillId="3" borderId="0" xfId="0" applyFont="1" applyFill="1"/>
    <xf numFmtId="0" fontId="13" fillId="5" borderId="0" xfId="0" applyFont="1" applyFill="1"/>
    <xf numFmtId="164" fontId="19" fillId="2" borderId="0" xfId="0" applyNumberFormat="1" applyFont="1" applyFill="1"/>
    <xf numFmtId="0" fontId="11" fillId="2" borderId="1" xfId="0" applyFont="1" applyFill="1" applyBorder="1"/>
    <xf numFmtId="0" fontId="21" fillId="5" borderId="1" xfId="0" applyFont="1" applyFill="1" applyBorder="1"/>
    <xf numFmtId="0" fontId="10" fillId="2" borderId="0" xfId="0" applyFont="1" applyFill="1"/>
    <xf numFmtId="0" fontId="19" fillId="12" borderId="0" xfId="0" applyFont="1" applyFill="1"/>
    <xf numFmtId="0" fontId="19" fillId="12" borderId="2" xfId="0" applyFont="1" applyFill="1" applyBorder="1"/>
    <xf numFmtId="164" fontId="19" fillId="3" borderId="0" xfId="0" applyNumberFormat="1" applyFont="1" applyFill="1"/>
    <xf numFmtId="0" fontId="11" fillId="3" borderId="16" xfId="0" applyFont="1" applyFill="1" applyBorder="1"/>
    <xf numFmtId="0" fontId="19" fillId="7" borderId="2" xfId="0" applyFont="1" applyFill="1" applyBorder="1"/>
    <xf numFmtId="0" fontId="11" fillId="3" borderId="0" xfId="0" applyFont="1" applyFill="1"/>
    <xf numFmtId="0" fontId="10" fillId="2" borderId="0" xfId="0" applyFont="1" applyFill="1" applyAlignment="1">
      <alignment horizontal="right"/>
    </xf>
    <xf numFmtId="0" fontId="19" fillId="7" borderId="22" xfId="0" applyFont="1" applyFill="1" applyBorder="1" applyAlignment="1">
      <alignment horizontal="right"/>
    </xf>
    <xf numFmtId="0" fontId="11" fillId="3" borderId="0" xfId="0" applyFont="1" applyFill="1" applyAlignment="1">
      <alignment horizontal="right"/>
    </xf>
    <xf numFmtId="0" fontId="21" fillId="13" borderId="0" xfId="0" applyFont="1" applyFill="1"/>
    <xf numFmtId="0" fontId="12" fillId="4" borderId="0" xfId="0" applyFont="1" applyFill="1"/>
    <xf numFmtId="0" fontId="19" fillId="6" borderId="0" xfId="0" applyFont="1" applyFill="1"/>
    <xf numFmtId="0" fontId="19" fillId="7" borderId="22" xfId="0" applyFont="1" applyFill="1" applyBorder="1"/>
    <xf numFmtId="0" fontId="12" fillId="4" borderId="0" xfId="0" applyFont="1" applyFill="1" applyAlignment="1">
      <alignment horizontal="right"/>
    </xf>
    <xf numFmtId="0" fontId="19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3" fillId="14" borderId="0" xfId="1" applyAlignment="1"/>
    <xf numFmtId="0" fontId="19" fillId="17" borderId="2" xfId="2" applyFont="1" applyAlignment="1"/>
    <xf numFmtId="0" fontId="24" fillId="15" borderId="0" xfId="3" applyAlignment="1"/>
    <xf numFmtId="0" fontId="8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7" fillId="21" borderId="24" xfId="0" applyFont="1" applyFill="1" applyBorder="1" applyAlignment="1">
      <alignment wrapText="1"/>
    </xf>
    <xf numFmtId="0" fontId="7" fillId="22" borderId="24" xfId="0" applyFont="1" applyFill="1" applyBorder="1" applyAlignment="1">
      <alignment wrapText="1"/>
    </xf>
    <xf numFmtId="0" fontId="7" fillId="23" borderId="24" xfId="0" applyFont="1" applyFill="1" applyBorder="1" applyAlignment="1">
      <alignment wrapText="1"/>
    </xf>
    <xf numFmtId="14" fontId="7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5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5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6" fillId="14" borderId="0" xfId="0" applyFont="1" applyFill="1"/>
    <xf numFmtId="0" fontId="6" fillId="15" borderId="0" xfId="0" applyFont="1" applyFill="1"/>
    <xf numFmtId="0" fontId="6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5" fillId="16" borderId="0" xfId="0" applyFont="1" applyFill="1"/>
    <xf numFmtId="0" fontId="5" fillId="15" borderId="0" xfId="0" applyFont="1" applyFill="1"/>
    <xf numFmtId="0" fontId="5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5" borderId="0" xfId="0" applyFill="1"/>
    <xf numFmtId="0" fontId="0" fillId="18" borderId="0" xfId="0" applyFill="1"/>
    <xf numFmtId="0" fontId="0" fillId="16" borderId="0" xfId="0" applyFill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 applyFont="1"/>
    <xf numFmtId="0" fontId="0" fillId="0" borderId="0" xfId="0"/>
    <xf numFmtId="0" fontId="0" fillId="0" borderId="0" xfId="0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14" fillId="0" borderId="0" xfId="0" applyFont="1" applyAlignment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10" fillId="2" borderId="3" xfId="0" applyFont="1" applyFill="1" applyBorder="1" applyAlignment="1">
      <alignment horizontal="center"/>
    </xf>
    <xf numFmtId="0" fontId="15" fillId="0" borderId="4" xfId="0" applyFont="1" applyBorder="1"/>
    <xf numFmtId="0" fontId="11" fillId="3" borderId="3" xfId="0" applyFont="1" applyFill="1" applyBorder="1" applyAlignment="1">
      <alignment horizontal="center"/>
    </xf>
    <xf numFmtId="0" fontId="12" fillId="4" borderId="3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0" xfId="0"/>
    <xf numFmtId="0" fontId="15" fillId="0" borderId="5" xfId="0" applyFont="1" applyBorder="1"/>
    <xf numFmtId="0" fontId="14" fillId="7" borderId="6" xfId="0" applyFont="1" applyFill="1" applyBorder="1" applyAlignment="1">
      <alignment horizontal="center"/>
    </xf>
    <xf numFmtId="0" fontId="15" fillId="0" borderId="7" xfId="0" applyFont="1" applyBorder="1"/>
    <xf numFmtId="0" fontId="15" fillId="0" borderId="8" xfId="0" applyFont="1" applyBorder="1"/>
    <xf numFmtId="0" fontId="16" fillId="10" borderId="9" xfId="0" applyFont="1" applyFill="1" applyBorder="1" applyAlignment="1">
      <alignment horizontal="center"/>
    </xf>
    <xf numFmtId="0" fontId="15" fillId="0" borderId="10" xfId="0" applyFont="1" applyBorder="1"/>
    <xf numFmtId="0" fontId="15" fillId="0" borderId="11" xfId="0" applyFont="1" applyBorder="1"/>
    <xf numFmtId="0" fontId="14" fillId="11" borderId="12" xfId="0" applyFont="1" applyFill="1" applyBorder="1" applyAlignment="1">
      <alignment horizontal="center"/>
    </xf>
    <xf numFmtId="0" fontId="15" fillId="0" borderId="13" xfId="0" applyFont="1" applyBorder="1"/>
    <xf numFmtId="0" fontId="15" fillId="0" borderId="14" xfId="0" applyFont="1" applyBorder="1"/>
    <xf numFmtId="0" fontId="10" fillId="2" borderId="15" xfId="0" applyFont="1" applyFill="1" applyBorder="1" applyAlignment="1">
      <alignment horizontal="center"/>
    </xf>
    <xf numFmtId="0" fontId="18" fillId="10" borderId="19" xfId="0" applyFont="1" applyFill="1" applyBorder="1" applyAlignment="1">
      <alignment horizontal="center"/>
    </xf>
    <xf numFmtId="0" fontId="15" fillId="0" borderId="20" xfId="0" applyFont="1" applyBorder="1"/>
    <xf numFmtId="0" fontId="15" fillId="0" borderId="21" xfId="0" applyFont="1" applyBorder="1"/>
    <xf numFmtId="0" fontId="0" fillId="0" borderId="0" xfId="0" applyAlignment="1">
      <alignment horizontal="center"/>
    </xf>
    <xf numFmtId="0" fontId="24" fillId="15" borderId="0" xfId="3" applyAlignment="1">
      <alignment horizontal="center"/>
    </xf>
    <xf numFmtId="0" fontId="24" fillId="15" borderId="0" xfId="3"/>
    <xf numFmtId="0" fontId="23" fillId="14" borderId="0" xfId="1" applyAlignment="1">
      <alignment horizontal="center"/>
    </xf>
    <xf numFmtId="0" fontId="23" fillId="14" borderId="0" xfId="1"/>
    <xf numFmtId="0" fontId="25" fillId="16" borderId="0" xfId="4" applyAlignment="1">
      <alignment horizontal="center"/>
    </xf>
    <xf numFmtId="0" fontId="25" fillId="16" borderId="0" xfId="4"/>
    <xf numFmtId="0" fontId="14" fillId="6" borderId="0" xfId="0" applyFont="1" applyFill="1" applyAlignment="1">
      <alignment horizontal="center"/>
    </xf>
    <xf numFmtId="0" fontId="22" fillId="6" borderId="0" xfId="0" applyFont="1" applyFill="1" applyAlignment="1">
      <alignment horizontal="center"/>
    </xf>
    <xf numFmtId="0" fontId="14" fillId="7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14" fillId="4" borderId="0" xfId="0" applyFont="1" applyFill="1" applyAlignment="1">
      <alignment horizontal="center"/>
    </xf>
    <xf numFmtId="0" fontId="14" fillId="3" borderId="0" xfId="0" applyFont="1" applyFill="1" applyAlignment="1">
      <alignment horizontal="center"/>
    </xf>
    <xf numFmtId="0" fontId="25" fillId="23" borderId="25" xfId="0" applyFont="1" applyFill="1" applyBorder="1" applyAlignment="1">
      <alignment horizontal="center" wrapText="1"/>
    </xf>
    <xf numFmtId="0" fontId="25" fillId="23" borderId="26" xfId="0" applyFont="1" applyFill="1" applyBorder="1" applyAlignment="1">
      <alignment horizontal="center" wrapText="1"/>
    </xf>
    <xf numFmtId="0" fontId="25" fillId="23" borderId="27" xfId="0" applyFont="1" applyFill="1" applyBorder="1" applyAlignment="1">
      <alignment horizontal="center" wrapText="1"/>
    </xf>
    <xf numFmtId="0" fontId="5" fillId="24" borderId="25" xfId="0" applyFont="1" applyFill="1" applyBorder="1" applyAlignment="1">
      <alignment horizontal="center" wrapText="1"/>
    </xf>
    <xf numFmtId="0" fontId="5" fillId="24" borderId="26" xfId="0" applyFont="1" applyFill="1" applyBorder="1" applyAlignment="1">
      <alignment horizontal="center" wrapText="1"/>
    </xf>
    <xf numFmtId="0" fontId="5" fillId="24" borderId="27" xfId="0" applyFont="1" applyFill="1" applyBorder="1" applyAlignment="1">
      <alignment horizontal="center" wrapText="1"/>
    </xf>
    <xf numFmtId="0" fontId="5" fillId="22" borderId="25" xfId="0" applyFont="1" applyFill="1" applyBorder="1" applyAlignment="1">
      <alignment horizontal="center" wrapText="1"/>
    </xf>
    <xf numFmtId="0" fontId="5" fillId="22" borderId="26" xfId="0" applyFont="1" applyFill="1" applyBorder="1" applyAlignment="1">
      <alignment horizontal="center" wrapText="1"/>
    </xf>
    <xf numFmtId="0" fontId="5" fillId="22" borderId="27" xfId="0" applyFont="1" applyFill="1" applyBorder="1" applyAlignment="1">
      <alignment horizontal="center" wrapText="1"/>
    </xf>
    <xf numFmtId="0" fontId="2" fillId="24" borderId="25" xfId="0" applyFont="1" applyFill="1" applyBorder="1" applyAlignment="1">
      <alignment horizontal="center" wrapText="1"/>
    </xf>
    <xf numFmtId="0" fontId="4" fillId="24" borderId="25" xfId="0" applyFont="1" applyFill="1" applyBorder="1" applyAlignment="1">
      <alignment horizontal="center" wrapText="1"/>
    </xf>
    <xf numFmtId="0" fontId="1" fillId="22" borderId="25" xfId="0" applyFont="1" applyFill="1" applyBorder="1" applyAlignment="1">
      <alignment horizontal="center" wrapText="1"/>
    </xf>
    <xf numFmtId="0" fontId="3" fillId="22" borderId="25" xfId="0" applyFont="1" applyFill="1" applyBorder="1" applyAlignment="1">
      <alignment horizontal="center" wrapText="1"/>
    </xf>
    <xf numFmtId="0" fontId="1" fillId="23" borderId="25" xfId="0" applyFont="1" applyFill="1" applyBorder="1" applyAlignment="1">
      <alignment horizontal="center" wrapText="1"/>
    </xf>
    <xf numFmtId="0" fontId="5" fillId="23" borderId="26" xfId="0" applyFont="1" applyFill="1" applyBorder="1" applyAlignment="1">
      <alignment horizontal="center" wrapText="1"/>
    </xf>
    <xf numFmtId="0" fontId="5" fillId="23" borderId="27" xfId="0" applyFont="1" applyFill="1" applyBorder="1" applyAlignment="1">
      <alignment horizontal="center" wrapText="1"/>
    </xf>
    <xf numFmtId="0" fontId="22" fillId="3" borderId="0" xfId="0" applyFont="1" applyFill="1" applyAlignment="1">
      <alignment horizontal="center"/>
    </xf>
    <xf numFmtId="0" fontId="14" fillId="0" borderId="5" xfId="0" applyFont="1" applyBorder="1" applyAlignment="1">
      <alignment horizontal="center"/>
    </xf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4470" t="s">
        <v>0</v>
      </c>
      <c r="C1" s="4471"/>
      <c r="D1" s="4472" t="s">
        <v>1</v>
      </c>
      <c r="E1" s="4471"/>
      <c r="F1" s="4473" t="s">
        <v>177</v>
      </c>
      <c r="G1" s="4471"/>
      <c r="H1" s="4470" t="s">
        <v>174</v>
      </c>
      <c r="I1" s="4471"/>
      <c r="J1" s="4472" t="s">
        <v>175</v>
      </c>
      <c r="K1" s="4471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4474" t="str">
        <f>"Mirage"&amp;" "&amp;H5/SUM(H5:I5)*100</f>
        <v>Mirage 25</v>
      </c>
      <c r="I3" s="4475"/>
      <c r="J3" s="4474" t="str">
        <f>"Inferno"&amp;" "&amp;ROUND(J5/SUM(J5:K5)*100,0)</f>
        <v>Inferno 40</v>
      </c>
      <c r="K3" s="4475"/>
      <c r="L3" s="4474" t="str">
        <f>"Overpass"&amp;" "&amp;ROUND(L5/SUM(L5:M5)*100,0)</f>
        <v>Overpass 67</v>
      </c>
      <c r="M3" s="4475"/>
      <c r="N3" s="4474" t="str">
        <f>"Vertigo"&amp;" "&amp;ROUND(N5/SUM(N5:O5)*100,0)</f>
        <v>Vertigo 80</v>
      </c>
      <c r="O3" s="4475"/>
      <c r="P3" s="4474" t="str">
        <f>"Ancient"&amp;" "&amp;ROUND(P5/SUM(P5:Q5)*100,0)</f>
        <v>Ancient 50</v>
      </c>
      <c r="Q3" s="4475"/>
      <c r="R3" s="4474" t="str">
        <f>"Anubis"&amp;" "&amp;ROUND(R5/SUM(R5:S5)*100,0)</f>
        <v>Anubis 67</v>
      </c>
      <c r="S3" s="4475"/>
      <c r="T3" s="4474" t="str">
        <f>"Dust II"&amp;" "&amp;ROUND(T5/SUM(T5:U5)*100,0)</f>
        <v>Dust II 100</v>
      </c>
      <c r="U3" s="4475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4474" t="s">
        <v>206</v>
      </c>
      <c r="I7" s="4475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4474" t="s">
        <v>373</v>
      </c>
      <c r="G3" s="4475"/>
      <c r="H3" s="4475"/>
      <c r="I3" s="4474" t="s">
        <v>374</v>
      </c>
      <c r="J3" s="4475"/>
      <c r="K3" s="4475"/>
      <c r="L3" s="4474" t="s">
        <v>375</v>
      </c>
      <c r="M3" s="4475"/>
      <c r="N3" s="4475"/>
      <c r="O3" s="4474" t="s">
        <v>376</v>
      </c>
      <c r="P3" s="4475"/>
      <c r="Q3" s="4475"/>
      <c r="R3" s="4474" t="s">
        <v>377</v>
      </c>
      <c r="S3" s="4475"/>
      <c r="T3" s="4474" t="s">
        <v>378</v>
      </c>
      <c r="U3" s="4475"/>
      <c r="V3" s="4474" t="s">
        <v>379</v>
      </c>
      <c r="W3" s="4475"/>
      <c r="X3" s="4475"/>
      <c r="Y3" s="4474" t="s">
        <v>380</v>
      </c>
      <c r="Z3" s="4475"/>
      <c r="AA3" s="4475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4470" t="s">
        <v>641</v>
      </c>
      <c r="B1" s="4476"/>
      <c r="C1" s="4476"/>
      <c r="D1" s="4471"/>
      <c r="E1" s="4472" t="s">
        <v>642</v>
      </c>
      <c r="F1" s="4476"/>
      <c r="G1" s="4476"/>
      <c r="H1" s="4476"/>
      <c r="I1" s="4476"/>
      <c r="J1" s="4471"/>
      <c r="K1" s="4473" t="s">
        <v>643</v>
      </c>
      <c r="L1" s="4476"/>
      <c r="M1" s="4476"/>
      <c r="N1" s="4471"/>
      <c r="O1" s="4477" t="s">
        <v>644</v>
      </c>
      <c r="P1" s="4478"/>
      <c r="Q1" s="4478"/>
      <c r="R1" s="4478"/>
      <c r="S1" s="4479"/>
      <c r="T1" s="4480" t="s">
        <v>645</v>
      </c>
      <c r="U1" s="4481"/>
      <c r="V1" s="4481"/>
      <c r="W1" s="4481"/>
      <c r="X1" s="4482"/>
      <c r="Y1" s="4483" t="s">
        <v>646</v>
      </c>
      <c r="Z1" s="4484"/>
      <c r="AA1" s="4484"/>
      <c r="AB1" s="4485"/>
      <c r="AC1" s="4486" t="s">
        <v>647</v>
      </c>
      <c r="AD1" s="4476"/>
      <c r="AE1" s="4476"/>
      <c r="AF1" s="4476"/>
      <c r="AG1" s="4471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4474" t="s">
        <v>651</v>
      </c>
      <c r="B8" s="4475"/>
      <c r="C8" s="4475"/>
      <c r="D8" s="4475"/>
      <c r="E8" s="4475"/>
      <c r="F8" s="4475"/>
      <c r="G8" s="4475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4487" t="s">
        <v>710</v>
      </c>
      <c r="C20" s="4488"/>
      <c r="D20" s="4488"/>
      <c r="E20" s="4488"/>
      <c r="F20" s="4488"/>
      <c r="G20" s="4488"/>
      <c r="H20" s="4489"/>
    </row>
    <row r="21" spans="1:13" ht="15.75" customHeight="1" x14ac:dyDescent="0.25"/>
    <row r="22" spans="1:13" ht="15.75" customHeight="1" x14ac:dyDescent="0.25">
      <c r="A22" s="4487" t="s">
        <v>711</v>
      </c>
      <c r="B22" s="4488"/>
      <c r="C22" s="4489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8:G8"/>
    <mergeCell ref="B20:H20"/>
    <mergeCell ref="A22:C22"/>
    <mergeCell ref="A1:D1"/>
    <mergeCell ref="E1:J1"/>
    <mergeCell ref="K1:N1"/>
    <mergeCell ref="O1:S1"/>
    <mergeCell ref="T1:X1"/>
    <mergeCell ref="Y1:AB1"/>
    <mergeCell ref="AC1:AG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57"/>
  <sheetViews>
    <sheetView workbookViewId="0">
      <pane ySplit="1" topLeftCell="A2" activePane="bottomLeft" state="frozen"/>
      <selection pane="bottomLeft" activeCell="AF14" sqref="AF14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4491" t="s">
        <v>1293</v>
      </c>
      <c r="I3" s="4492"/>
      <c r="J3" s="4492"/>
      <c r="K3" s="4492"/>
      <c r="L3" s="4493" t="s">
        <v>1322</v>
      </c>
      <c r="M3" s="4494"/>
      <c r="N3" s="4494"/>
      <c r="O3" s="4494"/>
      <c r="P3" s="4495" t="s">
        <v>944</v>
      </c>
      <c r="Q3" s="4496"/>
      <c r="R3" s="4496"/>
      <c r="S3" s="4496"/>
      <c r="T3" s="4497" t="s">
        <v>941</v>
      </c>
      <c r="U3" s="4475"/>
      <c r="V3" s="4475"/>
      <c r="W3" s="4475"/>
      <c r="X3" s="4498" t="s">
        <v>1324</v>
      </c>
      <c r="Y3" s="4475"/>
      <c r="Z3" s="4475"/>
      <c r="AA3" s="4475"/>
      <c r="AB3" s="4499" t="s">
        <v>1289</v>
      </c>
      <c r="AC3" s="4475"/>
      <c r="AD3" s="4475"/>
      <c r="AE3" s="4475"/>
      <c r="AF3" s="4495" t="s">
        <v>1029</v>
      </c>
      <c r="AG3" s="4495"/>
      <c r="AH3" s="4495"/>
      <c r="AI3" s="4495"/>
      <c r="AJ3" s="4495" t="s">
        <v>1030</v>
      </c>
      <c r="AK3" s="4495"/>
      <c r="AL3" s="4495"/>
      <c r="AM3" s="4495"/>
      <c r="AN3" s="4493" t="s">
        <v>1231</v>
      </c>
      <c r="AO3" s="4493"/>
      <c r="AP3" s="4493"/>
      <c r="AQ3" s="4493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AVERAGE(B6,B8,B10,B11,B13,B14,B16,B17,B23,B30,B42,B50,B53,B55,B60,B66,B70,B77,B79,B84,B97,B101,B106,B109,B115,B119,B126,B134,B136,B138,B145,B149,B167,B171,B173,B174,B184,B190,B193,B194,B201,B207,B208,B210,B212,B215,B217,B221,B227,B229,B233,B234,B238,B241,B247,B251)</f>
        <v>1.0467857142857142</v>
      </c>
      <c r="I4" s="1">
        <f t="shared" ref="I4:K4" si="0">AVERAGE(C6,C8,C10,C11,C13,C14,C16,C17,C23,C30,C42,C50,C53,C55,C60,C66,C70,C77,C79,C84,C97,C101,C106,C109,C115,C119,C126,C134,C136,C138,C145,C149,C167,C171,C173,C174,C184,C190,C193,C194,C201,C207,C208,C210,C212,C215,C217,C221,C227,C229,C233,C234,C238,C241,C247,C251)</f>
        <v>0.99188679245283029</v>
      </c>
      <c r="J4" s="1">
        <f t="shared" si="0"/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AVERAGE(B3,B5,B18,B27,B28,B32,B34,B36,B44,B56,B61,B63,B69,B75,B88,B96,B99,B105,B111,B116,B117,B128,B133,B139,B144,B147,B158,B162,B163,B164,B165,B166,B172,B177,B183,B195,B200,B202,B203,B206,B214,B218,B225,B232,B244,B250,B252,B254)</f>
        <v>1.1278723404255317</v>
      </c>
      <c r="M4" s="1">
        <f t="shared" ref="M4:O4" si="1">AVERAGE(C3,C5,C18,C27,C28,C32,C34,C36,C44,C56,C61,C63,C69,C75,C88,C96,C99,C105,C111,C116,C117,C128,C133,C139,C144,C147,C158,C162,C163,C164,C165,C166,C172,C177,C183,C195,C200,C202,C203,C206,C214,C218,C225,C232,C244,C250,C252,C254)</f>
        <v>1.0039534883720929</v>
      </c>
      <c r="N4" s="1">
        <f t="shared" si="1"/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 t="shared" ref="Q4:S4" si="2">AVERAGE(C4,C19,C20,C31,C43,C68,C72,C76,C85,C110,C122,C124,C127,C143,C152,C179,C186)</f>
        <v>0.86437500000000012</v>
      </c>
      <c r="R4" s="1">
        <f t="shared" si="2"/>
        <v>1.08</v>
      </c>
      <c r="S4" s="1" t="e">
        <f t="shared" si="2"/>
        <v>#DIV/0!</v>
      </c>
      <c r="T4" s="1">
        <f>AVERAGE(B7,B33,B35,B46,B57,B58,B67,B71,B81,B87,B91,B100,B103,B104,B108,B120,B129,B151,B168,B182)</f>
        <v>1.2050000000000003</v>
      </c>
      <c r="U4" s="1">
        <f t="shared" ref="U4:W4" si="3">AVERAGE(C7,C33,C35,C46,C57,C58,C67,C71,C81,C87,C91,C100,C103,C104,C108,C120,C129,C151,C168,C182)</f>
        <v>1.0694117647058823</v>
      </c>
      <c r="V4" s="1">
        <f t="shared" si="3"/>
        <v>0.95</v>
      </c>
      <c r="W4" s="1">
        <f t="shared" si="3"/>
        <v>1.155</v>
      </c>
      <c r="X4" s="1">
        <f>AVERAGE(B21,B24,B39,B40,B47,B49,B51,B52,B65,B80,B82,B92,B93,B112,B130,B140,B148,B150,B153,B154,B155,B157,B161,B181,B196,B204,B222,B223,B231,B239,B243,B249,B256)</f>
        <v>1.1440625</v>
      </c>
      <c r="Y4" s="1">
        <f t="shared" ref="Y4:AA4" si="4">AVERAGE(C21,C24,C39,C40,C47,C49,C51,C52,C65,C80,C82,C92,C93,C112,C130,C140,C148,C150,C153,C154,C155,C157,C161,C181,C196,C204,C222,C223,C231,C239,C243,C249,C256)</f>
        <v>1.2448387096774189</v>
      </c>
      <c r="Z4" s="1" t="e">
        <f t="shared" si="4"/>
        <v>#DIV/0!</v>
      </c>
      <c r="AA4" s="1">
        <f t="shared" si="4"/>
        <v>0.9</v>
      </c>
      <c r="AB4" s="1">
        <f>AVERAGE(B9,B15,B25,B26,B37,B38,B45,B48,B59,B64,B73,B78,B86,B94,B95,B98,B113,B121,B123,B131,B142,B156,B160,B170,B175,B185,B191,B236,B242,B246,B248)</f>
        <v>1.0638709677419356</v>
      </c>
      <c r="AC4" s="1">
        <f t="shared" ref="AC4:AE4" si="5">AVERAGE(C9,C15,C25,C26,C37,C38,C45,C48,C59,C64,C73,C78,C86,C94,C95,C98,C113,C121,C123,C131,C142,C156,C160,C170,C175,C185,C191,C236,C242,C246,C248)</f>
        <v>0.94344827586206903</v>
      </c>
      <c r="AD4" s="1">
        <f t="shared" si="5"/>
        <v>1.22</v>
      </c>
      <c r="AE4" s="1">
        <f t="shared" si="5"/>
        <v>0.87</v>
      </c>
      <c r="AF4" s="1">
        <f>AVERAGE(B188,B192,B198)</f>
        <v>0.64666666666666661</v>
      </c>
      <c r="AG4" s="1">
        <f t="shared" ref="AG4:AI4" si="6">AVERAGE(C188,C192,C198)</f>
        <v>0.83666666666666656</v>
      </c>
      <c r="AH4" s="1" t="e">
        <f t="shared" si="6"/>
        <v>#DIV/0!</v>
      </c>
      <c r="AI4" s="1" t="e">
        <f t="shared" si="6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AVERAGE(B226,B235)</f>
        <v>1.44</v>
      </c>
      <c r="AO4" s="1">
        <f t="shared" ref="AO4:AQ4" si="7">AVERAGE(C226,C235)</f>
        <v>1.41</v>
      </c>
      <c r="AP4" s="1" t="e">
        <f t="shared" si="7"/>
        <v>#DIV/0!</v>
      </c>
      <c r="AQ4" s="1" t="e">
        <f t="shared" si="7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4490">
        <f>AVERAGE(H4:I4)</f>
        <v>1.0193362533692722</v>
      </c>
      <c r="I5" s="4490"/>
      <c r="J5" s="4490"/>
      <c r="K5" s="4490"/>
      <c r="L5" s="4490">
        <f>AVERAGE(L4:M4)</f>
        <v>1.0659129143988122</v>
      </c>
      <c r="M5" s="4490"/>
      <c r="N5" s="4490"/>
      <c r="O5" s="4490"/>
      <c r="P5" s="4490">
        <f>AVERAGE(P4:Q4)</f>
        <v>0.92159926470588238</v>
      </c>
      <c r="Q5" s="4490"/>
      <c r="R5" s="4490"/>
      <c r="S5" s="4490"/>
      <c r="T5" s="4490">
        <f>AVERAGE(T4:U4)</f>
        <v>1.1372058823529412</v>
      </c>
      <c r="U5" s="4490"/>
      <c r="V5" s="4490"/>
      <c r="W5" s="4490"/>
      <c r="X5" s="4490">
        <f>AVERAGE(X4:Y4)</f>
        <v>1.1944506048387096</v>
      </c>
      <c r="Y5" s="4490"/>
      <c r="Z5" s="4490"/>
      <c r="AA5" s="4490"/>
      <c r="AB5" s="4490">
        <f>AVERAGE(AB4:AC4)</f>
        <v>1.0036596218020022</v>
      </c>
      <c r="AC5" s="4490"/>
      <c r="AD5" s="4490"/>
      <c r="AE5" s="4490"/>
      <c r="AF5" s="4490">
        <f>AVERAGE(AF4:AG4)</f>
        <v>0.74166666666666659</v>
      </c>
      <c r="AG5" s="4490"/>
      <c r="AH5" s="4490"/>
      <c r="AI5" s="4490"/>
      <c r="AJ5" s="4490">
        <f>AVERAGE(AJ4:AK4)</f>
        <v>0.75</v>
      </c>
      <c r="AK5" s="4490"/>
      <c r="AL5" s="4490"/>
      <c r="AM5" s="4490"/>
      <c r="AN5" s="4490">
        <f>AVERAGE(AN4:AO4)</f>
        <v>1.4249999999999998</v>
      </c>
      <c r="AO5" s="4490"/>
      <c r="AP5" s="4490"/>
      <c r="AQ5" s="4490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1128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1129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1130</v>
      </c>
      <c r="B25" s="1">
        <v>1.58</v>
      </c>
      <c r="C25" s="1">
        <v>1.39</v>
      </c>
    </row>
    <row r="26" spans="1:5" ht="15.75" customHeight="1" x14ac:dyDescent="0.25">
      <c r="A26" s="1" t="s">
        <v>1131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1132</v>
      </c>
      <c r="B37" s="1">
        <v>1.24</v>
      </c>
      <c r="C37" s="1">
        <v>1.48</v>
      </c>
    </row>
    <row r="38" spans="1:7" ht="15.75" customHeight="1" x14ac:dyDescent="0.25">
      <c r="A38" s="1" t="s">
        <v>1133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1134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1135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1136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1137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1078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1079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1080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1081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1082</v>
      </c>
      <c r="B218">
        <v>0.85</v>
      </c>
      <c r="C218">
        <v>0.77</v>
      </c>
    </row>
    <row r="219" spans="1:91" x14ac:dyDescent="0.25">
      <c r="A219" s="41" t="s">
        <v>1106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1107</v>
      </c>
      <c r="B220">
        <v>0.48</v>
      </c>
      <c r="C220">
        <v>0.98</v>
      </c>
    </row>
    <row r="221" spans="1:91" x14ac:dyDescent="0.25">
      <c r="A221" s="1557" t="s">
        <v>1108</v>
      </c>
      <c r="B221">
        <v>1.54</v>
      </c>
      <c r="C221">
        <v>1.7</v>
      </c>
    </row>
    <row r="222" spans="1:91" x14ac:dyDescent="0.25">
      <c r="A222" s="1558" t="s">
        <v>1109</v>
      </c>
      <c r="B222">
        <v>1.56</v>
      </c>
      <c r="C222">
        <v>1.56</v>
      </c>
    </row>
    <row r="223" spans="1:91" x14ac:dyDescent="0.25">
      <c r="A223" s="1559" t="s">
        <v>1110</v>
      </c>
      <c r="B223">
        <v>1.64</v>
      </c>
      <c r="C223">
        <v>1.2</v>
      </c>
    </row>
    <row r="224" spans="1:91" x14ac:dyDescent="0.25">
      <c r="A224" s="41" t="s">
        <v>1138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1139</v>
      </c>
      <c r="B226">
        <v>1.44</v>
      </c>
      <c r="C226">
        <v>1.41</v>
      </c>
    </row>
    <row r="227" spans="1:87" x14ac:dyDescent="0.25">
      <c r="A227" s="1832" t="s">
        <v>1140</v>
      </c>
      <c r="B227">
        <v>0.98</v>
      </c>
      <c r="C227">
        <v>1.6</v>
      </c>
    </row>
    <row r="228" spans="1:87" x14ac:dyDescent="0.25">
      <c r="A228" s="44" t="s">
        <v>1166</v>
      </c>
      <c r="B228" s="44"/>
      <c r="C228" s="44"/>
      <c r="D228" s="44"/>
      <c r="E228" s="44"/>
      <c r="G228" s="2180"/>
      <c r="H228" s="2985"/>
      <c r="I228" s="2985"/>
      <c r="J228" s="2985"/>
      <c r="K228" s="2985"/>
      <c r="L228" s="2985"/>
      <c r="M228" s="2985"/>
      <c r="N228" s="2985"/>
      <c r="O228" s="2985"/>
      <c r="P228" s="2985"/>
      <c r="Q228" s="2985"/>
      <c r="R228" s="2985"/>
      <c r="S228" s="2985"/>
      <c r="T228" s="2985"/>
      <c r="U228" s="2985"/>
      <c r="V228" s="2985"/>
      <c r="W228" s="2985"/>
      <c r="X228" s="2985"/>
      <c r="Y228" s="2985"/>
      <c r="Z228" s="2985"/>
      <c r="AA228" s="2985"/>
      <c r="AB228" s="2985"/>
      <c r="AC228" s="2985"/>
      <c r="AD228" s="2985"/>
      <c r="AE228" s="2985"/>
      <c r="AF228" s="2985"/>
      <c r="AG228" s="2985"/>
      <c r="AH228" s="2985"/>
      <c r="AI228" s="2985"/>
      <c r="AJ228" s="2985"/>
      <c r="AK228" s="2985"/>
      <c r="AL228" s="2985"/>
      <c r="AM228" s="2985"/>
      <c r="AN228" s="2985"/>
      <c r="AO228" s="2985"/>
      <c r="AP228" s="2985"/>
      <c r="AQ228" s="2985"/>
      <c r="AR228" s="2985"/>
      <c r="AS228" s="2985"/>
      <c r="AT228" s="2985"/>
      <c r="AU228" s="2985"/>
      <c r="AV228" s="2985"/>
      <c r="AW228" s="2985"/>
      <c r="AX228" s="2985"/>
      <c r="AY228" s="2985"/>
      <c r="AZ228" s="2985"/>
      <c r="BA228" s="2985"/>
      <c r="BB228" s="2985"/>
      <c r="BC228" s="2985"/>
      <c r="BD228" s="2985"/>
      <c r="BE228" s="2985"/>
      <c r="BF228" s="2985"/>
      <c r="BG228" s="2985"/>
      <c r="BH228" s="2985"/>
      <c r="BI228" s="2985"/>
      <c r="BJ228" s="2985"/>
      <c r="BK228" s="2985"/>
      <c r="BL228" s="2985"/>
      <c r="BM228" s="2985"/>
      <c r="BN228" s="2985"/>
      <c r="BO228" s="2985"/>
      <c r="BP228" s="2985"/>
      <c r="BQ228" s="2985"/>
      <c r="BR228" s="2985"/>
      <c r="BS228" s="2985"/>
      <c r="BT228" s="2985"/>
      <c r="BU228" s="2985"/>
      <c r="BV228" s="2985"/>
      <c r="BW228" s="2985"/>
      <c r="BX228" s="2985"/>
      <c r="BY228" s="2985"/>
      <c r="BZ228" s="2985"/>
      <c r="CA228" s="2985"/>
      <c r="CB228" s="2985"/>
      <c r="CC228" s="2985"/>
      <c r="CD228" s="2985"/>
      <c r="CE228" s="2985"/>
      <c r="CF228" s="2985"/>
      <c r="CG228" s="2985"/>
      <c r="CH228" s="2180"/>
    </row>
    <row r="229" spans="1:87" x14ac:dyDescent="0.25">
      <c r="A229" s="2181" t="s">
        <v>1167</v>
      </c>
      <c r="B229">
        <v>1.95</v>
      </c>
      <c r="C229">
        <v>0.87</v>
      </c>
      <c r="H229" s="2985"/>
      <c r="I229" s="2985"/>
      <c r="J229" s="2985"/>
      <c r="K229" s="2985"/>
      <c r="L229" s="2985"/>
      <c r="M229" s="2985"/>
      <c r="N229" s="2985"/>
      <c r="O229" s="2985"/>
      <c r="P229" s="2985"/>
      <c r="Q229" s="2985"/>
      <c r="R229" s="2985"/>
      <c r="S229" s="2985"/>
      <c r="T229" s="2985"/>
      <c r="U229" s="2985"/>
      <c r="V229" s="2985"/>
      <c r="W229" s="2985"/>
      <c r="X229" s="2985"/>
      <c r="Y229" s="2985"/>
      <c r="Z229" s="2985"/>
      <c r="AA229" s="2985"/>
      <c r="AB229" s="2985"/>
      <c r="AC229" s="2985"/>
      <c r="AD229" s="2985"/>
      <c r="AE229" s="2985"/>
      <c r="AF229" s="2985"/>
      <c r="AG229" s="2985"/>
      <c r="AH229" s="2985"/>
      <c r="AI229" s="2985"/>
      <c r="AJ229" s="2985"/>
      <c r="AK229" s="2985"/>
      <c r="AL229" s="2985"/>
      <c r="AM229" s="2985"/>
      <c r="AN229" s="2985"/>
      <c r="AO229" s="2985"/>
      <c r="AP229" s="2985"/>
      <c r="AQ229" s="2985"/>
      <c r="AR229" s="2985"/>
      <c r="AS229" s="2985"/>
      <c r="AT229" s="2985"/>
      <c r="AU229" s="2985"/>
      <c r="AV229" s="2985"/>
      <c r="AW229" s="2985"/>
      <c r="AX229" s="2985"/>
      <c r="AY229" s="2985"/>
      <c r="AZ229" s="2985"/>
      <c r="BA229" s="2985"/>
      <c r="BB229" s="2985"/>
      <c r="BC229" s="2985"/>
      <c r="BD229" s="2985"/>
      <c r="BE229" s="2985"/>
      <c r="BF229" s="2985"/>
      <c r="BG229" s="2985"/>
      <c r="BH229" s="2985"/>
      <c r="BI229" s="2985"/>
      <c r="BJ229" s="2985"/>
      <c r="BK229" s="2985"/>
      <c r="BL229" s="2985"/>
      <c r="BM229" s="2985"/>
      <c r="BN229" s="2985"/>
      <c r="BO229" s="2985"/>
      <c r="BP229" s="2985"/>
      <c r="BQ229" s="2985"/>
      <c r="BR229" s="2985"/>
      <c r="BS229" s="2985"/>
      <c r="BT229" s="2985"/>
      <c r="BU229" s="2985"/>
      <c r="BV229" s="2985"/>
      <c r="BW229" s="2985"/>
      <c r="BX229" s="2985"/>
      <c r="BY229" s="2985"/>
      <c r="BZ229" s="2985"/>
      <c r="CA229" s="2985"/>
      <c r="CB229" s="2985"/>
      <c r="CC229" s="2985"/>
      <c r="CD229" s="2985"/>
      <c r="CE229" s="2985"/>
      <c r="CF229" s="2985"/>
      <c r="CG229" s="2985"/>
    </row>
    <row r="230" spans="1:87" x14ac:dyDescent="0.25">
      <c r="A230" s="41" t="s">
        <v>1226</v>
      </c>
      <c r="B230" s="41"/>
      <c r="C230" s="41"/>
      <c r="D230" s="41"/>
      <c r="E230" s="41"/>
      <c r="H230" s="2985"/>
      <c r="I230" s="2985"/>
      <c r="J230" s="2985"/>
      <c r="K230" s="2985"/>
      <c r="L230" s="2985"/>
      <c r="M230" s="2985"/>
      <c r="N230" s="2985"/>
      <c r="O230" s="2985"/>
      <c r="P230" s="2985"/>
      <c r="Q230" s="2985"/>
      <c r="R230" s="2985"/>
      <c r="S230" s="2985"/>
      <c r="T230" s="2985"/>
      <c r="U230" s="2985"/>
      <c r="V230" s="2985"/>
      <c r="W230" s="2985"/>
      <c r="X230" s="2985"/>
      <c r="Y230" s="2985"/>
      <c r="Z230" s="2985"/>
      <c r="AA230" s="2985"/>
      <c r="AB230" s="2985"/>
      <c r="AC230" s="2985"/>
      <c r="AD230" s="2985"/>
      <c r="AE230" s="2985"/>
      <c r="AF230" s="2985"/>
      <c r="AG230" s="2985"/>
      <c r="AH230" s="2985"/>
      <c r="AI230" s="2985"/>
      <c r="AJ230" s="2985"/>
      <c r="AK230" s="2985"/>
      <c r="AL230" s="2985"/>
      <c r="AM230" s="2985"/>
      <c r="AN230" s="2985"/>
      <c r="AO230" s="2985"/>
      <c r="AP230" s="2985"/>
      <c r="AQ230" s="2985"/>
      <c r="AR230" s="2985"/>
      <c r="AS230" s="2985"/>
      <c r="AT230" s="2985"/>
      <c r="AU230" s="2985"/>
      <c r="AV230" s="2985"/>
      <c r="AW230" s="2985"/>
      <c r="AX230" s="2985"/>
      <c r="AY230" s="2985"/>
      <c r="AZ230" s="2985"/>
      <c r="BA230" s="2985"/>
      <c r="BB230" s="2985"/>
      <c r="BC230" s="2985"/>
      <c r="BD230" s="2985"/>
      <c r="BE230" s="2985"/>
      <c r="BF230" s="2985"/>
      <c r="BG230" s="2985"/>
      <c r="BH230" s="2985"/>
      <c r="BI230" s="2985"/>
      <c r="BJ230" s="2985"/>
      <c r="BK230" s="2985"/>
      <c r="BL230" s="2985"/>
      <c r="BM230" s="2985"/>
      <c r="BN230" s="2985"/>
      <c r="BO230" s="2985"/>
      <c r="BP230" s="2985"/>
      <c r="BQ230" s="2985"/>
      <c r="BR230" s="2985"/>
      <c r="BS230" s="2985"/>
      <c r="BT230" s="2985"/>
      <c r="BU230" s="2985"/>
      <c r="BV230" s="2985"/>
      <c r="BW230" s="2985"/>
      <c r="BX230" s="2985"/>
      <c r="BY230" s="2985"/>
      <c r="BZ230" s="2985"/>
      <c r="CA230" s="2985"/>
      <c r="CB230" s="2985"/>
      <c r="CC230" s="2985"/>
      <c r="CD230" s="2985"/>
      <c r="CE230" s="2985"/>
      <c r="CF230" s="2985"/>
      <c r="CG230" s="2985"/>
    </row>
    <row r="231" spans="1:87" x14ac:dyDescent="0.25">
      <c r="A231" s="2986" t="s">
        <v>573</v>
      </c>
      <c r="B231">
        <v>1.38</v>
      </c>
      <c r="C231">
        <v>1.99</v>
      </c>
      <c r="H231" s="2985"/>
      <c r="I231" s="2985"/>
      <c r="J231" s="2985"/>
      <c r="K231" s="2985"/>
      <c r="L231" s="2985"/>
      <c r="M231" s="2985"/>
      <c r="N231" s="2985"/>
      <c r="O231" s="2985"/>
      <c r="P231" s="2985"/>
      <c r="Q231" s="2985"/>
      <c r="R231" s="2985"/>
      <c r="S231" s="2985"/>
      <c r="T231" s="2985"/>
      <c r="U231" s="2985"/>
      <c r="V231" s="2985"/>
      <c r="W231" s="2985"/>
      <c r="X231" s="2985"/>
      <c r="Y231" s="2985"/>
      <c r="Z231" s="2985"/>
      <c r="AA231" s="2985"/>
      <c r="AB231" s="2985"/>
      <c r="AC231" s="2985"/>
      <c r="AD231" s="2985"/>
      <c r="AE231" s="2985"/>
      <c r="AF231" s="2985"/>
      <c r="AG231" s="2985"/>
      <c r="AH231" s="2985"/>
      <c r="AI231" s="2985"/>
      <c r="AJ231" s="2985"/>
      <c r="AK231" s="2985"/>
      <c r="AL231" s="2985"/>
      <c r="AM231" s="2985"/>
      <c r="AN231" s="2985"/>
      <c r="AO231" s="2985"/>
      <c r="AP231" s="2985"/>
      <c r="AQ231" s="2985"/>
      <c r="AR231" s="2985"/>
      <c r="AS231" s="2985"/>
      <c r="AT231" s="2985"/>
      <c r="AU231" s="2985"/>
      <c r="AV231" s="2985"/>
      <c r="AW231" s="2985"/>
      <c r="AX231" s="2985"/>
      <c r="AY231" s="2985"/>
      <c r="AZ231" s="2985"/>
      <c r="BA231" s="2985"/>
      <c r="BB231" s="2985"/>
      <c r="BC231" s="2985"/>
      <c r="BD231" s="2985"/>
      <c r="BE231" s="2985"/>
      <c r="BF231" s="2985"/>
      <c r="BG231" s="2985"/>
      <c r="BH231" s="2985"/>
      <c r="BI231" s="2985"/>
      <c r="BJ231" s="2985"/>
      <c r="BK231" s="2985"/>
      <c r="BL231" s="2985"/>
      <c r="BM231" s="2985"/>
      <c r="BN231" s="2985"/>
      <c r="BO231" s="2985"/>
      <c r="BP231" s="2985"/>
      <c r="BQ231" s="2985"/>
      <c r="BR231" s="2985"/>
      <c r="BS231" s="2985"/>
      <c r="BT231" s="2985"/>
      <c r="BU231" s="2985"/>
      <c r="BV231" s="2985"/>
      <c r="BW231" s="2985"/>
      <c r="BX231" s="2985"/>
      <c r="BY231" s="2985"/>
      <c r="BZ231" s="2985"/>
      <c r="CA231" s="2985"/>
      <c r="CB231" s="2985"/>
      <c r="CC231" s="2985"/>
      <c r="CD231" s="2985"/>
      <c r="CE231" s="2985"/>
      <c r="CF231" s="2985"/>
      <c r="CG231" s="2985"/>
    </row>
    <row r="232" spans="1:87" x14ac:dyDescent="0.25">
      <c r="A232" s="2987" t="s">
        <v>1227</v>
      </c>
      <c r="B232">
        <v>0.86</v>
      </c>
      <c r="C232">
        <v>0.48</v>
      </c>
      <c r="H232" s="2985"/>
      <c r="I232" s="2985"/>
      <c r="J232" s="2985"/>
      <c r="K232" s="2985"/>
      <c r="L232" s="2985"/>
      <c r="M232" s="2985"/>
      <c r="N232" s="2985"/>
      <c r="O232" s="2985"/>
      <c r="P232" s="2985"/>
      <c r="Q232" s="2985"/>
      <c r="R232" s="2985"/>
      <c r="S232" s="2985"/>
      <c r="T232" s="2985"/>
      <c r="U232" s="2985"/>
      <c r="V232" s="2985"/>
      <c r="W232" s="2985"/>
      <c r="X232" s="2985"/>
      <c r="Y232" s="2985"/>
      <c r="Z232" s="2985"/>
      <c r="AA232" s="2985"/>
      <c r="AB232" s="2985"/>
      <c r="AC232" s="2985"/>
      <c r="AD232" s="2985"/>
      <c r="AE232" s="2985"/>
      <c r="AF232" s="2985"/>
      <c r="AG232" s="2985"/>
      <c r="AH232" s="2985"/>
      <c r="AI232" s="2985"/>
      <c r="AJ232" s="2985"/>
      <c r="AK232" s="2985"/>
      <c r="AL232" s="2985"/>
      <c r="AM232" s="2985"/>
      <c r="AN232" s="2985"/>
      <c r="AO232" s="2985"/>
      <c r="AP232" s="2985"/>
      <c r="AQ232" s="2985"/>
      <c r="AR232" s="2985"/>
      <c r="AS232" s="2985"/>
      <c r="AT232" s="2985"/>
      <c r="AU232" s="2985"/>
      <c r="AV232" s="2985"/>
      <c r="AW232" s="2985"/>
      <c r="AX232" s="2985"/>
      <c r="AY232" s="2985"/>
      <c r="AZ232" s="2985"/>
      <c r="BA232" s="2985"/>
      <c r="BB232" s="2985"/>
      <c r="BC232" s="2985"/>
      <c r="BD232" s="2985"/>
      <c r="BE232" s="2985"/>
      <c r="BF232" s="2985"/>
      <c r="BG232" s="2985"/>
      <c r="BH232" s="2985"/>
      <c r="BI232" s="2985"/>
      <c r="BJ232" s="2985"/>
      <c r="BK232" s="2985"/>
      <c r="BL232" s="2985"/>
      <c r="BM232" s="2985"/>
      <c r="BN232" s="2985"/>
      <c r="BO232" s="2985"/>
      <c r="BP232" s="2985"/>
      <c r="BQ232" s="2985"/>
      <c r="BR232" s="2985"/>
      <c r="BS232" s="2985"/>
      <c r="BT232" s="2985"/>
      <c r="BU232" s="2985"/>
      <c r="BV232" s="2985"/>
      <c r="BW232" s="2985"/>
      <c r="BX232" s="2985"/>
      <c r="BY232" s="2985"/>
      <c r="BZ232" s="2985"/>
      <c r="CA232" s="2985"/>
      <c r="CB232" s="2985"/>
      <c r="CC232" s="2985"/>
      <c r="CD232" s="2985"/>
      <c r="CE232" s="2985"/>
      <c r="CF232" s="2985"/>
      <c r="CG232" s="2985"/>
    </row>
    <row r="233" spans="1:87" x14ac:dyDescent="0.25">
      <c r="A233" s="2988" t="s">
        <v>1228</v>
      </c>
      <c r="B233">
        <v>1.72</v>
      </c>
      <c r="C233">
        <v>1.48</v>
      </c>
      <c r="H233" s="2985"/>
      <c r="I233" s="2985"/>
      <c r="J233" s="2985"/>
      <c r="K233" s="2985"/>
      <c r="L233" s="2985"/>
      <c r="M233" s="2985"/>
      <c r="N233" s="2985"/>
      <c r="O233" s="2985"/>
      <c r="P233" s="2985"/>
      <c r="Q233" s="2985"/>
      <c r="R233" s="2985"/>
      <c r="S233" s="2985"/>
      <c r="T233" s="2985"/>
      <c r="U233" s="2985"/>
      <c r="V233" s="2985"/>
      <c r="W233" s="2985"/>
      <c r="X233" s="2985"/>
      <c r="Y233" s="2985"/>
      <c r="Z233" s="2985"/>
      <c r="AA233" s="2985"/>
      <c r="AB233" s="2985"/>
      <c r="AC233" s="2985"/>
      <c r="AD233" s="2985"/>
      <c r="AE233" s="2985"/>
      <c r="AF233" s="2985"/>
      <c r="AG233" s="2985"/>
      <c r="AH233" s="2985"/>
      <c r="AI233" s="2985"/>
      <c r="AJ233" s="2985"/>
      <c r="AK233" s="2985"/>
      <c r="AL233" s="2985"/>
      <c r="AM233" s="2985"/>
      <c r="AN233" s="2985"/>
      <c r="AO233" s="2985"/>
      <c r="AP233" s="2985"/>
      <c r="AQ233" s="2985"/>
      <c r="AR233" s="2985"/>
      <c r="AS233" s="2985"/>
      <c r="AT233" s="2985"/>
      <c r="AU233" s="2985"/>
      <c r="AV233" s="2985"/>
      <c r="AW233" s="2985"/>
      <c r="AX233" s="2985"/>
      <c r="AY233" s="2985"/>
      <c r="AZ233" s="2985"/>
      <c r="BA233" s="2985"/>
      <c r="BB233" s="2985"/>
      <c r="BC233" s="2985"/>
      <c r="BD233" s="2985"/>
      <c r="BE233" s="2985"/>
      <c r="BF233" s="2985"/>
      <c r="BG233" s="2985"/>
      <c r="BH233" s="2985"/>
      <c r="BI233" s="2985"/>
      <c r="BJ233" s="2985"/>
      <c r="BK233" s="2985"/>
      <c r="BL233" s="2985"/>
      <c r="BM233" s="2985"/>
      <c r="BN233" s="2985"/>
      <c r="BO233" s="2985"/>
      <c r="BP233" s="2985"/>
      <c r="BQ233" s="2985"/>
      <c r="BR233" s="2985"/>
      <c r="BS233" s="2985"/>
      <c r="BT233" s="2985"/>
      <c r="BU233" s="2985"/>
      <c r="BV233" s="2985"/>
      <c r="BW233" s="2985"/>
      <c r="BX233" s="2985"/>
      <c r="BY233" s="2985"/>
      <c r="BZ233" s="2985"/>
      <c r="CA233" s="2985"/>
      <c r="CB233" s="2985"/>
      <c r="CC233" s="2985"/>
      <c r="CD233" s="2985"/>
      <c r="CE233" s="2985"/>
      <c r="CF233" s="2985"/>
      <c r="CG233" s="2985"/>
    </row>
    <row r="234" spans="1:87" x14ac:dyDescent="0.25">
      <c r="A234" s="2989" t="s">
        <v>1229</v>
      </c>
      <c r="B234">
        <v>1.07</v>
      </c>
      <c r="C234">
        <v>1.27</v>
      </c>
      <c r="H234" s="2985"/>
      <c r="I234" s="2985"/>
      <c r="J234" s="2985"/>
      <c r="K234" s="2985"/>
      <c r="L234" s="2985"/>
      <c r="M234" s="2985"/>
      <c r="N234" s="2985"/>
      <c r="O234" s="2985"/>
      <c r="P234" s="2985"/>
      <c r="Q234" s="2985"/>
      <c r="R234" s="2985"/>
      <c r="S234" s="2985"/>
      <c r="T234" s="2985"/>
      <c r="U234" s="2985"/>
      <c r="V234" s="2985"/>
      <c r="W234" s="2985"/>
      <c r="X234" s="2985"/>
      <c r="Y234" s="2985"/>
      <c r="Z234" s="2985"/>
      <c r="AA234" s="2985"/>
      <c r="AB234" s="2985"/>
      <c r="AC234" s="2985"/>
      <c r="AD234" s="2985"/>
      <c r="AE234" s="2985"/>
      <c r="AF234" s="2985"/>
      <c r="AG234" s="2985"/>
      <c r="AH234" s="2985"/>
      <c r="AI234" s="2985"/>
      <c r="AJ234" s="2985"/>
      <c r="AK234" s="2985"/>
      <c r="AL234" s="2985"/>
      <c r="AM234" s="2985"/>
      <c r="AN234" s="2985"/>
      <c r="AO234" s="2985"/>
      <c r="AP234" s="2985"/>
      <c r="AQ234" s="2985"/>
      <c r="AR234" s="2985"/>
      <c r="AS234" s="2985"/>
      <c r="AT234" s="2985"/>
      <c r="AU234" s="2985"/>
      <c r="AV234" s="2985"/>
      <c r="AW234" s="2985"/>
      <c r="AX234" s="2985"/>
      <c r="AY234" s="2985"/>
      <c r="AZ234" s="2985"/>
      <c r="BA234" s="2985"/>
      <c r="BB234" s="2985"/>
      <c r="BC234" s="2985"/>
      <c r="BD234" s="2985"/>
      <c r="BE234" s="2985"/>
      <c r="BF234" s="2985"/>
      <c r="BG234" s="2985"/>
      <c r="BH234" s="2985"/>
      <c r="BI234" s="2985"/>
      <c r="BJ234" s="2985"/>
      <c r="BK234" s="2985"/>
      <c r="BL234" s="2985"/>
      <c r="BM234" s="2985"/>
      <c r="BN234" s="2985"/>
      <c r="BO234" s="2985"/>
      <c r="BP234" s="2985"/>
      <c r="BQ234" s="2985"/>
      <c r="BR234" s="2985"/>
      <c r="BS234" s="2985"/>
      <c r="BT234" s="2985"/>
      <c r="BU234" s="2985"/>
      <c r="BV234" s="2985"/>
      <c r="BW234" s="2985"/>
      <c r="BX234" s="2985"/>
      <c r="BY234" s="2985"/>
      <c r="BZ234" s="2985"/>
      <c r="CA234" s="2985"/>
      <c r="CB234" s="2985"/>
      <c r="CC234" s="2985"/>
      <c r="CD234" s="2985"/>
      <c r="CE234" s="2985"/>
      <c r="CF234" s="2985"/>
      <c r="CG234" s="2985"/>
    </row>
    <row r="235" spans="1:87" x14ac:dyDescent="0.25">
      <c r="A235" s="2990" t="s">
        <v>1230</v>
      </c>
      <c r="B235">
        <v>1.5</v>
      </c>
      <c r="C235">
        <v>1.45</v>
      </c>
      <c r="H235" s="2985"/>
      <c r="I235" s="2985"/>
      <c r="J235" s="2985"/>
      <c r="K235" s="2985"/>
      <c r="L235" s="2985"/>
      <c r="M235" s="2985"/>
      <c r="N235" s="2985"/>
      <c r="O235" s="2985"/>
      <c r="P235" s="2985"/>
      <c r="Q235" s="2985"/>
      <c r="R235" s="2985"/>
      <c r="S235" s="2985"/>
      <c r="T235" s="2985"/>
      <c r="U235" s="2985"/>
      <c r="V235" s="2985"/>
      <c r="W235" s="2985"/>
      <c r="X235" s="2985"/>
      <c r="Y235" s="2985"/>
      <c r="Z235" s="2985"/>
      <c r="AA235" s="2985"/>
      <c r="AB235" s="2985"/>
      <c r="AC235" s="2985"/>
      <c r="AD235" s="2985"/>
      <c r="AE235" s="2985"/>
      <c r="AF235" s="2985"/>
      <c r="AG235" s="2985"/>
      <c r="AH235" s="2985"/>
      <c r="AI235" s="2985"/>
      <c r="AJ235" s="2985"/>
      <c r="AK235" s="2985"/>
      <c r="AL235" s="2985"/>
      <c r="AM235" s="2985"/>
      <c r="AN235" s="2985"/>
      <c r="AO235" s="2985"/>
      <c r="AP235" s="2985"/>
      <c r="AQ235" s="2985"/>
      <c r="AR235" s="2985"/>
      <c r="AS235" s="2985"/>
      <c r="AT235" s="2985"/>
      <c r="AU235" s="2985"/>
      <c r="AV235" s="2985"/>
      <c r="AW235" s="2985"/>
      <c r="AX235" s="2985"/>
      <c r="AY235" s="2985"/>
      <c r="AZ235" s="2985"/>
      <c r="BA235" s="2985"/>
      <c r="BB235" s="2985"/>
      <c r="BC235" s="2985"/>
      <c r="BD235" s="2985"/>
      <c r="BE235" s="2985"/>
      <c r="BF235" s="2985"/>
      <c r="BG235" s="2985"/>
      <c r="BH235" s="2985"/>
      <c r="BI235" s="2985"/>
      <c r="BJ235" s="2985"/>
      <c r="BK235" s="2985"/>
      <c r="BL235" s="2985"/>
      <c r="BM235" s="2985"/>
      <c r="BN235" s="2985"/>
      <c r="BO235" s="2985"/>
      <c r="BP235" s="2985"/>
      <c r="BQ235" s="2985"/>
      <c r="BR235" s="2985"/>
      <c r="BS235" s="2985"/>
      <c r="BT235" s="2985"/>
      <c r="BU235" s="2985"/>
      <c r="BV235" s="2985"/>
      <c r="BW235" s="2985"/>
      <c r="BX235" s="2985"/>
      <c r="BY235" s="2985"/>
      <c r="BZ235" s="2985"/>
      <c r="CA235" s="2985"/>
      <c r="CB235" s="2985"/>
      <c r="CC235" s="2985"/>
      <c r="CD235" s="2985"/>
      <c r="CE235" s="2985"/>
      <c r="CF235" s="2985"/>
      <c r="CG235" s="2985"/>
    </row>
    <row r="236" spans="1:87" x14ac:dyDescent="0.25">
      <c r="A236" s="2991" t="s">
        <v>1232</v>
      </c>
      <c r="B236">
        <v>0.9</v>
      </c>
      <c r="C236">
        <v>1.05</v>
      </c>
      <c r="H236" s="2985"/>
      <c r="I236" s="2985"/>
      <c r="J236" s="2985"/>
      <c r="K236" s="2985"/>
      <c r="L236" s="2985"/>
      <c r="M236" s="2985"/>
      <c r="N236" s="2985"/>
      <c r="O236" s="2985"/>
      <c r="P236" s="2985"/>
      <c r="Q236" s="2985"/>
      <c r="R236" s="2985"/>
      <c r="S236" s="2985"/>
      <c r="T236" s="2985"/>
      <c r="U236" s="2985"/>
      <c r="V236" s="2985"/>
      <c r="W236" s="2985"/>
      <c r="X236" s="2985"/>
      <c r="Y236" s="2985"/>
      <c r="Z236" s="2985"/>
      <c r="AA236" s="2985"/>
      <c r="AB236" s="2985"/>
      <c r="AC236" s="2985"/>
      <c r="AD236" s="2985"/>
      <c r="AE236" s="2985"/>
      <c r="AF236" s="2985"/>
      <c r="AG236" s="2985"/>
      <c r="AH236" s="2985"/>
      <c r="AI236" s="2985"/>
      <c r="AJ236" s="2985"/>
      <c r="AK236" s="2985"/>
      <c r="AL236" s="2985"/>
      <c r="AM236" s="2985"/>
      <c r="AN236" s="2985"/>
      <c r="AO236" s="2985"/>
      <c r="AP236" s="2985"/>
      <c r="AQ236" s="2985"/>
      <c r="AR236" s="2985"/>
      <c r="AS236" s="2985"/>
      <c r="AT236" s="2985"/>
      <c r="AU236" s="2985"/>
      <c r="AV236" s="2985"/>
      <c r="AW236" s="2985"/>
      <c r="AX236" s="2985"/>
      <c r="AY236" s="2985"/>
      <c r="AZ236" s="2985"/>
      <c r="BA236" s="2985"/>
      <c r="BB236" s="2985"/>
      <c r="BC236" s="2985"/>
      <c r="BD236" s="2985"/>
      <c r="BE236" s="2985"/>
      <c r="BF236" s="2985"/>
      <c r="BG236" s="2985"/>
      <c r="BH236" s="2985"/>
      <c r="BI236" s="2985"/>
      <c r="BJ236" s="2985"/>
      <c r="BK236" s="2985"/>
      <c r="BL236" s="2985"/>
      <c r="BM236" s="2985"/>
      <c r="BN236" s="2985"/>
      <c r="BO236" s="2985"/>
      <c r="BP236" s="2985"/>
      <c r="BQ236" s="2985"/>
      <c r="BR236" s="2985"/>
      <c r="BS236" s="2985"/>
      <c r="BT236" s="2985"/>
      <c r="BU236" s="2985"/>
      <c r="BV236" s="2985"/>
      <c r="BW236" s="2985"/>
      <c r="BX236" s="2985"/>
      <c r="BY236" s="2985"/>
      <c r="BZ236" s="2985"/>
      <c r="CA236" s="2985"/>
      <c r="CB236" s="2985"/>
      <c r="CC236" s="2985"/>
      <c r="CD236" s="2985"/>
      <c r="CE236" s="2985"/>
      <c r="CF236" s="2985"/>
      <c r="CG236" s="2985"/>
    </row>
    <row r="237" spans="1:87" x14ac:dyDescent="0.25">
      <c r="A237" s="44" t="s">
        <v>1233</v>
      </c>
      <c r="B237" s="44"/>
      <c r="C237" s="44"/>
      <c r="D237" s="44"/>
      <c r="E237" s="44"/>
      <c r="H237" s="2985"/>
      <c r="I237" s="2985"/>
      <c r="J237" s="2985"/>
      <c r="K237" s="2985"/>
      <c r="L237" s="2985"/>
      <c r="M237" s="2985"/>
      <c r="N237" s="2985"/>
      <c r="O237" s="2985"/>
      <c r="P237" s="2985"/>
      <c r="Q237" s="2985"/>
      <c r="R237" s="2985"/>
      <c r="S237" s="2985"/>
      <c r="T237" s="2985"/>
      <c r="U237" s="2985"/>
      <c r="V237" s="2985"/>
      <c r="W237" s="2985"/>
      <c r="X237" s="2985"/>
      <c r="Y237" s="2985"/>
      <c r="Z237" s="2985"/>
      <c r="AA237" s="2985"/>
      <c r="AB237" s="2985"/>
      <c r="AC237" s="2985"/>
      <c r="AD237" s="2985"/>
      <c r="AE237" s="2985"/>
      <c r="AF237" s="2985"/>
      <c r="AG237" s="2985"/>
      <c r="AH237" s="2985"/>
      <c r="AI237" s="2985"/>
      <c r="AJ237" s="2985"/>
      <c r="AK237" s="2985"/>
      <c r="AL237" s="2985"/>
      <c r="AM237" s="2985"/>
      <c r="AN237" s="2985"/>
      <c r="AO237" s="2985"/>
      <c r="AP237" s="2985"/>
      <c r="AQ237" s="2985"/>
      <c r="AR237" s="2985"/>
      <c r="AS237" s="2985"/>
      <c r="AT237" s="2985"/>
      <c r="AU237" s="2985"/>
      <c r="AV237" s="2985"/>
      <c r="AW237" s="2985"/>
      <c r="AX237" s="2985"/>
      <c r="AY237" s="2985"/>
      <c r="AZ237" s="2985"/>
      <c r="BA237" s="2985"/>
      <c r="BB237" s="2985"/>
      <c r="BC237" s="2985"/>
      <c r="BD237" s="2985"/>
      <c r="BE237" s="2985"/>
      <c r="BF237" s="2985"/>
      <c r="BG237" s="2985"/>
      <c r="BH237" s="2985"/>
      <c r="BI237" s="2985"/>
      <c r="BJ237" s="2985"/>
      <c r="BK237" s="2985"/>
      <c r="BL237" s="2985"/>
      <c r="BM237" s="2985"/>
      <c r="BN237" s="2985"/>
      <c r="BO237" s="2985"/>
      <c r="BP237" s="2985"/>
      <c r="BQ237" s="2985"/>
      <c r="BR237" s="2985"/>
      <c r="BS237" s="2985"/>
      <c r="BT237" s="2985"/>
      <c r="BU237" s="2985"/>
      <c r="BV237" s="2985"/>
      <c r="BW237" s="2985"/>
      <c r="BX237" s="2985"/>
      <c r="BY237" s="2985"/>
      <c r="BZ237" s="2985"/>
      <c r="CA237" s="2985"/>
      <c r="CB237" s="2985"/>
      <c r="CC237" s="2985"/>
      <c r="CD237" s="2985"/>
      <c r="CE237" s="2985"/>
      <c r="CF237" s="2985"/>
      <c r="CG237" s="2985"/>
    </row>
    <row r="238" spans="1:87" x14ac:dyDescent="0.25">
      <c r="A238" s="2992" t="s">
        <v>1234</v>
      </c>
      <c r="B238">
        <v>1.29</v>
      </c>
      <c r="C238">
        <v>1.56</v>
      </c>
      <c r="H238" s="2985"/>
      <c r="I238" s="2985"/>
      <c r="J238" s="2985"/>
      <c r="K238" s="2985"/>
      <c r="L238" s="2985"/>
      <c r="M238" s="2985"/>
      <c r="N238" s="2985"/>
      <c r="O238" s="2985"/>
      <c r="P238" s="2985"/>
      <c r="Q238" s="2985"/>
      <c r="R238" s="2985"/>
      <c r="S238" s="2985"/>
      <c r="T238" s="2985"/>
      <c r="U238" s="2985"/>
      <c r="V238" s="2985"/>
      <c r="W238" s="2985"/>
      <c r="X238" s="2985"/>
      <c r="Y238" s="2985"/>
      <c r="Z238" s="2985"/>
      <c r="AA238" s="2985"/>
      <c r="AB238" s="2985"/>
      <c r="AC238" s="2985"/>
      <c r="AD238" s="2985"/>
      <c r="AE238" s="2985"/>
      <c r="AF238" s="2985"/>
      <c r="AG238" s="2985"/>
      <c r="AH238" s="2985"/>
      <c r="AI238" s="2985"/>
      <c r="AJ238" s="2985"/>
      <c r="AK238" s="2985"/>
      <c r="AL238" s="2985"/>
      <c r="AM238" s="2985"/>
      <c r="AN238" s="2985"/>
      <c r="AO238" s="2985"/>
      <c r="AP238" s="2985"/>
      <c r="AQ238" s="2985"/>
      <c r="AR238" s="2985"/>
      <c r="AS238" s="2985"/>
      <c r="AT238" s="2985"/>
      <c r="AU238" s="2985"/>
      <c r="AV238" s="2985"/>
      <c r="AW238" s="2985"/>
      <c r="AX238" s="2985"/>
      <c r="AY238" s="2985"/>
      <c r="AZ238" s="2985"/>
      <c r="BA238" s="2985"/>
      <c r="BB238" s="2985"/>
      <c r="BC238" s="2985"/>
      <c r="BD238" s="2985"/>
      <c r="BE238" s="2985"/>
      <c r="BF238" s="2985"/>
      <c r="BG238" s="2985"/>
      <c r="BH238" s="2985"/>
      <c r="BI238" s="2985"/>
      <c r="BJ238" s="2985"/>
      <c r="BK238" s="2985"/>
      <c r="BL238" s="2985"/>
      <c r="BM238" s="2985"/>
      <c r="BN238" s="2985"/>
      <c r="BO238" s="2985"/>
      <c r="BP238" s="2985"/>
      <c r="BQ238" s="2985"/>
      <c r="BR238" s="2985"/>
      <c r="BS238" s="2985"/>
      <c r="BT238" s="2985"/>
      <c r="BU238" s="2985"/>
      <c r="BV238" s="2985"/>
      <c r="BW238" s="2985"/>
      <c r="BX238" s="2985"/>
      <c r="BY238" s="2985"/>
      <c r="BZ238" s="2985"/>
      <c r="CA238" s="2985"/>
      <c r="CB238" s="2985"/>
      <c r="CC238" s="2985"/>
      <c r="CD238" s="2985"/>
      <c r="CE238" s="2985"/>
      <c r="CF238" s="2985"/>
      <c r="CG238" s="2985"/>
    </row>
    <row r="239" spans="1:87" x14ac:dyDescent="0.25">
      <c r="A239" s="2993" t="s">
        <v>1235</v>
      </c>
      <c r="B239">
        <v>1.42</v>
      </c>
      <c r="C239">
        <v>1.82</v>
      </c>
      <c r="H239" s="2985"/>
      <c r="I239" s="2985"/>
      <c r="J239" s="2985"/>
      <c r="K239" s="2985"/>
      <c r="L239" s="2985"/>
      <c r="M239" s="2985"/>
      <c r="N239" s="2985"/>
      <c r="O239" s="2985"/>
      <c r="P239" s="2985"/>
      <c r="Q239" s="2985"/>
      <c r="R239" s="2985"/>
      <c r="S239" s="2985"/>
      <c r="T239" s="2985"/>
      <c r="U239" s="2985"/>
      <c r="V239" s="2985"/>
      <c r="W239" s="2985"/>
      <c r="X239" s="2985"/>
      <c r="Y239" s="2985"/>
      <c r="Z239" s="2985"/>
      <c r="AA239" s="2985"/>
      <c r="AB239" s="2985"/>
      <c r="AC239" s="2985"/>
      <c r="AD239" s="2985"/>
      <c r="AE239" s="2985"/>
      <c r="AF239" s="2985"/>
      <c r="AG239" s="2985"/>
      <c r="AH239" s="2985"/>
      <c r="AI239" s="2985"/>
      <c r="AJ239" s="2985"/>
      <c r="AK239" s="2985"/>
      <c r="AL239" s="2985"/>
      <c r="AM239" s="2985"/>
      <c r="AN239" s="2985"/>
      <c r="AO239" s="2985"/>
      <c r="AP239" s="2985"/>
      <c r="AQ239" s="2985"/>
      <c r="AR239" s="2985"/>
      <c r="AS239" s="2985"/>
      <c r="AT239" s="2985"/>
      <c r="AU239" s="2985"/>
      <c r="AV239" s="2985"/>
      <c r="AW239" s="2985"/>
      <c r="AX239" s="2985"/>
      <c r="AY239" s="2985"/>
      <c r="AZ239" s="2985"/>
      <c r="BA239" s="2985"/>
      <c r="BB239" s="2985"/>
      <c r="BC239" s="2985"/>
      <c r="BD239" s="2985"/>
      <c r="BE239" s="2985"/>
      <c r="BF239" s="2985"/>
      <c r="BG239" s="2985"/>
      <c r="BH239" s="2985"/>
      <c r="BI239" s="2985"/>
      <c r="BJ239" s="2985"/>
      <c r="BK239" s="2985"/>
      <c r="BL239" s="2985"/>
      <c r="BM239" s="2985"/>
      <c r="BN239" s="2985"/>
      <c r="BO239" s="2985"/>
      <c r="BP239" s="2985"/>
      <c r="BQ239" s="2985"/>
      <c r="BR239" s="2985"/>
      <c r="BS239" s="2985"/>
      <c r="BT239" s="2985"/>
      <c r="BU239" s="2985"/>
      <c r="BV239" s="2985"/>
      <c r="BW239" s="2985"/>
      <c r="BX239" s="2985"/>
      <c r="BY239" s="2985"/>
      <c r="BZ239" s="2985"/>
      <c r="CA239" s="2985"/>
      <c r="CB239" s="2985"/>
      <c r="CC239" s="2985"/>
      <c r="CD239" s="2985"/>
      <c r="CE239" s="2985"/>
      <c r="CF239" s="2985"/>
      <c r="CG239" s="2985"/>
    </row>
    <row r="240" spans="1:87" x14ac:dyDescent="0.25">
      <c r="A240" s="41" t="s">
        <v>1273</v>
      </c>
      <c r="B240" s="41"/>
      <c r="C240" s="41"/>
      <c r="D240" s="41"/>
      <c r="E240" s="41"/>
      <c r="H240" s="3470"/>
      <c r="I240" s="3470"/>
      <c r="J240" s="3470"/>
      <c r="K240" s="3470"/>
      <c r="L240" s="3470"/>
      <c r="M240" s="3470"/>
      <c r="N240" s="3470"/>
      <c r="O240" s="3470"/>
      <c r="P240" s="3470"/>
      <c r="Q240" s="3470"/>
      <c r="R240" s="3470"/>
      <c r="S240" s="3470"/>
      <c r="T240" s="3470"/>
      <c r="U240" s="3470"/>
      <c r="V240" s="3470"/>
      <c r="W240" s="3470"/>
      <c r="X240" s="3470"/>
      <c r="Y240" s="3470"/>
      <c r="Z240" s="3470"/>
      <c r="AA240" s="3470"/>
      <c r="AB240" s="3470"/>
      <c r="AC240" s="3470"/>
      <c r="AD240" s="3470"/>
      <c r="AE240" s="3470"/>
      <c r="AF240" s="3470"/>
      <c r="AG240" s="3470"/>
      <c r="AH240" s="3470"/>
      <c r="AI240" s="3470"/>
      <c r="AJ240" s="3470"/>
      <c r="AK240" s="3470"/>
      <c r="AL240" s="3470"/>
      <c r="AM240" s="3470"/>
      <c r="AN240" s="3470"/>
      <c r="AO240" s="3470"/>
      <c r="AP240" s="3470"/>
      <c r="AQ240" s="3470"/>
      <c r="AR240" s="3470"/>
      <c r="AS240" s="3470"/>
      <c r="AT240" s="3470"/>
      <c r="AU240" s="3470"/>
      <c r="AV240" s="3470"/>
      <c r="AW240" s="3470"/>
      <c r="AX240" s="3470"/>
      <c r="AY240" s="3470"/>
      <c r="AZ240" s="3470"/>
      <c r="BA240" s="3470"/>
      <c r="BB240" s="3470"/>
      <c r="BC240" s="3470"/>
      <c r="BD240" s="3470"/>
      <c r="BE240" s="3470"/>
      <c r="BF240" s="3470"/>
      <c r="BG240" s="3470"/>
      <c r="BH240" s="3470"/>
      <c r="BI240" s="3470"/>
      <c r="BJ240" s="3470"/>
      <c r="BK240" s="3470"/>
      <c r="BL240" s="3470"/>
      <c r="BM240" s="3470"/>
      <c r="BN240" s="3470"/>
      <c r="BO240" s="3470"/>
      <c r="BP240" s="3470"/>
      <c r="BQ240" s="3470"/>
      <c r="BR240" s="3470"/>
      <c r="BS240" s="3470"/>
      <c r="BT240" s="3470"/>
      <c r="BU240" s="3470"/>
      <c r="BV240" s="3470"/>
      <c r="BW240" s="3470"/>
      <c r="BX240" s="3470"/>
      <c r="BY240" s="3470"/>
      <c r="BZ240" s="3470"/>
      <c r="CA240" s="3470"/>
      <c r="CB240" s="3470"/>
      <c r="CC240" s="3470"/>
      <c r="CD240" s="3470"/>
      <c r="CE240" s="3470"/>
      <c r="CF240" s="3470"/>
      <c r="CG240" s="3470"/>
      <c r="CH240" s="3470"/>
    </row>
    <row r="241" spans="1:91" x14ac:dyDescent="0.25">
      <c r="A241" s="3471" t="s">
        <v>1274</v>
      </c>
      <c r="B241">
        <v>0.3</v>
      </c>
      <c r="C241">
        <v>0.75</v>
      </c>
    </row>
    <row r="242" spans="1:91" x14ac:dyDescent="0.25">
      <c r="A242" s="3472" t="s">
        <v>1275</v>
      </c>
      <c r="B242">
        <v>1.08</v>
      </c>
      <c r="C242">
        <v>1.01</v>
      </c>
    </row>
    <row r="243" spans="1:91" x14ac:dyDescent="0.25">
      <c r="A243" s="3473" t="s">
        <v>1276</v>
      </c>
      <c r="B243">
        <v>1.18</v>
      </c>
      <c r="C243">
        <v>1.69</v>
      </c>
    </row>
    <row r="244" spans="1:91" x14ac:dyDescent="0.25">
      <c r="A244" s="3474" t="s">
        <v>1189</v>
      </c>
      <c r="B244">
        <v>0.98</v>
      </c>
      <c r="C244">
        <v>0.92</v>
      </c>
    </row>
    <row r="245" spans="1:91" x14ac:dyDescent="0.25">
      <c r="A245" s="44" t="s">
        <v>1286</v>
      </c>
      <c r="B245" s="44"/>
      <c r="C245" s="44"/>
      <c r="D245" s="44"/>
      <c r="E245" s="44"/>
      <c r="G245" s="3592"/>
      <c r="H245" s="3592"/>
      <c r="I245" s="3592"/>
      <c r="J245" s="3592"/>
      <c r="K245" s="3592"/>
      <c r="L245" s="3592"/>
      <c r="M245" s="3592"/>
      <c r="N245" s="3592"/>
      <c r="O245" s="3592"/>
      <c r="P245" s="3592"/>
      <c r="Q245" s="3592"/>
      <c r="R245" s="3592"/>
      <c r="S245" s="3592"/>
      <c r="T245" s="3592"/>
      <c r="U245" s="3592"/>
      <c r="V245" s="3592"/>
      <c r="W245" s="3592"/>
      <c r="X245" s="3592"/>
      <c r="Y245" s="3592"/>
      <c r="Z245" s="3592"/>
      <c r="AA245" s="3592"/>
      <c r="AB245" s="3592"/>
      <c r="AC245" s="3592"/>
      <c r="AD245" s="3592"/>
      <c r="AE245" s="3592"/>
      <c r="AF245" s="3592"/>
      <c r="AG245" s="3592"/>
      <c r="AH245" s="3592"/>
      <c r="AI245" s="3592"/>
      <c r="AJ245" s="3592"/>
      <c r="AK245" s="3592"/>
      <c r="AL245" s="3592"/>
      <c r="AM245" s="3592"/>
      <c r="AN245" s="3592"/>
      <c r="AO245" s="3592"/>
      <c r="AP245" s="3592"/>
      <c r="AQ245" s="3592"/>
      <c r="AR245" s="3592"/>
      <c r="AS245" s="3592"/>
      <c r="AT245" s="3592"/>
      <c r="AU245" s="3592"/>
      <c r="AV245" s="3592"/>
      <c r="AW245" s="3592"/>
      <c r="AX245" s="3592"/>
      <c r="AY245" s="3592"/>
      <c r="AZ245" s="3592"/>
      <c r="BA245" s="3592"/>
      <c r="BB245" s="3592"/>
      <c r="BC245" s="3592"/>
      <c r="BD245" s="3592"/>
      <c r="BE245" s="3592"/>
      <c r="BF245" s="3592"/>
      <c r="BG245" s="3592"/>
      <c r="BH245" s="3592"/>
      <c r="BI245" s="3592"/>
      <c r="BJ245" s="3592"/>
      <c r="BK245" s="3592"/>
      <c r="BL245" s="3592"/>
      <c r="BM245" s="3592"/>
      <c r="BN245" s="3592"/>
      <c r="BO245" s="3592"/>
      <c r="BP245" s="3592"/>
      <c r="BQ245" s="3592"/>
      <c r="BR245" s="3592"/>
      <c r="BS245" s="3592"/>
      <c r="BT245" s="3592"/>
      <c r="BU245" s="3592"/>
      <c r="BV245" s="3592"/>
      <c r="BW245" s="3592"/>
      <c r="BX245" s="3592"/>
      <c r="BY245" s="3592"/>
      <c r="BZ245" s="3592"/>
      <c r="CA245" s="3592"/>
      <c r="CB245" s="3592"/>
      <c r="CC245" s="3592"/>
      <c r="CD245" s="3592"/>
      <c r="CE245" s="3592"/>
      <c r="CF245" s="3592"/>
      <c r="CG245" s="3592"/>
      <c r="CH245" s="3592"/>
      <c r="CI245" s="3592"/>
      <c r="CJ245" s="3592"/>
      <c r="CK245" s="3592"/>
      <c r="CL245" s="3592"/>
      <c r="CM245" s="3592"/>
    </row>
    <row r="246" spans="1:91" x14ac:dyDescent="0.25">
      <c r="A246" s="3593" t="s">
        <v>1287</v>
      </c>
      <c r="B246">
        <v>1.21</v>
      </c>
      <c r="C246">
        <v>0.57999999999999996</v>
      </c>
    </row>
    <row r="247" spans="1:91" x14ac:dyDescent="0.25">
      <c r="A247" s="3594" t="s">
        <v>586</v>
      </c>
      <c r="B247">
        <v>1</v>
      </c>
      <c r="C247">
        <v>0.95</v>
      </c>
    </row>
    <row r="248" spans="1:91" x14ac:dyDescent="0.25">
      <c r="A248" s="3595" t="s">
        <v>1288</v>
      </c>
      <c r="B248">
        <v>2.2000000000000002</v>
      </c>
      <c r="C248">
        <v>1.55</v>
      </c>
    </row>
    <row r="249" spans="1:91" x14ac:dyDescent="0.25">
      <c r="A249" s="3596" t="s">
        <v>1290</v>
      </c>
      <c r="B249">
        <v>1</v>
      </c>
      <c r="C249">
        <v>1.1599999999999999</v>
      </c>
    </row>
    <row r="250" spans="1:91" x14ac:dyDescent="0.25">
      <c r="A250" s="3597" t="s">
        <v>1291</v>
      </c>
      <c r="B250">
        <v>1.22</v>
      </c>
      <c r="C250">
        <v>0.81</v>
      </c>
    </row>
    <row r="251" spans="1:91" x14ac:dyDescent="0.25">
      <c r="A251" s="3598" t="s">
        <v>1292</v>
      </c>
      <c r="B251">
        <v>1.7</v>
      </c>
      <c r="C251">
        <v>1.1100000000000001</v>
      </c>
    </row>
    <row r="252" spans="1:91" x14ac:dyDescent="0.25">
      <c r="A252" s="3599" t="s">
        <v>1294</v>
      </c>
      <c r="B252">
        <v>1.51</v>
      </c>
      <c r="C252">
        <v>0.91</v>
      </c>
    </row>
    <row r="253" spans="1:91" x14ac:dyDescent="0.25">
      <c r="A253" s="44" t="s">
        <v>1320</v>
      </c>
      <c r="B253" s="44"/>
      <c r="C253" s="44"/>
      <c r="D253" s="44"/>
      <c r="E253" s="44"/>
      <c r="H253" s="3998"/>
      <c r="I253" s="3998"/>
      <c r="J253" s="3998"/>
      <c r="K253" s="3998"/>
      <c r="L253" s="3998"/>
      <c r="M253" s="3998"/>
      <c r="N253" s="3998"/>
      <c r="O253" s="3998"/>
      <c r="P253" s="3998"/>
      <c r="Q253" s="3998"/>
      <c r="R253" s="3998"/>
      <c r="S253" s="3998"/>
      <c r="T253" s="3998"/>
      <c r="U253" s="3998"/>
      <c r="V253" s="3998"/>
      <c r="W253" s="3998"/>
      <c r="X253" s="3998"/>
      <c r="Y253" s="3998"/>
      <c r="Z253" s="3998"/>
      <c r="AA253" s="3998"/>
      <c r="AB253" s="3998"/>
      <c r="AC253" s="3998"/>
      <c r="AD253" s="3998"/>
      <c r="AE253" s="3998"/>
      <c r="AF253" s="3998"/>
      <c r="AG253" s="3998"/>
      <c r="AH253" s="3998"/>
      <c r="AI253" s="3998"/>
      <c r="AJ253" s="3998"/>
      <c r="AK253" s="3998"/>
      <c r="AL253" s="3998"/>
      <c r="AM253" s="3998"/>
      <c r="AN253" s="3998"/>
      <c r="AO253" s="3998"/>
      <c r="AP253" s="3998"/>
      <c r="AQ253" s="3998"/>
      <c r="AR253" s="3998"/>
      <c r="AS253" s="3998"/>
      <c r="AT253" s="3998"/>
      <c r="AU253" s="3998"/>
      <c r="AV253" s="3998"/>
      <c r="AW253" s="3998"/>
      <c r="AX253" s="3998"/>
      <c r="AY253" s="3998"/>
      <c r="AZ253" s="3998"/>
      <c r="BA253" s="3998"/>
      <c r="BB253" s="3998"/>
      <c r="BC253" s="3998"/>
      <c r="BD253" s="3998"/>
      <c r="BE253" s="3998"/>
      <c r="BF253" s="3998"/>
      <c r="BG253" s="3998"/>
      <c r="BH253" s="3998"/>
      <c r="BI253" s="3998"/>
      <c r="BJ253" s="3998"/>
      <c r="BK253" s="3998"/>
      <c r="BL253" s="3998"/>
      <c r="BM253" s="3998"/>
      <c r="BN253" s="3998"/>
      <c r="BO253" s="3998"/>
      <c r="BP253" s="3998"/>
      <c r="BQ253" s="3998"/>
      <c r="BR253" s="3998"/>
      <c r="BS253" s="3998"/>
      <c r="BT253" s="3998"/>
      <c r="BU253" s="3998"/>
      <c r="BV253" s="3998"/>
      <c r="BW253" s="3998"/>
      <c r="BX253" s="3998"/>
      <c r="BY253" s="3998"/>
      <c r="BZ253" s="3998"/>
      <c r="CA253" s="3998"/>
      <c r="CB253" s="3998"/>
      <c r="CC253" s="3998"/>
      <c r="CD253" s="3998"/>
      <c r="CE253" s="3998"/>
      <c r="CF253" s="3998"/>
      <c r="CG253" s="3998"/>
      <c r="CH253" s="3998"/>
      <c r="CI253" s="3998"/>
      <c r="CJ253" s="3998"/>
      <c r="CK253" s="3998"/>
    </row>
    <row r="254" spans="1:91" x14ac:dyDescent="0.25">
      <c r="A254" s="3881" t="s">
        <v>1321</v>
      </c>
      <c r="B254">
        <v>1.57</v>
      </c>
      <c r="C254">
        <v>1.29</v>
      </c>
    </row>
    <row r="255" spans="1:91" x14ac:dyDescent="0.25">
      <c r="A255" s="44" t="s">
        <v>1323</v>
      </c>
      <c r="B255" s="44"/>
      <c r="C255" s="44"/>
      <c r="D255" s="44"/>
      <c r="E255" s="44"/>
      <c r="F255" s="3998"/>
      <c r="G255" s="3998"/>
      <c r="H255" s="3998"/>
      <c r="I255" s="3998"/>
      <c r="J255" s="3998"/>
      <c r="K255" s="3998"/>
      <c r="L255" s="3998"/>
      <c r="M255" s="3998"/>
      <c r="N255" s="3998"/>
      <c r="O255" s="3998"/>
      <c r="P255" s="3998"/>
      <c r="Q255" s="3998"/>
      <c r="R255" s="3998"/>
      <c r="S255" s="3998"/>
      <c r="T255" s="3998"/>
      <c r="U255" s="3998"/>
      <c r="V255" s="3998"/>
      <c r="W255" s="3998"/>
      <c r="X255" s="3998"/>
      <c r="Y255" s="3998"/>
      <c r="Z255" s="3998"/>
      <c r="AA255" s="3998"/>
      <c r="AB255" s="3998"/>
      <c r="AC255" s="3998"/>
      <c r="AD255" s="3998"/>
      <c r="AE255" s="3998"/>
      <c r="AF255" s="3998"/>
      <c r="AG255" s="3998"/>
      <c r="AH255" s="3998"/>
      <c r="AI255" s="3998"/>
      <c r="AJ255" s="3998"/>
      <c r="AK255" s="3998"/>
      <c r="AL255" s="3998"/>
      <c r="AM255" s="3998"/>
      <c r="AN255" s="3998"/>
      <c r="AO255" s="3998"/>
      <c r="AP255" s="3998"/>
      <c r="AQ255" s="3998"/>
      <c r="AR255" s="3998"/>
      <c r="AS255" s="3998"/>
      <c r="AT255" s="3998"/>
      <c r="AU255" s="3998"/>
      <c r="AV255" s="3998"/>
      <c r="AW255" s="3998"/>
      <c r="AX255" s="3998"/>
      <c r="AY255" s="3998"/>
      <c r="AZ255" s="3998"/>
      <c r="BA255" s="3998"/>
      <c r="BB255" s="3998"/>
      <c r="BC255" s="3998"/>
      <c r="BD255" s="3998"/>
      <c r="BE255" s="3998"/>
      <c r="BF255" s="3998"/>
      <c r="BG255" s="3998"/>
      <c r="BH255" s="3998"/>
      <c r="BI255" s="3998"/>
      <c r="BJ255" s="3998"/>
      <c r="BK255" s="3998"/>
      <c r="BL255" s="3998"/>
      <c r="BM255" s="3998"/>
      <c r="BN255" s="3998"/>
      <c r="BO255" s="3998"/>
      <c r="BP255" s="3998"/>
      <c r="BQ255" s="3998"/>
      <c r="BR255" s="3998"/>
      <c r="BS255" s="3998"/>
      <c r="BT255" s="3998"/>
      <c r="BU255" s="3998"/>
      <c r="BV255" s="3998"/>
      <c r="BW255" s="3998"/>
      <c r="BX255" s="3998"/>
      <c r="BY255" s="3998"/>
      <c r="BZ255" s="3998"/>
      <c r="CA255" s="3998"/>
      <c r="CB255" s="3998"/>
      <c r="CC255" s="3998"/>
      <c r="CD255" s="3998"/>
    </row>
    <row r="256" spans="1:91" x14ac:dyDescent="0.25">
      <c r="A256" s="3882" t="s">
        <v>593</v>
      </c>
      <c r="B256">
        <v>1.32</v>
      </c>
      <c r="C256">
        <v>1.26</v>
      </c>
    </row>
    <row r="257" spans="1:85" ht="15.75" customHeight="1" x14ac:dyDescent="0.25">
      <c r="A257" s="35"/>
      <c r="B257" s="36">
        <f>AVERAGE(B3:B256)</f>
        <v>1.0890654205607473</v>
      </c>
      <c r="C257" s="36">
        <f>AVERAGE(C3:C256)</f>
        <v>1.0260999999999998</v>
      </c>
      <c r="D257" s="36">
        <f t="shared" ref="D257:E257" si="8">AVERAGE(D3:D256)</f>
        <v>0.86599999999999999</v>
      </c>
      <c r="E257" s="36">
        <f t="shared" si="8"/>
        <v>0.77888888888888896</v>
      </c>
      <c r="F257" s="36"/>
      <c r="G257" s="35"/>
      <c r="H257" s="2985"/>
      <c r="I257" s="2985"/>
      <c r="J257" s="2985"/>
      <c r="K257" s="2985"/>
      <c r="L257" s="2985"/>
      <c r="M257" s="2985"/>
      <c r="N257" s="2985"/>
      <c r="O257" s="2985"/>
      <c r="P257" s="2985"/>
      <c r="Q257" s="2985"/>
      <c r="R257" s="2985"/>
      <c r="S257" s="2985"/>
      <c r="T257" s="2985"/>
      <c r="U257" s="2985"/>
      <c r="V257" s="2985"/>
      <c r="W257" s="2985"/>
      <c r="X257" s="2985"/>
      <c r="Y257" s="2985"/>
      <c r="Z257" s="2985"/>
      <c r="AA257" s="2985"/>
      <c r="AB257" s="2985"/>
      <c r="AC257" s="2985"/>
      <c r="AD257" s="2985"/>
      <c r="AE257" s="2985"/>
      <c r="AF257" s="2985"/>
      <c r="AG257" s="2985"/>
      <c r="AH257" s="2985"/>
      <c r="AI257" s="2985"/>
      <c r="AJ257" s="2985"/>
      <c r="AK257" s="2985"/>
      <c r="AL257" s="2985"/>
      <c r="AM257" s="2985"/>
      <c r="AN257" s="2985"/>
      <c r="AO257" s="2985"/>
      <c r="AP257" s="2985"/>
      <c r="AQ257" s="2985"/>
      <c r="AR257" s="2985"/>
      <c r="AS257" s="2985"/>
      <c r="AT257" s="2985"/>
      <c r="AU257" s="2985"/>
      <c r="AV257" s="2985"/>
      <c r="AW257" s="2985"/>
      <c r="AX257" s="2985"/>
      <c r="AY257" s="2985"/>
      <c r="AZ257" s="2985"/>
      <c r="BA257" s="2985"/>
      <c r="BB257" s="2985"/>
      <c r="BC257" s="2985"/>
      <c r="BD257" s="2985"/>
      <c r="BE257" s="2985"/>
      <c r="BF257" s="2985"/>
      <c r="BG257" s="2985"/>
      <c r="BH257" s="2985"/>
      <c r="BI257" s="2985"/>
      <c r="BJ257" s="2985"/>
      <c r="BK257" s="2985"/>
      <c r="BL257" s="2985"/>
      <c r="BM257" s="2985"/>
      <c r="BN257" s="2985"/>
      <c r="BO257" s="2985"/>
      <c r="BP257" s="2985"/>
      <c r="BQ257" s="2985"/>
      <c r="BR257" s="2985"/>
      <c r="BS257" s="2985"/>
      <c r="BT257" s="2985"/>
      <c r="BU257" s="2985"/>
      <c r="BV257" s="2985"/>
      <c r="BW257" s="2985"/>
      <c r="BX257" s="2985"/>
      <c r="BY257" s="2985"/>
      <c r="BZ257" s="2985"/>
      <c r="CA257" s="2985"/>
      <c r="CB257" s="2985"/>
      <c r="CC257" s="2985"/>
      <c r="CD257" s="2985"/>
      <c r="CE257" s="2985"/>
      <c r="CF257" s="2985"/>
      <c r="CG257" s="2985"/>
    </row>
  </sheetData>
  <mergeCells count="18">
    <mergeCell ref="AF5:AI5"/>
    <mergeCell ref="AJ5:AM5"/>
    <mergeCell ref="AB3:AE3"/>
    <mergeCell ref="AB5:AE5"/>
    <mergeCell ref="AN3:AQ3"/>
    <mergeCell ref="AN5:AQ5"/>
    <mergeCell ref="AF3:AI3"/>
    <mergeCell ref="AJ3:AM3"/>
    <mergeCell ref="H3:K3"/>
    <mergeCell ref="L3:O3"/>
    <mergeCell ref="P3:S3"/>
    <mergeCell ref="T3:W3"/>
    <mergeCell ref="X3:AA3"/>
    <mergeCell ref="H5:K5"/>
    <mergeCell ref="L5:O5"/>
    <mergeCell ref="P5:S5"/>
    <mergeCell ref="T5:W5"/>
    <mergeCell ref="X5:AA5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26"/>
  <sheetViews>
    <sheetView zoomScale="80" workbookViewId="0">
      <pane ySplit="1" topLeftCell="A2" activePane="bottomLeft" state="frozen"/>
      <selection pane="bottomLeft" activeCell="M26" sqref="M26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9" width="7.7109375" customWidth="1"/>
    <col min="10" max="10" width="9.140625" customWidth="1"/>
    <col min="11" max="11" width="7.85546875" customWidth="1"/>
    <col min="12" max="12" width="9" customWidth="1"/>
    <col min="13" max="15" width="7.85546875" customWidth="1"/>
    <col min="16" max="16" width="8.42578125" customWidth="1"/>
    <col min="17" max="17" width="9.140625" customWidth="1"/>
    <col min="18" max="18" width="7.85546875" customWidth="1"/>
    <col min="19" max="19" width="9.85546875" customWidth="1"/>
    <col min="20" max="20" width="9.140625" customWidth="1"/>
    <col min="21" max="21" width="9.5703125" customWidth="1"/>
    <col min="22" max="22" width="8.7109375" customWidth="1"/>
    <col min="23" max="23" width="9.28515625" customWidth="1"/>
    <col min="24" max="24" width="8.7109375" customWidth="1"/>
    <col min="25" max="25" width="7.42578125" customWidth="1"/>
    <col min="26" max="26" width="8" customWidth="1"/>
    <col min="27" max="27" width="7.85546875" customWidth="1"/>
    <col min="28" max="28" width="8.7109375" customWidth="1"/>
    <col min="29" max="29" width="9.140625" customWidth="1"/>
    <col min="30" max="30" width="8.7109375" customWidth="1"/>
    <col min="31" max="31" width="7.140625" customWidth="1"/>
    <col min="32" max="32" width="10.140625" customWidth="1"/>
    <col min="33" max="33" width="8.7109375" customWidth="1"/>
    <col min="34" max="34" width="7.42578125" customWidth="1"/>
    <col min="35" max="35" width="8.7109375" customWidth="1"/>
    <col min="36" max="36" width="7.7109375" customWidth="1"/>
    <col min="37" max="37" width="9.28515625" customWidth="1"/>
    <col min="38" max="39" width="8.7109375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4500" t="s">
        <v>1340</v>
      </c>
      <c r="CK1" s="4500"/>
      <c r="CL1" s="4500"/>
      <c r="CM1" s="4500"/>
      <c r="CN1" s="4500"/>
      <c r="CO1" s="4500"/>
      <c r="CP1" s="4497" t="s">
        <v>1332</v>
      </c>
      <c r="CQ1" s="4497"/>
      <c r="CR1" s="4497"/>
      <c r="CS1" s="4497"/>
      <c r="CT1" s="4497"/>
      <c r="CU1" s="4497"/>
      <c r="CV1" s="4499" t="s">
        <v>1306</v>
      </c>
      <c r="CW1" s="4499"/>
      <c r="CX1" s="4499"/>
      <c r="CY1" s="4499"/>
      <c r="CZ1" s="4499"/>
      <c r="DA1" s="4499"/>
      <c r="DB1" s="4501" t="s">
        <v>1272</v>
      </c>
      <c r="DC1" s="4501"/>
      <c r="DD1" s="4501"/>
      <c r="DE1" s="4501"/>
      <c r="DF1" s="4501"/>
      <c r="DG1" s="4501"/>
      <c r="DH1" s="4499" t="s">
        <v>1333</v>
      </c>
      <c r="DI1" s="4499"/>
      <c r="DJ1" s="4499"/>
      <c r="DK1" s="4499"/>
      <c r="DL1" s="4499"/>
      <c r="DM1" s="4499"/>
      <c r="DN1" s="4497" t="s">
        <v>997</v>
      </c>
      <c r="DO1" s="4497"/>
      <c r="DP1" s="4497"/>
      <c r="DQ1" s="4497"/>
      <c r="DR1" s="4497"/>
      <c r="DS1" s="4497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AVERAGE(B14,B18,B22,B29,B32,B34,B38,B39,B45,B51,B64,B70,B74,B82,B88,B92,B96,B100,B101,B103,B113,B118,B120,B125)</f>
        <v>1.0541666666666665</v>
      </c>
      <c r="CK2" s="1">
        <f t="shared" ref="CK2:CM2" si="0">AVERAGE(C14,C18,C22,C29,C32,C34,C38,C39,C45,C51,C64,C70,C74,C82,C88,C92,C96,C100,C101,C103,C113,C118,C120,C125)</f>
        <v>0.98375000000000001</v>
      </c>
      <c r="CL2" s="1">
        <f t="shared" si="0"/>
        <v>1.0527777777777778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AVERAGE(B3,B7,B8,B12,B15,B19,B20,B24,B26,B28,B30,B37,B40,B46,B48,B50,B69,B72,B73,B75,B79,B81,B84,B90,B91,B94,B97,B102,B104,B117,B121)</f>
        <v>1.2522580645161288</v>
      </c>
      <c r="CQ2" s="1">
        <f t="shared" ref="CQ2:CS2" si="1">AVERAGE(C3,C7,C8,C12,C15,C19,C20,C24,C26,C28,C30,C37,C40,C46,C48,C50,C69,C72,C73,C75,C79,C81,C84,C90,C91,C94,C97,C102,C104,C117,C121)</f>
        <v>1.062258064516129</v>
      </c>
      <c r="CR2" s="1">
        <f t="shared" si="1"/>
        <v>0.98777777777777787</v>
      </c>
      <c r="CS2" s="1" t="e">
        <f t="shared" si="1"/>
        <v>#DIV/0!</v>
      </c>
      <c r="CT2" s="1"/>
      <c r="CU2" s="1"/>
      <c r="CV2" s="1">
        <f>AVERAGE(B9,B11,B36,B44,B52,B58,B68,B86,B98,B114)</f>
        <v>1.147</v>
      </c>
      <c r="CW2" s="1">
        <f t="shared" ref="CW2:CY2" si="2">AVERAGE(C9,C11,C36,C44,C52,C58,C68,C86,C98,C114)</f>
        <v>1.0980000000000001</v>
      </c>
      <c r="CX2" s="1">
        <f t="shared" si="2"/>
        <v>0.96999999999999986</v>
      </c>
      <c r="CY2" s="1" t="e">
        <f t="shared" si="2"/>
        <v>#DIV/0!</v>
      </c>
      <c r="CZ2" s="1"/>
      <c r="DA2" s="1"/>
      <c r="DB2" s="1">
        <f>AVERAGE(B13,B41,B56,B93,B106,B108)</f>
        <v>1.2583333333333335</v>
      </c>
      <c r="DC2" s="1">
        <f t="shared" ref="DC2:DE2" si="3">AVERAGE(C13,C41,C56,C93,C106,C108)</f>
        <v>1.0983333333333334</v>
      </c>
      <c r="DD2" s="1">
        <f t="shared" si="3"/>
        <v>1.1919999999999999</v>
      </c>
      <c r="DE2" s="1" t="e">
        <f t="shared" si="3"/>
        <v>#DIV/0!</v>
      </c>
      <c r="DF2" s="1"/>
      <c r="DG2" s="1"/>
      <c r="DH2" s="1">
        <f>AVERAGE(B53,B122,B123)</f>
        <v>1.1100000000000001</v>
      </c>
      <c r="DI2" s="1">
        <f>AVERAGE(C53,C122,C123)</f>
        <v>1.21</v>
      </c>
      <c r="DJ2" s="1">
        <f>AVERAGE(D53,D122,D123)</f>
        <v>1.0550000000000002</v>
      </c>
      <c r="DK2" s="1" t="e">
        <f t="shared" ref="DK2" si="4">AVERAGE(E53,E122,E123)</f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4474">
        <f>_xlfn.AGGREGATE(1,6,CJ2:CO2)</f>
        <v>1.0302314814814812</v>
      </c>
      <c r="CK3" s="4474"/>
      <c r="CL3" s="4474"/>
      <c r="CM3" s="4474"/>
      <c r="CN3" s="4474"/>
      <c r="CO3" s="4474"/>
      <c r="CP3" s="4474">
        <f t="shared" ref="CP3" si="6">_xlfn.AGGREGATE(1,6,CP2:CU2)</f>
        <v>1.1007646356033451</v>
      </c>
      <c r="CQ3" s="4474"/>
      <c r="CR3" s="4474"/>
      <c r="CS3" s="4474"/>
      <c r="CT3" s="4474"/>
      <c r="CU3" s="4474"/>
      <c r="CV3" s="4474">
        <f t="shared" ref="CV3" si="7">_xlfn.AGGREGATE(1,6,CV2:DA2)</f>
        <v>1.0716666666666665</v>
      </c>
      <c r="CW3" s="4474"/>
      <c r="CX3" s="4474"/>
      <c r="CY3" s="4474"/>
      <c r="CZ3" s="4474"/>
      <c r="DA3" s="4474"/>
      <c r="DB3" s="4474">
        <f t="shared" ref="DB3" si="8">_xlfn.AGGREGATE(1,6,DB2:DG2)</f>
        <v>1.1828888888888889</v>
      </c>
      <c r="DC3" s="4474"/>
      <c r="DD3" s="4474"/>
      <c r="DE3" s="4474"/>
      <c r="DF3" s="4474"/>
      <c r="DG3" s="4474"/>
      <c r="DH3" s="4474">
        <f t="shared" ref="DH3" si="9">_xlfn.AGGREGATE(1,6,DH2:DM2)</f>
        <v>1.1250000000000002</v>
      </c>
      <c r="DI3" s="4474"/>
      <c r="DJ3" s="4474"/>
      <c r="DK3" s="4474"/>
      <c r="DL3" s="4474"/>
      <c r="DM3" s="4474"/>
      <c r="DN3" s="4474" t="e">
        <f t="shared" ref="DN3" si="10">_xlfn.AGGREGATE(1,6,DN2:DS2)</f>
        <v>#DIV/0!</v>
      </c>
      <c r="DO3" s="4474"/>
      <c r="DP3" s="4474"/>
      <c r="DQ3" s="4474"/>
      <c r="DR3" s="4474"/>
      <c r="DS3" s="4474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4499" t="s">
        <v>1303</v>
      </c>
      <c r="CK4" s="4499"/>
      <c r="CL4" s="4499"/>
      <c r="CM4" s="4499"/>
      <c r="CN4" s="4499"/>
      <c r="CO4" s="4499"/>
      <c r="CP4" s="4502" t="s">
        <v>993</v>
      </c>
      <c r="CQ4" s="4502"/>
      <c r="CR4" s="4502"/>
      <c r="CS4" s="4502"/>
      <c r="CT4" s="4502"/>
      <c r="CU4" s="4502"/>
      <c r="CV4" s="4497" t="s">
        <v>994</v>
      </c>
      <c r="CW4" s="4497"/>
      <c r="CX4" s="4497"/>
      <c r="CY4" s="4497"/>
      <c r="CZ4" s="4497"/>
      <c r="DA4" s="4497"/>
      <c r="DB4" s="4499" t="s">
        <v>995</v>
      </c>
      <c r="DC4" s="4499"/>
      <c r="DD4" s="4499"/>
      <c r="DE4" s="4499"/>
      <c r="DF4" s="4499"/>
      <c r="DG4" s="4499"/>
      <c r="DH4" s="4497" t="s">
        <v>996</v>
      </c>
      <c r="DI4" s="4497"/>
      <c r="DJ4" s="4497"/>
      <c r="DK4" s="4497"/>
      <c r="DL4" s="4497"/>
      <c r="DM4" s="4497"/>
      <c r="DN4" s="4501" t="s">
        <v>1308</v>
      </c>
      <c r="DO4" s="4501"/>
      <c r="DP4" s="4501"/>
      <c r="DQ4" s="4501"/>
      <c r="DR4" s="4501"/>
      <c r="DS4" s="4501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AVERAGE(B23,B54,B65,B76,B112)</f>
        <v>0.99600000000000011</v>
      </c>
      <c r="CK5" s="1">
        <f t="shared" ref="CK5:CM5" si="11">AVERAGE(C23,C54,C65,C76,C112)</f>
        <v>1.214</v>
      </c>
      <c r="CL5" s="1">
        <f t="shared" si="11"/>
        <v>1.0866666666666667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AVERAGE(B31,B35,B43,B55,B60,B62,B66,B78,B87,B110,B115)</f>
        <v>1.1190909090909094</v>
      </c>
      <c r="DO5" s="1">
        <f t="shared" ref="DO5:DQ5" si="16">AVERAGE(C31,C35,C43,C55,C60,C62,C66,C78,C87,C110,C115)</f>
        <v>1.0272727272727271</v>
      </c>
      <c r="DP5" s="1">
        <f t="shared" si="16"/>
        <v>1.1439999999999997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4474">
        <f>_xlfn.AGGREGATE(1,6,CJ5:CO5)</f>
        <v>1.098888888888889</v>
      </c>
      <c r="CK6" s="4474"/>
      <c r="CL6" s="4474"/>
      <c r="CM6" s="4474"/>
      <c r="CN6" s="4474"/>
      <c r="CO6" s="4474"/>
      <c r="CP6" s="4474" t="e">
        <f t="shared" ref="CP6" si="17">_xlfn.AGGREGATE(1,6,CP5:CU5)</f>
        <v>#DIV/0!</v>
      </c>
      <c r="CQ6" s="4474"/>
      <c r="CR6" s="4474"/>
      <c r="CS6" s="4474"/>
      <c r="CT6" s="4474"/>
      <c r="CU6" s="4474"/>
      <c r="CV6" s="4474" t="e">
        <f t="shared" ref="CV6" si="18">_xlfn.AGGREGATE(1,6,CV5:DA5)</f>
        <v>#DIV/0!</v>
      </c>
      <c r="CW6" s="4474"/>
      <c r="CX6" s="4474"/>
      <c r="CY6" s="4474"/>
      <c r="CZ6" s="4474"/>
      <c r="DA6" s="4474"/>
      <c r="DB6" s="4474">
        <f t="shared" ref="DB6" si="19">_xlfn.AGGREGATE(1,6,DB5:DG5)</f>
        <v>1.0416666666666667</v>
      </c>
      <c r="DC6" s="4474"/>
      <c r="DD6" s="4474"/>
      <c r="DE6" s="4474"/>
      <c r="DF6" s="4474"/>
      <c r="DG6" s="4474"/>
      <c r="DH6" s="4474" t="e">
        <f t="shared" ref="DH6" si="20">_xlfn.AGGREGATE(1,6,DH5:DM5)</f>
        <v>#DIV/0!</v>
      </c>
      <c r="DI6" s="4474"/>
      <c r="DJ6" s="4474"/>
      <c r="DK6" s="4474"/>
      <c r="DL6" s="4474"/>
      <c r="DM6" s="4474"/>
      <c r="DN6" s="4474">
        <f t="shared" ref="DN6" si="21">_xlfn.AGGREGATE(1,6,DN5:DS5)</f>
        <v>1.0967878787878786</v>
      </c>
      <c r="DO6" s="4474"/>
      <c r="DP6" s="4474"/>
      <c r="DQ6" s="4474"/>
      <c r="DR6" s="4474"/>
      <c r="DS6" s="4474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1066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1067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1068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1069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1070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1098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1081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1106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1125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1126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1127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1138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1149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1150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1152</v>
      </c>
    </row>
    <row r="70" spans="1:84" x14ac:dyDescent="0.25">
      <c r="A70" s="1986" t="s">
        <v>1151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1154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1162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1163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1164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1165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1166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1181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1172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1182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1183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1174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1184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1185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1190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1192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1188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1193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1194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1195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1196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1203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1206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79" x14ac:dyDescent="0.25">
      <c r="A97" s="2768" t="s">
        <v>1207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79" x14ac:dyDescent="0.25">
      <c r="A98" s="2781" t="s">
        <v>1208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79" x14ac:dyDescent="0.25">
      <c r="A99" s="40" t="s">
        <v>1210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79" x14ac:dyDescent="0.25">
      <c r="A100" s="2806" t="s">
        <v>1211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79" x14ac:dyDescent="0.25">
      <c r="A101" s="2819" t="s">
        <v>1212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79" x14ac:dyDescent="0.25">
      <c r="A102" s="2832" t="s">
        <v>1213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79" x14ac:dyDescent="0.25">
      <c r="A103" s="2845" t="s">
        <v>1214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79" x14ac:dyDescent="0.25">
      <c r="A104" s="2858" t="s">
        <v>1215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79" x14ac:dyDescent="0.25">
      <c r="A105" s="44" t="s">
        <v>1219</v>
      </c>
      <c r="B105" s="44"/>
      <c r="C105" s="44"/>
      <c r="D105" s="44"/>
      <c r="E105" s="44"/>
      <c r="F105" s="2960"/>
      <c r="N105" s="2961"/>
      <c r="S105" s="2962"/>
      <c r="AA105" s="2963"/>
      <c r="AF105" s="2964"/>
      <c r="AN105" s="2965"/>
      <c r="AS105" s="2966"/>
      <c r="BA105" s="2967"/>
      <c r="BF105" s="2968"/>
      <c r="BN105" s="2969"/>
      <c r="BS105" s="2970"/>
      <c r="CA105" s="2971"/>
    </row>
    <row r="106" spans="1:79" x14ac:dyDescent="0.25">
      <c r="A106" s="2972" t="s">
        <v>1221</v>
      </c>
      <c r="B106">
        <v>1.45</v>
      </c>
      <c r="C106">
        <v>1.18</v>
      </c>
      <c r="D106">
        <v>1.3</v>
      </c>
      <c r="F106" s="2973">
        <v>2</v>
      </c>
      <c r="G106">
        <v>5</v>
      </c>
      <c r="H106">
        <v>0</v>
      </c>
      <c r="I106">
        <v>0</v>
      </c>
      <c r="J106">
        <v>0</v>
      </c>
      <c r="K106">
        <v>0</v>
      </c>
      <c r="L106">
        <v>4</v>
      </c>
      <c r="M106">
        <v>0</v>
      </c>
      <c r="N106" s="2974">
        <v>0</v>
      </c>
      <c r="O106">
        <v>0</v>
      </c>
      <c r="P106">
        <v>0</v>
      </c>
      <c r="Q106">
        <v>0</v>
      </c>
      <c r="R106">
        <v>0</v>
      </c>
      <c r="S106" s="2975">
        <v>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</v>
      </c>
      <c r="Z106">
        <v>0</v>
      </c>
      <c r="AA106" s="2976">
        <v>0</v>
      </c>
      <c r="AB106">
        <v>0</v>
      </c>
      <c r="AC106">
        <v>0</v>
      </c>
      <c r="AD106">
        <v>0</v>
      </c>
      <c r="AE106">
        <v>0</v>
      </c>
      <c r="AF106" s="2977">
        <v>1</v>
      </c>
      <c r="AG106">
        <v>4</v>
      </c>
      <c r="AH106">
        <v>1</v>
      </c>
      <c r="AI106">
        <v>1</v>
      </c>
      <c r="AJ106">
        <v>0</v>
      </c>
      <c r="AK106">
        <v>0</v>
      </c>
      <c r="AL106">
        <v>3</v>
      </c>
      <c r="AM106">
        <v>0</v>
      </c>
      <c r="AN106" s="2978">
        <v>0</v>
      </c>
      <c r="AO106">
        <v>0</v>
      </c>
      <c r="AP106">
        <v>0</v>
      </c>
      <c r="AQ106">
        <v>0</v>
      </c>
      <c r="AR106">
        <v>0</v>
      </c>
      <c r="AS106" s="2979"/>
      <c r="BA106" s="2980"/>
      <c r="BF106" s="2981"/>
      <c r="BN106" s="2982"/>
      <c r="BS106" s="2983"/>
      <c r="CA106" s="2984"/>
    </row>
    <row r="107" spans="1:79" x14ac:dyDescent="0.25">
      <c r="A107" s="44" t="s">
        <v>1261</v>
      </c>
      <c r="B107" s="44"/>
      <c r="C107" s="44"/>
      <c r="D107" s="44"/>
      <c r="E107" s="44"/>
      <c r="F107" s="3445"/>
      <c r="N107" s="3446"/>
      <c r="S107" s="3447"/>
      <c r="AA107" s="3448"/>
      <c r="AF107" s="3449"/>
      <c r="AN107" s="3450"/>
      <c r="AS107" s="3451"/>
      <c r="BA107" s="3452"/>
      <c r="BF107" s="3453"/>
      <c r="BN107" s="3454"/>
      <c r="BS107" s="3455"/>
      <c r="CA107" s="3456"/>
    </row>
    <row r="108" spans="1:79" x14ac:dyDescent="0.25">
      <c r="A108" s="3457" t="s">
        <v>1271</v>
      </c>
      <c r="B108">
        <v>1.17</v>
      </c>
      <c r="C108">
        <v>1.19</v>
      </c>
      <c r="D108">
        <v>1.75</v>
      </c>
      <c r="F108" s="3458">
        <v>0</v>
      </c>
      <c r="G108">
        <v>3</v>
      </c>
      <c r="H108">
        <v>0</v>
      </c>
      <c r="I108">
        <v>0</v>
      </c>
      <c r="J108">
        <v>0</v>
      </c>
      <c r="K108">
        <v>1</v>
      </c>
      <c r="L108">
        <v>2</v>
      </c>
      <c r="M108">
        <v>0</v>
      </c>
      <c r="N108" s="3459">
        <v>0</v>
      </c>
      <c r="O108">
        <v>0</v>
      </c>
      <c r="P108">
        <v>0</v>
      </c>
      <c r="Q108">
        <v>0</v>
      </c>
      <c r="R108">
        <v>0</v>
      </c>
      <c r="S108" s="3460">
        <v>0</v>
      </c>
      <c r="T108">
        <v>1</v>
      </c>
      <c r="U108">
        <v>1</v>
      </c>
      <c r="V108">
        <v>0</v>
      </c>
      <c r="W108">
        <v>0</v>
      </c>
      <c r="X108">
        <v>0</v>
      </c>
      <c r="Y108">
        <v>2</v>
      </c>
      <c r="Z108">
        <v>0</v>
      </c>
      <c r="AA108" s="3461">
        <v>0</v>
      </c>
      <c r="AB108">
        <v>0</v>
      </c>
      <c r="AC108">
        <v>0</v>
      </c>
      <c r="AD108">
        <v>0</v>
      </c>
      <c r="AE108">
        <v>0</v>
      </c>
      <c r="AF108" s="3462">
        <v>0</v>
      </c>
      <c r="AG108">
        <v>1</v>
      </c>
      <c r="AH108">
        <v>1</v>
      </c>
      <c r="AI108">
        <v>1</v>
      </c>
      <c r="AJ108">
        <v>0</v>
      </c>
      <c r="AK108">
        <v>1</v>
      </c>
      <c r="AL108">
        <v>9</v>
      </c>
      <c r="AM108">
        <v>0</v>
      </c>
      <c r="AN108" s="3463">
        <v>4</v>
      </c>
      <c r="AO108">
        <v>0</v>
      </c>
      <c r="AP108">
        <v>0</v>
      </c>
      <c r="AQ108">
        <v>0</v>
      </c>
      <c r="AR108">
        <v>0</v>
      </c>
      <c r="AS108" s="3464"/>
      <c r="BA108" s="3465"/>
      <c r="BF108" s="3466"/>
      <c r="BN108" s="3467"/>
      <c r="BS108" s="3468"/>
      <c r="CA108" s="3469"/>
    </row>
    <row r="109" spans="1:79" x14ac:dyDescent="0.25">
      <c r="A109" s="44" t="s">
        <v>1286</v>
      </c>
      <c r="B109" s="44"/>
      <c r="C109" s="44"/>
      <c r="D109" s="44"/>
      <c r="E109" s="44"/>
      <c r="F109" s="3664"/>
      <c r="N109" s="3665"/>
      <c r="S109" s="3666"/>
      <c r="AA109" s="3667"/>
      <c r="AF109" s="3668"/>
      <c r="AN109" s="3669"/>
      <c r="AS109" s="3670"/>
      <c r="BA109" s="3671"/>
      <c r="BF109" s="3672"/>
      <c r="BN109" s="3673"/>
      <c r="BS109" s="3674"/>
      <c r="CA109" s="3675"/>
    </row>
    <row r="110" spans="1:79" x14ac:dyDescent="0.25">
      <c r="A110" s="3676" t="s">
        <v>779</v>
      </c>
      <c r="B110">
        <v>1.55</v>
      </c>
      <c r="C110">
        <v>0.69</v>
      </c>
      <c r="D110">
        <v>1.1200000000000001</v>
      </c>
      <c r="F110" s="3677">
        <v>3</v>
      </c>
      <c r="G110">
        <v>2</v>
      </c>
      <c r="H110">
        <v>2</v>
      </c>
      <c r="I110">
        <v>0</v>
      </c>
      <c r="J110">
        <v>0</v>
      </c>
      <c r="K110">
        <v>0</v>
      </c>
      <c r="L110">
        <v>2</v>
      </c>
      <c r="M110">
        <v>1</v>
      </c>
      <c r="N110" s="3678">
        <v>0</v>
      </c>
      <c r="O110">
        <v>1</v>
      </c>
      <c r="P110">
        <v>0</v>
      </c>
      <c r="Q110">
        <v>0</v>
      </c>
      <c r="R110">
        <v>0</v>
      </c>
      <c r="S110" s="3679">
        <v>0</v>
      </c>
      <c r="T110">
        <v>3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3680">
        <v>0</v>
      </c>
      <c r="AB110">
        <v>0</v>
      </c>
      <c r="AC110">
        <v>0</v>
      </c>
      <c r="AD110">
        <v>0</v>
      </c>
      <c r="AE110">
        <v>0</v>
      </c>
      <c r="AF110" s="3681">
        <v>1</v>
      </c>
      <c r="AG110">
        <v>2</v>
      </c>
      <c r="AH110">
        <v>2</v>
      </c>
      <c r="AI110">
        <v>0</v>
      </c>
      <c r="AJ110">
        <v>0</v>
      </c>
      <c r="AK110">
        <v>0</v>
      </c>
      <c r="AL110">
        <v>2</v>
      </c>
      <c r="AM110">
        <v>2</v>
      </c>
      <c r="AN110" s="3682">
        <v>0</v>
      </c>
      <c r="AO110">
        <v>0</v>
      </c>
      <c r="AP110">
        <v>0</v>
      </c>
      <c r="AQ110">
        <v>1</v>
      </c>
      <c r="AR110">
        <v>0</v>
      </c>
      <c r="AS110" s="3683"/>
      <c r="BA110" s="3684"/>
      <c r="BF110" s="3685"/>
      <c r="BN110" s="3686"/>
      <c r="BS110" s="3687"/>
      <c r="CA110" s="3688"/>
    </row>
    <row r="111" spans="1:79" x14ac:dyDescent="0.25">
      <c r="A111" s="40" t="s">
        <v>1300</v>
      </c>
      <c r="B111" s="40"/>
      <c r="C111" s="40"/>
      <c r="D111" s="40"/>
      <c r="E111" s="40"/>
      <c r="F111" s="3714"/>
      <c r="N111" s="3715"/>
      <c r="S111" s="3716"/>
      <c r="AA111" s="3717"/>
      <c r="AF111" s="3718"/>
      <c r="AN111" s="3719"/>
      <c r="AS111" s="3720"/>
      <c r="BA111" s="3721"/>
      <c r="BF111" s="3722"/>
      <c r="BN111" s="3723"/>
      <c r="BS111" s="3724"/>
      <c r="CA111" s="3725"/>
    </row>
    <row r="112" spans="1:79" x14ac:dyDescent="0.25">
      <c r="A112" s="3726" t="s">
        <v>1302</v>
      </c>
      <c r="B112">
        <v>0.73</v>
      </c>
      <c r="C112">
        <v>1.18</v>
      </c>
      <c r="D112">
        <v>1.32</v>
      </c>
      <c r="F112" s="3727">
        <v>1</v>
      </c>
      <c r="G112">
        <v>4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 s="3728">
        <v>0</v>
      </c>
      <c r="O112">
        <v>0</v>
      </c>
      <c r="P112">
        <v>0</v>
      </c>
      <c r="Q112">
        <v>0</v>
      </c>
      <c r="R112">
        <v>0</v>
      </c>
      <c r="S112" s="3729">
        <v>1</v>
      </c>
      <c r="T112">
        <v>4</v>
      </c>
      <c r="U112">
        <v>1</v>
      </c>
      <c r="V112">
        <v>0</v>
      </c>
      <c r="W112">
        <v>0</v>
      </c>
      <c r="X112">
        <v>0</v>
      </c>
      <c r="Y112">
        <v>4</v>
      </c>
      <c r="Z112">
        <v>0</v>
      </c>
      <c r="AA112" s="3730">
        <v>0</v>
      </c>
      <c r="AB112">
        <v>1</v>
      </c>
      <c r="AC112">
        <v>0</v>
      </c>
      <c r="AD112">
        <v>0</v>
      </c>
      <c r="AE112">
        <v>0</v>
      </c>
      <c r="AF112" s="3731">
        <v>1</v>
      </c>
      <c r="AG112">
        <v>0</v>
      </c>
      <c r="AH112">
        <v>2</v>
      </c>
      <c r="AI112">
        <v>0</v>
      </c>
      <c r="AJ112">
        <v>0</v>
      </c>
      <c r="AK112">
        <v>0</v>
      </c>
      <c r="AL112">
        <v>8</v>
      </c>
      <c r="AM112">
        <v>2</v>
      </c>
      <c r="AN112" s="3732">
        <v>1</v>
      </c>
      <c r="AO112">
        <v>1</v>
      </c>
      <c r="AP112">
        <v>0</v>
      </c>
      <c r="AQ112">
        <v>0</v>
      </c>
      <c r="AR112">
        <v>0</v>
      </c>
      <c r="AS112" s="3733"/>
      <c r="BA112" s="3734"/>
      <c r="BF112" s="3735"/>
      <c r="BN112" s="3736"/>
      <c r="BS112" s="3737"/>
      <c r="CA112" s="3738"/>
    </row>
    <row r="113" spans="1:105" x14ac:dyDescent="0.25">
      <c r="A113" s="3739" t="s">
        <v>1304</v>
      </c>
      <c r="B113">
        <v>1.57</v>
      </c>
      <c r="C113">
        <v>0.75</v>
      </c>
      <c r="D113">
        <v>1.51</v>
      </c>
      <c r="F113" s="3740">
        <v>0</v>
      </c>
      <c r="G113">
        <v>5</v>
      </c>
      <c r="H113">
        <v>2</v>
      </c>
      <c r="I113">
        <v>0</v>
      </c>
      <c r="J113">
        <v>0</v>
      </c>
      <c r="K113">
        <v>0</v>
      </c>
      <c r="L113">
        <v>4</v>
      </c>
      <c r="M113">
        <v>1</v>
      </c>
      <c r="N113" s="3741">
        <v>0</v>
      </c>
      <c r="O113">
        <v>0</v>
      </c>
      <c r="P113">
        <v>0</v>
      </c>
      <c r="Q113">
        <v>0</v>
      </c>
      <c r="R113">
        <v>0</v>
      </c>
      <c r="S113" s="3742">
        <v>0</v>
      </c>
      <c r="T113">
        <v>1</v>
      </c>
      <c r="U113">
        <v>0</v>
      </c>
      <c r="V113">
        <v>1</v>
      </c>
      <c r="W113">
        <v>0</v>
      </c>
      <c r="X113">
        <v>0</v>
      </c>
      <c r="Y113">
        <v>2</v>
      </c>
      <c r="Z113">
        <v>0</v>
      </c>
      <c r="AA113" s="3743">
        <v>0</v>
      </c>
      <c r="AB113">
        <v>0</v>
      </c>
      <c r="AC113">
        <v>0</v>
      </c>
      <c r="AD113">
        <v>0</v>
      </c>
      <c r="AE113">
        <v>0</v>
      </c>
      <c r="AF113" s="3744">
        <v>3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5</v>
      </c>
      <c r="AM113">
        <v>1</v>
      </c>
      <c r="AN113" s="3745">
        <v>2</v>
      </c>
      <c r="AO113">
        <v>0</v>
      </c>
      <c r="AP113">
        <v>0</v>
      </c>
      <c r="AQ113">
        <v>0</v>
      </c>
      <c r="AR113">
        <v>0</v>
      </c>
      <c r="AS113" s="3746"/>
      <c r="BA113" s="3747"/>
      <c r="BF113" s="3748"/>
      <c r="BN113" s="3749"/>
      <c r="BS113" s="3750"/>
      <c r="CA113" s="3751"/>
    </row>
    <row r="114" spans="1:105" x14ac:dyDescent="0.25">
      <c r="A114" s="3752" t="s">
        <v>1305</v>
      </c>
      <c r="B114">
        <v>0.45</v>
      </c>
      <c r="C114">
        <v>0.61</v>
      </c>
      <c r="D114">
        <v>0.84</v>
      </c>
      <c r="F114" s="3753">
        <v>1</v>
      </c>
      <c r="G114">
        <v>1</v>
      </c>
      <c r="H114">
        <v>0</v>
      </c>
      <c r="I114">
        <v>0</v>
      </c>
      <c r="J114">
        <v>0</v>
      </c>
      <c r="K114">
        <v>0</v>
      </c>
      <c r="L114">
        <v>1</v>
      </c>
      <c r="M114">
        <v>0</v>
      </c>
      <c r="N114" s="3754">
        <v>0</v>
      </c>
      <c r="O114">
        <v>0</v>
      </c>
      <c r="P114">
        <v>0</v>
      </c>
      <c r="Q114">
        <v>0</v>
      </c>
      <c r="R114">
        <v>0</v>
      </c>
      <c r="S114" s="3755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0</v>
      </c>
      <c r="AA114" s="3756">
        <v>1</v>
      </c>
      <c r="AB114">
        <v>0</v>
      </c>
      <c r="AC114">
        <v>0</v>
      </c>
      <c r="AD114">
        <v>0</v>
      </c>
      <c r="AE114">
        <v>0</v>
      </c>
      <c r="AF114" s="3757">
        <v>0</v>
      </c>
      <c r="AG114">
        <v>1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 s="3758">
        <v>0</v>
      </c>
      <c r="AO114">
        <v>0</v>
      </c>
      <c r="AP114">
        <v>0</v>
      </c>
      <c r="AQ114">
        <v>0</v>
      </c>
      <c r="AR114">
        <v>0</v>
      </c>
      <c r="AS114" s="3759"/>
      <c r="BA114" s="3760"/>
      <c r="BF114" s="3761"/>
      <c r="BN114" s="3762"/>
      <c r="BS114" s="3763"/>
      <c r="CA114" s="3764"/>
    </row>
    <row r="115" spans="1:105" x14ac:dyDescent="0.25">
      <c r="A115" s="3765" t="s">
        <v>1307</v>
      </c>
      <c r="B115">
        <v>1.49</v>
      </c>
      <c r="C115">
        <v>1.56</v>
      </c>
      <c r="D115">
        <v>1.29</v>
      </c>
      <c r="F115" s="3766">
        <v>0</v>
      </c>
      <c r="G115">
        <v>2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 s="3767">
        <v>0</v>
      </c>
      <c r="O115">
        <v>0</v>
      </c>
      <c r="P115">
        <v>0</v>
      </c>
      <c r="Q115">
        <v>0</v>
      </c>
      <c r="R115">
        <v>0</v>
      </c>
      <c r="S115" s="3768">
        <v>0</v>
      </c>
      <c r="T115">
        <v>2</v>
      </c>
      <c r="U115">
        <v>1</v>
      </c>
      <c r="V115">
        <v>0</v>
      </c>
      <c r="W115">
        <v>0</v>
      </c>
      <c r="X115">
        <v>1</v>
      </c>
      <c r="Y115">
        <v>4</v>
      </c>
      <c r="Z115">
        <v>0</v>
      </c>
      <c r="AA115" s="3769">
        <v>1</v>
      </c>
      <c r="AB115">
        <v>0</v>
      </c>
      <c r="AC115">
        <v>0</v>
      </c>
      <c r="AD115">
        <v>0</v>
      </c>
      <c r="AE115">
        <v>0</v>
      </c>
      <c r="AF115" s="3770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4</v>
      </c>
      <c r="AM115">
        <v>1</v>
      </c>
      <c r="AN115" s="3771">
        <v>0</v>
      </c>
      <c r="AO115">
        <v>0</v>
      </c>
      <c r="AP115">
        <v>0</v>
      </c>
      <c r="AQ115">
        <v>0</v>
      </c>
      <c r="AR115">
        <v>0</v>
      </c>
      <c r="AS115" s="3772"/>
      <c r="BA115" s="3773"/>
      <c r="BF115" s="3774"/>
      <c r="BN115" s="3775"/>
      <c r="BS115" s="3776"/>
      <c r="CA115" s="3777"/>
    </row>
    <row r="116" spans="1:105" x14ac:dyDescent="0.25">
      <c r="A116" s="44" t="s">
        <v>1309</v>
      </c>
      <c r="B116" s="44"/>
      <c r="C116" s="44"/>
      <c r="D116" s="44"/>
      <c r="E116" s="44"/>
      <c r="F116" s="3842"/>
      <c r="N116" s="3843"/>
      <c r="S116" s="3844"/>
      <c r="AA116" s="3845"/>
      <c r="AF116" s="3846"/>
      <c r="AN116" s="3847"/>
      <c r="AS116" s="3848"/>
      <c r="BA116" s="3849"/>
      <c r="BF116" s="3850"/>
      <c r="BN116" s="3851"/>
      <c r="BS116" s="3852"/>
      <c r="CA116" s="3853"/>
    </row>
    <row r="117" spans="1:105" x14ac:dyDescent="0.25">
      <c r="A117" s="3854" t="s">
        <v>1317</v>
      </c>
      <c r="B117">
        <v>1.23</v>
      </c>
      <c r="C117">
        <v>0.85</v>
      </c>
      <c r="F117" s="3855">
        <v>1</v>
      </c>
      <c r="G117">
        <v>4</v>
      </c>
      <c r="H117">
        <v>2</v>
      </c>
      <c r="I117">
        <v>0</v>
      </c>
      <c r="J117">
        <v>0</v>
      </c>
      <c r="K117">
        <v>0</v>
      </c>
      <c r="L117">
        <v>3</v>
      </c>
      <c r="M117">
        <v>0</v>
      </c>
      <c r="N117" s="3856">
        <v>0</v>
      </c>
      <c r="O117">
        <v>1</v>
      </c>
      <c r="P117">
        <v>0</v>
      </c>
      <c r="Q117">
        <v>0</v>
      </c>
      <c r="R117">
        <v>0</v>
      </c>
      <c r="S117" s="3857">
        <v>0</v>
      </c>
      <c r="T117">
        <v>4</v>
      </c>
      <c r="U117">
        <v>1</v>
      </c>
      <c r="V117">
        <v>0</v>
      </c>
      <c r="W117">
        <v>0</v>
      </c>
      <c r="X117">
        <v>0</v>
      </c>
      <c r="Y117">
        <v>2</v>
      </c>
      <c r="Z117">
        <v>1</v>
      </c>
      <c r="AA117" s="3858">
        <v>0</v>
      </c>
      <c r="AB117">
        <v>0</v>
      </c>
      <c r="AC117">
        <v>0</v>
      </c>
      <c r="AD117">
        <v>0</v>
      </c>
      <c r="AE117">
        <v>0</v>
      </c>
      <c r="AF117" s="3859"/>
      <c r="AN117" s="3860"/>
      <c r="AS117" s="3861"/>
      <c r="BA117" s="3862"/>
      <c r="BF117" s="3863"/>
      <c r="BN117" s="3864"/>
      <c r="BS117" s="3865"/>
      <c r="CA117" s="3866"/>
      <c r="CF117" t="s">
        <v>1319</v>
      </c>
    </row>
    <row r="118" spans="1:105" x14ac:dyDescent="0.25">
      <c r="A118" s="3867" t="s">
        <v>1318</v>
      </c>
      <c r="B118">
        <v>1.1100000000000001</v>
      </c>
      <c r="C118">
        <v>0.8</v>
      </c>
      <c r="F118" s="3868">
        <v>3</v>
      </c>
      <c r="G118">
        <v>1</v>
      </c>
      <c r="H118">
        <v>2</v>
      </c>
      <c r="I118">
        <v>0</v>
      </c>
      <c r="J118">
        <v>0</v>
      </c>
      <c r="K118">
        <v>1</v>
      </c>
      <c r="L118">
        <v>4</v>
      </c>
      <c r="M118">
        <v>1</v>
      </c>
      <c r="N118" s="3869">
        <v>1</v>
      </c>
      <c r="O118">
        <v>0</v>
      </c>
      <c r="P118">
        <v>0</v>
      </c>
      <c r="Q118">
        <v>0</v>
      </c>
      <c r="R118">
        <v>0</v>
      </c>
      <c r="S118" s="3870">
        <v>1</v>
      </c>
      <c r="T118">
        <v>1</v>
      </c>
      <c r="U118">
        <v>0</v>
      </c>
      <c r="V118">
        <v>0</v>
      </c>
      <c r="W118">
        <v>0</v>
      </c>
      <c r="X118">
        <v>1</v>
      </c>
      <c r="Y118">
        <v>7</v>
      </c>
      <c r="Z118">
        <v>0</v>
      </c>
      <c r="AA118" s="3871">
        <v>1</v>
      </c>
      <c r="AB118">
        <v>0</v>
      </c>
      <c r="AC118">
        <v>0</v>
      </c>
      <c r="AD118">
        <v>0</v>
      </c>
      <c r="AE118">
        <v>0</v>
      </c>
      <c r="AF118" s="3872"/>
      <c r="AN118" s="3873"/>
      <c r="AS118" s="3874"/>
      <c r="BA118" s="3875"/>
      <c r="BF118" s="3876"/>
      <c r="BN118" s="3877"/>
      <c r="BS118" s="3878"/>
      <c r="CA118" s="3879"/>
    </row>
    <row r="119" spans="1:105" x14ac:dyDescent="0.25">
      <c r="A119" s="40" t="s">
        <v>1323</v>
      </c>
      <c r="B119" s="40"/>
      <c r="C119" s="40"/>
      <c r="D119" s="40"/>
      <c r="E119" s="40"/>
      <c r="F119" s="3934"/>
      <c r="N119" s="3935"/>
      <c r="S119" s="3936"/>
      <c r="AA119" s="3937"/>
      <c r="AF119" s="3938"/>
      <c r="AN119" s="3939"/>
      <c r="AS119" s="3940"/>
      <c r="BA119" s="3941"/>
      <c r="BF119" s="3942"/>
      <c r="BN119" s="3943"/>
      <c r="BS119" s="3944"/>
      <c r="CA119" s="3945"/>
    </row>
    <row r="120" spans="1:105" x14ac:dyDescent="0.25">
      <c r="A120" s="3946" t="s">
        <v>949</v>
      </c>
      <c r="B120">
        <v>0.75</v>
      </c>
      <c r="C120">
        <v>0.49</v>
      </c>
      <c r="D120">
        <v>0.98</v>
      </c>
      <c r="F120" s="3947">
        <v>0</v>
      </c>
      <c r="G120">
        <v>1</v>
      </c>
      <c r="H120">
        <v>0</v>
      </c>
      <c r="I120">
        <v>0</v>
      </c>
      <c r="J120">
        <v>0</v>
      </c>
      <c r="K120">
        <v>0</v>
      </c>
      <c r="L120">
        <v>4</v>
      </c>
      <c r="M120">
        <v>0</v>
      </c>
      <c r="N120" s="3948">
        <v>0</v>
      </c>
      <c r="O120">
        <v>1</v>
      </c>
      <c r="P120">
        <v>0</v>
      </c>
      <c r="Q120">
        <v>0</v>
      </c>
      <c r="R120">
        <v>0</v>
      </c>
      <c r="S120" s="3949">
        <v>0</v>
      </c>
      <c r="T120">
        <v>1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3950">
        <v>0</v>
      </c>
      <c r="AB120">
        <v>0</v>
      </c>
      <c r="AC120">
        <v>0</v>
      </c>
      <c r="AD120">
        <v>0</v>
      </c>
      <c r="AE120">
        <v>0</v>
      </c>
      <c r="AF120" s="3951">
        <v>2</v>
      </c>
      <c r="AG120">
        <v>2</v>
      </c>
      <c r="AH120">
        <v>0</v>
      </c>
      <c r="AI120">
        <v>0</v>
      </c>
      <c r="AJ120">
        <v>0</v>
      </c>
      <c r="AK120">
        <v>0</v>
      </c>
      <c r="AL120">
        <v>4</v>
      </c>
      <c r="AM120">
        <v>0</v>
      </c>
      <c r="AN120" s="3952">
        <v>0</v>
      </c>
      <c r="AO120">
        <v>0</v>
      </c>
      <c r="AP120">
        <v>0</v>
      </c>
      <c r="AQ120">
        <v>0</v>
      </c>
      <c r="AR120">
        <v>0</v>
      </c>
      <c r="AS120" s="3953"/>
      <c r="BA120" s="3954"/>
      <c r="BF120" s="3955"/>
      <c r="BN120" s="3956"/>
      <c r="BS120" s="3957"/>
      <c r="CA120" s="3958"/>
    </row>
    <row r="121" spans="1:105" x14ac:dyDescent="0.25">
      <c r="A121" s="3959" t="s">
        <v>1331</v>
      </c>
      <c r="B121">
        <v>1.54</v>
      </c>
      <c r="C121">
        <v>1.25</v>
      </c>
      <c r="F121" s="3960">
        <v>0</v>
      </c>
      <c r="G121">
        <v>3</v>
      </c>
      <c r="H121">
        <v>0</v>
      </c>
      <c r="I121">
        <v>0</v>
      </c>
      <c r="J121">
        <v>0</v>
      </c>
      <c r="K121">
        <v>0</v>
      </c>
      <c r="L121">
        <v>1</v>
      </c>
      <c r="M121">
        <v>1</v>
      </c>
      <c r="N121" s="3961">
        <v>0</v>
      </c>
      <c r="O121">
        <v>0</v>
      </c>
      <c r="P121">
        <v>0</v>
      </c>
      <c r="Q121">
        <v>0</v>
      </c>
      <c r="R121">
        <v>0</v>
      </c>
      <c r="S121" s="3962">
        <v>0</v>
      </c>
      <c r="T121">
        <v>2</v>
      </c>
      <c r="U121">
        <v>0</v>
      </c>
      <c r="V121">
        <v>0</v>
      </c>
      <c r="W121">
        <v>0</v>
      </c>
      <c r="X121">
        <v>0</v>
      </c>
      <c r="Y121">
        <v>5</v>
      </c>
      <c r="Z121">
        <v>0</v>
      </c>
      <c r="AA121" s="3963">
        <v>0</v>
      </c>
      <c r="AB121">
        <v>0</v>
      </c>
      <c r="AC121">
        <v>0</v>
      </c>
      <c r="AD121">
        <v>0</v>
      </c>
      <c r="AE121">
        <v>0</v>
      </c>
      <c r="AF121" s="3964"/>
      <c r="AN121" s="3965"/>
      <c r="AS121" s="3966"/>
      <c r="BA121" s="3967"/>
      <c r="BF121" s="3968"/>
      <c r="BN121" s="3969"/>
      <c r="BS121" s="3970"/>
      <c r="CA121" s="3971"/>
    </row>
    <row r="122" spans="1:105" x14ac:dyDescent="0.25">
      <c r="A122" s="3972" t="s">
        <v>469</v>
      </c>
      <c r="B122">
        <v>0.91</v>
      </c>
      <c r="C122">
        <v>0.82</v>
      </c>
      <c r="D122">
        <v>1.3</v>
      </c>
      <c r="F122" s="3973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 s="3974">
        <v>0</v>
      </c>
      <c r="O122">
        <v>0</v>
      </c>
      <c r="P122">
        <v>0</v>
      </c>
      <c r="Q122">
        <v>0</v>
      </c>
      <c r="R122">
        <v>0</v>
      </c>
      <c r="S122" s="3975">
        <v>0</v>
      </c>
      <c r="T122">
        <v>1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3976">
        <v>0</v>
      </c>
      <c r="AB122">
        <v>0</v>
      </c>
      <c r="AC122">
        <v>0</v>
      </c>
      <c r="AD122">
        <v>0</v>
      </c>
      <c r="AE122">
        <v>0</v>
      </c>
      <c r="AF122" s="3977">
        <v>1</v>
      </c>
      <c r="AG122">
        <v>0</v>
      </c>
      <c r="AH122">
        <v>1</v>
      </c>
      <c r="AI122">
        <v>0</v>
      </c>
      <c r="AJ122">
        <v>0</v>
      </c>
      <c r="AK122">
        <v>0</v>
      </c>
      <c r="AL122">
        <v>1</v>
      </c>
      <c r="AM122">
        <v>0</v>
      </c>
      <c r="AN122" s="3978">
        <v>0</v>
      </c>
      <c r="AO122">
        <v>0</v>
      </c>
      <c r="AP122">
        <v>0</v>
      </c>
      <c r="AQ122">
        <v>0</v>
      </c>
      <c r="AR122">
        <v>0</v>
      </c>
      <c r="AS122" s="3979"/>
      <c r="BA122" s="3980"/>
      <c r="BF122" s="3981"/>
      <c r="BN122" s="3982"/>
      <c r="BS122" s="3983"/>
      <c r="CA122" s="3984"/>
    </row>
    <row r="123" spans="1:105" x14ac:dyDescent="0.25">
      <c r="A123" s="3985" t="s">
        <v>470</v>
      </c>
      <c r="B123">
        <v>1.24</v>
      </c>
      <c r="C123">
        <v>1.88</v>
      </c>
      <c r="F123" s="3986">
        <v>0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 s="3987">
        <v>0</v>
      </c>
      <c r="O123">
        <v>0</v>
      </c>
      <c r="P123">
        <v>0</v>
      </c>
      <c r="Q123">
        <v>0</v>
      </c>
      <c r="R123">
        <v>0</v>
      </c>
      <c r="S123" s="3988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3989">
        <v>0</v>
      </c>
      <c r="AB123">
        <v>0</v>
      </c>
      <c r="AC123">
        <v>0</v>
      </c>
      <c r="AD123">
        <v>0</v>
      </c>
      <c r="AE123">
        <v>0</v>
      </c>
      <c r="AF123" s="3990"/>
      <c r="AN123" s="3991"/>
      <c r="AS123" s="3992"/>
      <c r="BA123" s="3993"/>
      <c r="BF123" s="3994"/>
      <c r="BN123" s="3995"/>
      <c r="BS123" s="3996"/>
      <c r="CA123" s="3997"/>
    </row>
    <row r="124" spans="1:105" x14ac:dyDescent="0.25">
      <c r="A124" s="39" t="s">
        <v>1334</v>
      </c>
      <c r="B124" s="39"/>
      <c r="C124" s="39"/>
      <c r="D124" s="39"/>
      <c r="E124" s="39"/>
      <c r="F124" s="4038"/>
      <c r="N124" s="4039"/>
      <c r="S124" s="4040"/>
      <c r="AA124" s="4041"/>
      <c r="AF124" s="4042"/>
      <c r="AN124" s="4043"/>
      <c r="AS124" s="4044"/>
      <c r="BA124" s="4045"/>
      <c r="BF124" s="4046"/>
      <c r="BN124" s="4047"/>
      <c r="BS124" s="4048"/>
      <c r="CA124" s="4049"/>
    </row>
    <row r="125" spans="1:105" x14ac:dyDescent="0.25">
      <c r="A125" s="4050" t="s">
        <v>1339</v>
      </c>
      <c r="B125">
        <v>0.51</v>
      </c>
      <c r="C125">
        <v>0.56999999999999995</v>
      </c>
      <c r="D125">
        <v>1.1100000000000001</v>
      </c>
      <c r="F125" s="4051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3</v>
      </c>
      <c r="M125">
        <v>1</v>
      </c>
      <c r="N125" s="4052">
        <v>0</v>
      </c>
      <c r="O125">
        <v>0</v>
      </c>
      <c r="P125">
        <v>0</v>
      </c>
      <c r="Q125">
        <v>0</v>
      </c>
      <c r="R125">
        <v>0</v>
      </c>
      <c r="S125" s="4053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54">
        <v>0</v>
      </c>
      <c r="AB125">
        <v>0</v>
      </c>
      <c r="AC125">
        <v>0</v>
      </c>
      <c r="AD125">
        <v>0</v>
      </c>
      <c r="AE125">
        <v>0</v>
      </c>
      <c r="AF125" s="4055">
        <v>0</v>
      </c>
      <c r="AG125">
        <v>0</v>
      </c>
      <c r="AH125">
        <v>1</v>
      </c>
      <c r="AI125">
        <v>0</v>
      </c>
      <c r="AJ125">
        <v>1</v>
      </c>
      <c r="AK125">
        <v>0</v>
      </c>
      <c r="AL125">
        <v>5</v>
      </c>
      <c r="AM125">
        <v>1</v>
      </c>
      <c r="AN125" s="4056">
        <v>0</v>
      </c>
      <c r="AO125">
        <v>0</v>
      </c>
      <c r="AP125">
        <v>0</v>
      </c>
      <c r="AQ125">
        <v>0</v>
      </c>
      <c r="AR125">
        <v>0</v>
      </c>
      <c r="AS125" s="4057"/>
      <c r="BA125" s="4058"/>
      <c r="BF125" s="4059"/>
      <c r="BN125" s="4060"/>
      <c r="BS125" s="4061"/>
      <c r="CA125" s="4062"/>
    </row>
    <row r="126" spans="1:105" x14ac:dyDescent="0.25">
      <c r="B126" s="1">
        <f>AVERAGE(B3:B125)</f>
        <v>1.150108695652174</v>
      </c>
      <c r="C126" s="1">
        <f>AVERAGE(C3:C125)</f>
        <v>1.0557608695652174</v>
      </c>
      <c r="D126" s="1">
        <f>AVERAGE(D3:D125)</f>
        <v>1.0515384615384615</v>
      </c>
      <c r="E126" s="1" t="e">
        <f>AVERAGE(E3:E125)</f>
        <v>#DIV/0!</v>
      </c>
      <c r="F126" s="2">
        <f>AVERAGE(F3:F125)</f>
        <v>0.65217391304347827</v>
      </c>
      <c r="G126" s="3999">
        <f t="shared" ref="G126:R126" si="22">AVERAGE(G3:G125)</f>
        <v>2.5869565217391304</v>
      </c>
      <c r="H126" s="3999">
        <f t="shared" si="22"/>
        <v>0.93478260869565222</v>
      </c>
      <c r="I126" s="3999">
        <f t="shared" si="22"/>
        <v>0.11956521739130435</v>
      </c>
      <c r="J126" s="3999">
        <f t="shared" si="22"/>
        <v>2.1739130434782608E-2</v>
      </c>
      <c r="K126" s="3999">
        <f t="shared" si="22"/>
        <v>0.13043478260869565</v>
      </c>
      <c r="L126" s="3999">
        <f t="shared" si="22"/>
        <v>2.2934782608695654</v>
      </c>
      <c r="M126" s="3999">
        <f t="shared" si="22"/>
        <v>0.55434782608695654</v>
      </c>
      <c r="N126" s="4069">
        <f t="shared" si="22"/>
        <v>0.2391304347826087</v>
      </c>
      <c r="O126" s="3999">
        <f>AVERAGE(O3:O125)</f>
        <v>6.5217391304347824E-2</v>
      </c>
      <c r="P126" s="3999">
        <f>AVERAGE(P3:P125)</f>
        <v>2.1739130434782608E-2</v>
      </c>
      <c r="Q126" s="3999">
        <f t="shared" si="22"/>
        <v>0</v>
      </c>
      <c r="R126" s="3999">
        <f t="shared" si="22"/>
        <v>0</v>
      </c>
      <c r="S126" s="4064">
        <f t="shared" ref="S126:AR126" si="23">AVERAGE(S3:S125)</f>
        <v>0.38043478260869568</v>
      </c>
      <c r="T126" s="3880">
        <f t="shared" si="23"/>
        <v>1</v>
      </c>
      <c r="U126" s="3880">
        <f t="shared" si="23"/>
        <v>0.61956521739130432</v>
      </c>
      <c r="V126" s="3880">
        <f t="shared" si="23"/>
        <v>0.13043478260869565</v>
      </c>
      <c r="W126" s="3880">
        <f t="shared" si="23"/>
        <v>4.3478260869565216E-2</v>
      </c>
      <c r="X126" s="3880">
        <f t="shared" si="23"/>
        <v>0.25</v>
      </c>
      <c r="Y126" s="3880">
        <f t="shared" si="23"/>
        <v>3.0543478260869565</v>
      </c>
      <c r="Z126" s="3880">
        <f t="shared" si="23"/>
        <v>0.44565217391304346</v>
      </c>
      <c r="AA126" s="4069">
        <f t="shared" si="23"/>
        <v>0.27173913043478259</v>
      </c>
      <c r="AB126" s="3880">
        <f t="shared" si="23"/>
        <v>0.17391304347826086</v>
      </c>
      <c r="AC126" s="3880">
        <f t="shared" si="23"/>
        <v>6.5217391304347824E-2</v>
      </c>
      <c r="AD126" s="3880">
        <f t="shared" si="23"/>
        <v>1.0869565217391304E-2</v>
      </c>
      <c r="AE126" s="3880">
        <f t="shared" si="23"/>
        <v>0</v>
      </c>
      <c r="AF126" s="4065">
        <f t="shared" si="23"/>
        <v>1.0615384615384615</v>
      </c>
      <c r="AG126" s="3880">
        <f t="shared" si="23"/>
        <v>1.5076923076923077</v>
      </c>
      <c r="AH126" s="3880">
        <f t="shared" si="23"/>
        <v>0.64615384615384619</v>
      </c>
      <c r="AI126" s="3880">
        <f t="shared" si="23"/>
        <v>0.18461538461538463</v>
      </c>
      <c r="AJ126" s="3880">
        <f t="shared" si="23"/>
        <v>3.0769230769230771E-2</v>
      </c>
      <c r="AK126" s="3880">
        <f t="shared" si="23"/>
        <v>0.26153846153846155</v>
      </c>
      <c r="AL126" s="3880">
        <f t="shared" si="23"/>
        <v>2.8</v>
      </c>
      <c r="AM126" s="3880">
        <f t="shared" si="23"/>
        <v>0.46153846153846156</v>
      </c>
      <c r="AN126" s="4069">
        <f t="shared" si="23"/>
        <v>0.44615384615384618</v>
      </c>
      <c r="AO126" s="3880">
        <f t="shared" si="23"/>
        <v>0.13846153846153847</v>
      </c>
      <c r="AP126" s="3880">
        <f t="shared" si="23"/>
        <v>4.6153846153846156E-2</v>
      </c>
      <c r="AQ126" s="3880">
        <f t="shared" si="23"/>
        <v>1.5384615384615385E-2</v>
      </c>
      <c r="AR126" s="3880">
        <f t="shared" si="23"/>
        <v>0</v>
      </c>
      <c r="AS126" s="4066"/>
      <c r="AT126" s="3880"/>
      <c r="AU126" s="3880"/>
      <c r="AV126" s="3880"/>
      <c r="AW126" s="3880"/>
      <c r="AX126" s="3880"/>
      <c r="AY126" s="3880"/>
      <c r="AZ126" s="3880"/>
      <c r="BA126" s="3880"/>
      <c r="BB126" s="3880"/>
      <c r="BC126" s="3880"/>
      <c r="BD126" s="3880"/>
      <c r="BE126" s="3880"/>
      <c r="BF126" s="3880"/>
      <c r="BG126" s="3880"/>
      <c r="BH126" s="3880"/>
      <c r="BI126" s="3880"/>
      <c r="BJ126" s="3880"/>
      <c r="BK126" s="3880"/>
      <c r="BL126" s="3880"/>
      <c r="BM126" s="3880"/>
      <c r="BN126" s="3880"/>
      <c r="BO126" s="3880"/>
      <c r="BP126" s="3880"/>
      <c r="BQ126" s="3880"/>
      <c r="BR126" s="3880"/>
      <c r="BS126" s="3880"/>
      <c r="BT126" s="3880"/>
      <c r="BU126" s="3880"/>
      <c r="BV126" s="3880"/>
      <c r="BW126" s="3880"/>
      <c r="BX126" s="3880"/>
      <c r="BY126" s="3880"/>
      <c r="BZ126" s="3880"/>
      <c r="CA126" s="3880"/>
      <c r="CB126" s="3880"/>
      <c r="CC126" s="3880"/>
      <c r="CF126" s="344"/>
      <c r="CG126" s="344"/>
      <c r="CH126" s="344"/>
      <c r="CI126" s="344"/>
      <c r="CJ126" s="344"/>
      <c r="CK126" s="344"/>
      <c r="CL126" s="344"/>
      <c r="CM126" s="344"/>
      <c r="CN126" s="344"/>
      <c r="CO126" s="344"/>
      <c r="CP126" s="344"/>
      <c r="CQ126" s="344"/>
      <c r="CR126" s="344"/>
      <c r="CS126" s="344"/>
      <c r="CT126" s="344"/>
      <c r="CU126" s="344"/>
      <c r="CV126" s="344"/>
      <c r="CW126" s="344"/>
      <c r="CX126" s="344"/>
      <c r="CY126" s="344"/>
      <c r="CZ126" s="344"/>
      <c r="DA126" s="344"/>
    </row>
  </sheetData>
  <mergeCells count="24"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332"/>
  <sheetViews>
    <sheetView topLeftCell="CA1" zoomScale="85" zoomScaleNormal="85" workbookViewId="0">
      <pane ySplit="1" topLeftCell="A141" activePane="bottomLeft" state="frozen"/>
      <selection pane="bottomLeft" activeCell="A163" sqref="A163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4514" t="s">
        <v>1326</v>
      </c>
      <c r="CK1" s="4510"/>
      <c r="CL1" s="4510"/>
      <c r="CM1" s="4510"/>
      <c r="CN1" s="4510"/>
      <c r="CO1" s="4511"/>
      <c r="CP1" s="4506" t="s">
        <v>1338</v>
      </c>
      <c r="CQ1" s="4507"/>
      <c r="CR1" s="4507"/>
      <c r="CS1" s="4507"/>
      <c r="CT1" s="4507"/>
      <c r="CU1" s="4508"/>
      <c r="CV1" s="4514" t="s">
        <v>1313</v>
      </c>
      <c r="CW1" s="4510"/>
      <c r="CX1" s="4510"/>
      <c r="CY1" s="4510"/>
      <c r="CZ1" s="4510"/>
      <c r="DA1" s="4511"/>
      <c r="DB1" s="4515" t="s">
        <v>1336</v>
      </c>
      <c r="DC1" s="4510"/>
      <c r="DD1" s="4510"/>
      <c r="DE1" s="4510"/>
      <c r="DF1" s="4510"/>
      <c r="DG1" s="4511"/>
      <c r="DH1" s="4516" t="s">
        <v>1282</v>
      </c>
      <c r="DI1" s="4517"/>
      <c r="DJ1" s="4517"/>
      <c r="DK1" s="4517"/>
      <c r="DL1" s="4517"/>
      <c r="DM1" s="4518"/>
      <c r="DN1" s="4506" t="s">
        <v>991</v>
      </c>
      <c r="DO1" s="4507"/>
      <c r="DP1" s="4507"/>
      <c r="DQ1" s="4507"/>
      <c r="DR1" s="4507"/>
      <c r="DS1" s="4508"/>
      <c r="DT1" s="4506" t="s">
        <v>992</v>
      </c>
      <c r="DU1" s="4507"/>
      <c r="DV1" s="4507"/>
      <c r="DW1" s="4507"/>
      <c r="DX1" s="4507"/>
      <c r="DY1" s="4508"/>
      <c r="DZ1" s="4503" t="s">
        <v>1121</v>
      </c>
      <c r="EA1" s="4504"/>
      <c r="EB1" s="4504"/>
      <c r="EC1" s="4504"/>
      <c r="ED1" s="4504"/>
      <c r="EE1" s="4505"/>
      <c r="EF1" s="4503" t="s">
        <v>1178</v>
      </c>
      <c r="EG1" s="4504"/>
      <c r="EH1" s="4504"/>
      <c r="EI1" s="4504"/>
      <c r="EJ1" s="4504"/>
      <c r="EK1" s="4505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AVERAGE(B3,B11,B19,B26,B42,B44,B52,B55,B61,B69,B76,B84,B85,B88,B94,B109,B118,B125,B129,B149,B151,B145,B157,B175,B179,B195,B204,B212,B218,B224,B229,B238,B244,B264,B267,B273,B278,B293,B299,B311,B315,B326)</f>
        <v>1.1440476190476192</v>
      </c>
      <c r="CK2" s="1">
        <f t="shared" ref="CK2:CO2" si="0">AVERAGE(C3,C11,C19,C26,C42,C44,C52,C55,C61,C69,C76,C84,C85,C88,C94,C109,C118,C125,C129,C149,C151,C145,C157,C175,C179,C195,C204,C212,C218,C224,C229,C238,C244,C264,C267,C273,C278,C293,C299,C311,C315,C326)</f>
        <v>1.2187179487179489</v>
      </c>
      <c r="CL2" s="1">
        <f t="shared" si="0"/>
        <v>1.2433333333333334</v>
      </c>
      <c r="CM2" s="1">
        <f t="shared" si="0"/>
        <v>0.48000000000000004</v>
      </c>
      <c r="CN2" s="1">
        <f t="shared" si="0"/>
        <v>1.58</v>
      </c>
      <c r="CO2" s="1">
        <f t="shared" si="0"/>
        <v>0.87000000000000011</v>
      </c>
      <c r="CP2" s="1">
        <f>AVERAGE(B10,B17,B28,B33,B40,B50,B53,B64,B70,B77,B86,B90,B96,B102,B105,B111,B115,B123,B130,B140,B148,B167,B184,B192,B199,B217,B232,B274,B279,B287,B296,B309,B323,B331)</f>
        <v>1.1285294117647062</v>
      </c>
      <c r="CQ2" s="1">
        <f t="shared" ref="CQ2:CU2" si="1">AVERAGE(C10,C17,C28,C33,C40,C50,C53,C64,C70,C77,C86,C90,C96,C102,C105,C111,C115,C123,C130,C140,C148,C167,C184,C192,C199,C217,C232,C274,C279,C287,C296,C309,C323,C331)</f>
        <v>1.060909090909091</v>
      </c>
      <c r="CR2" s="1">
        <f t="shared" si="1"/>
        <v>1.2589999999999999</v>
      </c>
      <c r="CS2" s="1">
        <f t="shared" si="1"/>
        <v>0.85000000000000009</v>
      </c>
      <c r="CT2" s="1">
        <f t="shared" si="1"/>
        <v>1.145</v>
      </c>
      <c r="CU2" s="1">
        <f t="shared" si="1"/>
        <v>1.115</v>
      </c>
      <c r="CV2" s="1">
        <f>AVERAGE(B14,B22,B48,B63,B95,B100,B104,B144,B182,B223,B280,B290,B310,B322)</f>
        <v>1.1935714285714287</v>
      </c>
      <c r="CW2" s="1">
        <f t="shared" ref="CW2:DA2" si="2">AVERAGE(C14,C22,C48,C63,C95,C100,C104,C144,C182,C223,C280,C290,C310,C322)</f>
        <v>1.1978571428571427</v>
      </c>
      <c r="CX2" s="1">
        <f t="shared" si="2"/>
        <v>0.87888888888888894</v>
      </c>
      <c r="CY2" s="1" t="e">
        <f t="shared" si="2"/>
        <v>#DIV/0!</v>
      </c>
      <c r="CZ2" s="1" t="e">
        <f t="shared" si="2"/>
        <v>#DIV/0!</v>
      </c>
      <c r="DA2" s="1" t="e">
        <f t="shared" si="2"/>
        <v>#DIV/0!</v>
      </c>
      <c r="DB2" s="1">
        <f>AVERAGE(B12,B16,B62,B81,B120,B137,B155,B170,B180,B190,B191,B194,B196,B271,B285,B289,B306,B314,B330)</f>
        <v>1.125263157894737</v>
      </c>
      <c r="DC2" s="1">
        <f t="shared" ref="DC2:DG2" si="3">AVERAGE(C12,C16,C62,C81,C120,C137,C155,C170,C180,C190,C191,C194,C196,C271,C285,C289,C306,C314,C330)</f>
        <v>1.2511111111111113</v>
      </c>
      <c r="DD2" s="1">
        <f t="shared" si="3"/>
        <v>1.3081818181818183</v>
      </c>
      <c r="DE2" s="1" t="e">
        <f t="shared" si="3"/>
        <v>#DIV/0!</v>
      </c>
      <c r="DF2" s="1">
        <f t="shared" si="3"/>
        <v>1.63</v>
      </c>
      <c r="DG2" s="1" t="e">
        <f t="shared" si="3"/>
        <v>#DIV/0!</v>
      </c>
      <c r="DH2" s="1">
        <f>AVERAGE(B18,B27,B35,B41,B46,B99,B107,B114,B147,B185,B234,B248,B253,B272,B281,B298,B308)</f>
        <v>1.2288235294117644</v>
      </c>
      <c r="DI2" s="1">
        <f t="shared" ref="DI2:DM2" si="4">AVERAGE(C18,C27,C35,C41,C46,C99,C107,C114,C147,C185,C234,C248,C253,C272,C281,C298,C308)</f>
        <v>1.0541176470588234</v>
      </c>
      <c r="DJ2" s="1">
        <f t="shared" si="4"/>
        <v>0.9853846153846153</v>
      </c>
      <c r="DK2" s="1" t="e">
        <f t="shared" si="4"/>
        <v>#DIV/0!</v>
      </c>
      <c r="DL2" s="1" t="e">
        <f t="shared" si="4"/>
        <v>#DIV/0!</v>
      </c>
      <c r="DM2" s="1">
        <f t="shared" si="4"/>
        <v>0.46</v>
      </c>
      <c r="DN2" s="1">
        <f>AVERAGE(B32,B45,B60,B116,B150)</f>
        <v>1.3260000000000001</v>
      </c>
      <c r="DO2" s="1">
        <f t="shared" ref="DO2:DS2" si="5">AVERAGE(C32,C45,C60,C116,C150)</f>
        <v>1.1080000000000001</v>
      </c>
      <c r="DP2" s="1">
        <f t="shared" si="5"/>
        <v>1.2066666666666668</v>
      </c>
      <c r="DQ2" s="1" t="e">
        <f t="shared" si="5"/>
        <v>#DIV/0!</v>
      </c>
      <c r="DR2" s="1" t="e">
        <f t="shared" si="5"/>
        <v>#DIV/0!</v>
      </c>
      <c r="DS2" s="1" t="e">
        <f t="shared" si="5"/>
        <v>#DIV/0!</v>
      </c>
      <c r="DT2" s="1">
        <f>AVERAGE(B74)</f>
        <v>1.6</v>
      </c>
      <c r="DU2" s="1">
        <f t="shared" ref="DU2:DY2" si="6">AVERAGE(C74)</f>
        <v>1.1100000000000001</v>
      </c>
      <c r="DV2" s="1" t="e">
        <f t="shared" si="6"/>
        <v>#DIV/0!</v>
      </c>
      <c r="DW2" s="1" t="e">
        <f t="shared" si="6"/>
        <v>#DIV/0!</v>
      </c>
      <c r="DX2" s="1" t="e">
        <f t="shared" si="6"/>
        <v>#DIV/0!</v>
      </c>
      <c r="DY2" s="1" t="e">
        <f t="shared" si="6"/>
        <v>#DIV/0!</v>
      </c>
      <c r="DZ2" s="1">
        <f>AVERAGE(B160,B173,B174,B177,B215)</f>
        <v>0.96000000000000019</v>
      </c>
      <c r="EA2" s="1">
        <f t="shared" ref="EA2:EE2" si="7">AVERAGE(C160,C173,C174,C177,C215)</f>
        <v>1.4159999999999999</v>
      </c>
      <c r="EB2" s="1">
        <f t="shared" si="7"/>
        <v>0.84250000000000003</v>
      </c>
      <c r="EC2" s="1" t="e">
        <f t="shared" si="7"/>
        <v>#DIV/0!</v>
      </c>
      <c r="ED2" s="1" t="e">
        <f t="shared" si="7"/>
        <v>#DIV/0!</v>
      </c>
      <c r="EE2" s="1" t="e">
        <f t="shared" si="7"/>
        <v>#DIV/0!</v>
      </c>
      <c r="EF2" s="1">
        <f>AVERAGE(B246)</f>
        <v>0.64</v>
      </c>
      <c r="EG2" s="1">
        <f t="shared" ref="EG2:EK2" si="8">AVERAGE(C246)</f>
        <v>0.99</v>
      </c>
      <c r="EH2" s="1">
        <f t="shared" si="8"/>
        <v>1.21</v>
      </c>
      <c r="EI2" s="1" t="e">
        <f t="shared" si="8"/>
        <v>#DIV/0!</v>
      </c>
      <c r="EJ2" s="1" t="e">
        <f t="shared" si="8"/>
        <v>#DIV/0!</v>
      </c>
      <c r="EK2" s="1" t="e">
        <f t="shared" si="8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4474">
        <f>_xlfn.AGGREGATE(1,3,CJ2:CL2)</f>
        <v>1.2020329670329672</v>
      </c>
      <c r="CK3" s="4475"/>
      <c r="CL3" s="4475"/>
      <c r="CM3" s="4475"/>
      <c r="CN3" s="4475"/>
      <c r="CO3" s="4475"/>
      <c r="CP3" s="4474">
        <f>_xlfn.AGGREGATE(1,3,CP2:CR2)</f>
        <v>1.1494795008912657</v>
      </c>
      <c r="CQ3" s="4475"/>
      <c r="CR3" s="4475"/>
      <c r="CS3" s="4475"/>
      <c r="CT3" s="4475"/>
      <c r="CU3" s="4475"/>
      <c r="CV3" s="4474">
        <f>_xlfn.AGGREGATE(1,3,CV2:CX2)</f>
        <v>1.0901058201058202</v>
      </c>
      <c r="CW3" s="4475"/>
      <c r="CX3" s="4475"/>
      <c r="CY3" s="4475"/>
      <c r="CZ3" s="4475"/>
      <c r="DA3" s="4475"/>
      <c r="DB3" s="4474">
        <f>_xlfn.AGGREGATE(1,3,DB2:DD2)</f>
        <v>1.2281853623958889</v>
      </c>
      <c r="DC3" s="4475"/>
      <c r="DD3" s="4475"/>
      <c r="DE3" s="4475"/>
      <c r="DF3" s="4475"/>
      <c r="DG3" s="4475"/>
      <c r="DH3" s="4474">
        <f>_xlfn.AGGREGATE(1,3,DH2:DJ2)</f>
        <v>1.0894419306184009</v>
      </c>
      <c r="DI3" s="4475"/>
      <c r="DJ3" s="4475"/>
      <c r="DK3" s="4475"/>
      <c r="DL3" s="4475"/>
      <c r="DM3" s="4475"/>
      <c r="DN3" s="4474">
        <f t="shared" ref="DN3" si="9">_xlfn.AGGREGATE(1,6,DN2:DS2)</f>
        <v>1.2135555555555557</v>
      </c>
      <c r="DO3" s="4475"/>
      <c r="DP3" s="4475"/>
      <c r="DQ3" s="4475"/>
      <c r="DR3" s="4475"/>
      <c r="DS3" s="4475"/>
      <c r="DT3" s="4474">
        <f>_xlfn.AGGREGATE(1,3,DT2:DV2)</f>
        <v>1.355</v>
      </c>
      <c r="DU3" s="4475"/>
      <c r="DV3" s="4475"/>
      <c r="DW3" s="4475"/>
      <c r="DX3" s="4475"/>
      <c r="DY3" s="4475"/>
      <c r="DZ3" s="4474">
        <f>_xlfn.AGGREGATE(1,3,DZ2:EB2)</f>
        <v>1.0728333333333335</v>
      </c>
      <c r="EA3" s="4475"/>
      <c r="EB3" s="4475"/>
      <c r="EC3" s="4475"/>
      <c r="ED3" s="4475"/>
      <c r="EE3" s="4475"/>
      <c r="EF3" s="4474">
        <f>_xlfn.AGGREGATE(1,3,EF2:EH2)</f>
        <v>0.94666666666666666</v>
      </c>
      <c r="EG3" s="4475"/>
      <c r="EH3" s="4475"/>
      <c r="EI3" s="4475"/>
      <c r="EJ3" s="4475"/>
      <c r="EK3" s="4475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4512" t="s">
        <v>1330</v>
      </c>
      <c r="CK4" s="4507"/>
      <c r="CL4" s="4507"/>
      <c r="CM4" s="4507"/>
      <c r="CN4" s="4507"/>
      <c r="CO4" s="4508"/>
      <c r="CP4" s="4509" t="s">
        <v>1311</v>
      </c>
      <c r="CQ4" s="4510"/>
      <c r="CR4" s="4510"/>
      <c r="CS4" s="4510"/>
      <c r="CT4" s="4510"/>
      <c r="CU4" s="4511"/>
      <c r="CV4" s="4513" t="s">
        <v>1316</v>
      </c>
      <c r="CW4" s="4507"/>
      <c r="CX4" s="4507"/>
      <c r="CY4" s="4507"/>
      <c r="CZ4" s="4507"/>
      <c r="DA4" s="4508"/>
      <c r="DB4" s="4509" t="s">
        <v>1280</v>
      </c>
      <c r="DC4" s="4510"/>
      <c r="DD4" s="4510"/>
      <c r="DE4" s="4510"/>
      <c r="DF4" s="4510"/>
      <c r="DG4" s="4511"/>
      <c r="DH4" s="4506" t="s">
        <v>946</v>
      </c>
      <c r="DI4" s="4507"/>
      <c r="DJ4" s="4507"/>
      <c r="DK4" s="4507"/>
      <c r="DL4" s="4507"/>
      <c r="DM4" s="4508"/>
      <c r="DN4" s="4503" t="s">
        <v>1191</v>
      </c>
      <c r="DO4" s="4504"/>
      <c r="DP4" s="4504"/>
      <c r="DQ4" s="4504"/>
      <c r="DR4" s="4504"/>
      <c r="DS4" s="4505"/>
      <c r="DT4" s="4506" t="s">
        <v>1328</v>
      </c>
      <c r="DU4" s="4507"/>
      <c r="DV4" s="4507"/>
      <c r="DW4" s="4507"/>
      <c r="DX4" s="4507"/>
      <c r="DY4" s="4508"/>
      <c r="DZ4" s="4503" t="s">
        <v>1205</v>
      </c>
      <c r="EA4" s="4504"/>
      <c r="EB4" s="4504"/>
      <c r="EC4" s="4504"/>
      <c r="ED4" s="4504"/>
      <c r="EE4" s="4505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AVERAGE(B4,B13,B21,B38,B58,B72,B78,B134,B138,B153,B164,B169,B181,B270,B277,B291,B297,B305,B317,B328)</f>
        <v>1.2255</v>
      </c>
      <c r="CK5" s="1">
        <f t="shared" ref="CK5:CO5" si="10">AVERAGE(C4,C13,C21,C38,C58,C72,C78,C134,C138,C153,C164,C169,C181,C270,C277,C291,C297,C305,C317,C328)</f>
        <v>1.1031578947368423</v>
      </c>
      <c r="CL5" s="1">
        <f t="shared" si="10"/>
        <v>1.0966666666666667</v>
      </c>
      <c r="CM5" s="1" t="e">
        <f t="shared" si="10"/>
        <v>#DIV/0!</v>
      </c>
      <c r="CN5" s="1">
        <f t="shared" si="10"/>
        <v>0.53</v>
      </c>
      <c r="CO5" s="1" t="e">
        <f t="shared" si="10"/>
        <v>#DIV/0!</v>
      </c>
      <c r="CP5" s="1">
        <f>AVERAGE(B5,B8,B23,B29,B34,B47,B57,B65,B67,B93,B101,B108,B119,B127,B131,B154,B176,B187,B189,B201,B202,B216,B220,B221,B222,B230,B237,B239,B240,B242,B245,B247,B250,B251,B254,B255,B258,B259,B268,B288,B300,B303,B316,B319,B321)</f>
        <v>1.2666666666666668</v>
      </c>
      <c r="CQ5" s="1">
        <f t="shared" ref="CQ5:CU5" si="11">AVERAGE(C5,C8,C23,C29,C34,C47,C57,C65,C67,C93,C101,C108,C119,C127,C131,C154,C176,C187,C189,C201,C202,C216,C220,C221,C222,C230,C237,C239,C240,C242,C245,C247,C250,C251,C254,C255,C258,C259,C268,C288,C300,C303,C316,C319,C321)</f>
        <v>1.2043181818181816</v>
      </c>
      <c r="CR5" s="1">
        <f t="shared" si="11"/>
        <v>1.2076923076923076</v>
      </c>
      <c r="CS5" s="1" t="e">
        <f t="shared" si="11"/>
        <v>#DIV/0!</v>
      </c>
      <c r="CT5" s="1">
        <f t="shared" si="11"/>
        <v>1.105</v>
      </c>
      <c r="CU5" s="1">
        <f t="shared" si="11"/>
        <v>0.98</v>
      </c>
      <c r="CV5" s="1">
        <f>AVERAGE(B6,B9,B37,B82,B92,B97,B124,B128,B139,B152,B183,B226,B231,B257,B266,B284,B292,B312,B324)</f>
        <v>1.2326315789473681</v>
      </c>
      <c r="CW5" s="1">
        <f t="shared" ref="CW5:DA5" si="12">AVERAGE(C6,C9,C37,C82,C92,C97,C124,C128,C139,C152,C183,C226,C231,C257,C266,C284,C292,C312,C324)</f>
        <v>1.1505555555555553</v>
      </c>
      <c r="CX5" s="1">
        <f t="shared" si="12"/>
        <v>1.1276923076923075</v>
      </c>
      <c r="CY5" s="1" t="e">
        <f t="shared" si="12"/>
        <v>#DIV/0!</v>
      </c>
      <c r="CZ5" s="1">
        <f t="shared" si="12"/>
        <v>1.57</v>
      </c>
      <c r="DA5" s="1" t="e">
        <f t="shared" si="12"/>
        <v>#DIV/0!</v>
      </c>
      <c r="DB5" s="1">
        <f>AVERAGE(B24,B30,B39,B71,B75,B80,B106,B117,B165,B168,B171,B186,B197,B203,B211,B214,B233,B256,B263,B275,B282,B294,B301,B307)</f>
        <v>1.1625000000000001</v>
      </c>
      <c r="DC5" s="1">
        <f t="shared" ref="DC5:DG5" si="13">AVERAGE(C24,C30,C39,C71,C75,C80,C106,C117,C165,C168,C171,C186,C197,C203,C211,C214,C233,C256,C263,C275,C282,C294,C301,C307)</f>
        <v>1.378181818181818</v>
      </c>
      <c r="DD5" s="1">
        <f t="shared" si="13"/>
        <v>1.1712500000000001</v>
      </c>
      <c r="DE5" s="1" t="e">
        <f t="shared" si="13"/>
        <v>#DIV/0!</v>
      </c>
      <c r="DF5" s="1">
        <f t="shared" si="13"/>
        <v>1.4649999999999999</v>
      </c>
      <c r="DG5" s="1" t="e">
        <f t="shared" si="13"/>
        <v>#DIV/0!</v>
      </c>
      <c r="DH5" s="1">
        <f>AVERAGE(B20,B136)</f>
        <v>1.1399999999999999</v>
      </c>
      <c r="DI5" s="1">
        <f t="shared" ref="DI5:DM5" si="14">AVERAGE(C20,C136)</f>
        <v>1.26</v>
      </c>
      <c r="DJ5" s="1">
        <f t="shared" si="14"/>
        <v>0.93</v>
      </c>
      <c r="DK5" s="1" t="e">
        <f t="shared" si="14"/>
        <v>#DIV/0!</v>
      </c>
      <c r="DL5" s="1" t="e">
        <f t="shared" si="14"/>
        <v>#DIV/0!</v>
      </c>
      <c r="DM5" s="1" t="e">
        <f t="shared" si="14"/>
        <v>#DIV/0!</v>
      </c>
      <c r="DN5" s="1">
        <f>AVERAGE(B68,B121,B193,B206,B207,B208,B209,B283,B302)</f>
        <v>1.181111111111111</v>
      </c>
      <c r="DO5" s="1">
        <f t="shared" ref="DO5:DS5" si="15">AVERAGE(C68,C121,C193,C206,C207,C208,C209,C283,C302)</f>
        <v>0.98444444444444434</v>
      </c>
      <c r="DP5" s="1">
        <f t="shared" si="15"/>
        <v>0.98999999999999988</v>
      </c>
      <c r="DQ5" s="1" t="e">
        <f t="shared" si="15"/>
        <v>#DIV/0!</v>
      </c>
      <c r="DR5" s="1" t="e">
        <f t="shared" si="15"/>
        <v>#DIV/0!</v>
      </c>
      <c r="DS5" s="1" t="e">
        <f t="shared" si="15"/>
        <v>#DIV/0!</v>
      </c>
      <c r="DT5" s="1">
        <f>AVERAGE(B158,B159,B161,B162,B200,B235,B327)</f>
        <v>1.3742857142857143</v>
      </c>
      <c r="DU5" s="1">
        <f t="shared" ref="DU5:DY5" si="16">AVERAGE(C158,C159,C161,C162,C200,C235,C327)</f>
        <v>1.1600000000000001</v>
      </c>
      <c r="DV5" s="1">
        <f t="shared" si="16"/>
        <v>1.2250000000000001</v>
      </c>
      <c r="DW5" s="1" t="e">
        <f t="shared" si="16"/>
        <v>#DIV/0!</v>
      </c>
      <c r="DX5" s="1" t="e">
        <f t="shared" si="16"/>
        <v>#DIV/0!</v>
      </c>
      <c r="DY5" s="1" t="e">
        <f t="shared" si="16"/>
        <v>#DIV/0!</v>
      </c>
      <c r="DZ5" s="1">
        <f>AVERAGE(B227,B261)</f>
        <v>1.095</v>
      </c>
      <c r="EA5" s="1">
        <f t="shared" ref="EA5:EE5" si="17">AVERAGE(C227,C261)</f>
        <v>0.94</v>
      </c>
      <c r="EB5" s="1">
        <f t="shared" si="17"/>
        <v>0.70500000000000007</v>
      </c>
      <c r="EC5" s="1" t="e">
        <f t="shared" si="17"/>
        <v>#DIV/0!</v>
      </c>
      <c r="ED5" s="1" t="e">
        <f t="shared" si="17"/>
        <v>#DIV/0!</v>
      </c>
      <c r="EE5" s="1" t="e">
        <f t="shared" si="17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4474">
        <f>_xlfn.AGGREGATE(1,3,CJ5:CL5)</f>
        <v>1.1417748538011698</v>
      </c>
      <c r="CK6" s="4475"/>
      <c r="CL6" s="4475"/>
      <c r="CM6" s="4475"/>
      <c r="CN6" s="4475"/>
      <c r="CO6" s="4475"/>
      <c r="CP6" s="4474">
        <f>_xlfn.AGGREGATE(1,3,CP5:CR5)</f>
        <v>1.2262257187257186</v>
      </c>
      <c r="CQ6" s="4475"/>
      <c r="CR6" s="4475"/>
      <c r="CS6" s="4475"/>
      <c r="CT6" s="4475"/>
      <c r="CU6" s="4475"/>
      <c r="CV6" s="4474">
        <f>_xlfn.AGGREGATE(1,3,CV5:CX5)</f>
        <v>1.1702931473984102</v>
      </c>
      <c r="CW6" s="4475"/>
      <c r="CX6" s="4475"/>
      <c r="CY6" s="4475"/>
      <c r="CZ6" s="4475"/>
      <c r="DA6" s="4475"/>
      <c r="DB6" s="4474">
        <f>_xlfn.AGGREGATE(1,3,DB5:DD5)</f>
        <v>1.2373106060606061</v>
      </c>
      <c r="DC6" s="4475"/>
      <c r="DD6" s="4475"/>
      <c r="DE6" s="4475"/>
      <c r="DF6" s="4475"/>
      <c r="DG6" s="4475"/>
      <c r="DH6" s="4474">
        <f>_xlfn.AGGREGATE(1,3,DH5:DJ5)</f>
        <v>1.1100000000000001</v>
      </c>
      <c r="DI6" s="4475"/>
      <c r="DJ6" s="4475"/>
      <c r="DK6" s="4475"/>
      <c r="DL6" s="4475"/>
      <c r="DM6" s="4475"/>
      <c r="DN6" s="4474">
        <f>_xlfn.AGGREGATE(1,3,DN5:DP5)</f>
        <v>1.0518518518518516</v>
      </c>
      <c r="DO6" s="4475"/>
      <c r="DP6" s="4475"/>
      <c r="DQ6" s="4475"/>
      <c r="DR6" s="4475"/>
      <c r="DS6" s="4475"/>
      <c r="DT6" s="4474">
        <f>_xlfn.AGGREGATE(1,3,DT5:DV5)</f>
        <v>1.2530952380952383</v>
      </c>
      <c r="DU6" s="4475"/>
      <c r="DV6" s="4475"/>
      <c r="DW6" s="4475"/>
      <c r="DX6" s="4475"/>
      <c r="DY6" s="4475"/>
      <c r="DZ6" s="4474">
        <f>_xlfn.AGGREGATE(1,3,DZ5:EB5)</f>
        <v>0.91333333333333344</v>
      </c>
      <c r="EA6" s="4475"/>
      <c r="EB6" s="4475"/>
      <c r="EC6" s="4475"/>
      <c r="ED6" s="4475"/>
      <c r="EE6" s="4475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1071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1072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1073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1074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1075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1076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1077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1078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1083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1084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1085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1086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1087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1088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1089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1090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1091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1081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1092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1093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1094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1095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1096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1097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1112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1113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1114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1115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1116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1117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1118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1119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1120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1122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1123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1124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1141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1142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1143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1153</v>
      </c>
    </row>
    <row r="222" spans="1:87" x14ac:dyDescent="0.25">
      <c r="A222" s="1871" t="s">
        <v>1144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1145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1146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1138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1147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1148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1154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1155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1156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1157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1158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1159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1160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1161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1166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1168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1169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1170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1171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1172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1173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1174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1175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1176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1177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1179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1180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1185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1186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1187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1188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1189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1197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1198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1199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87" x14ac:dyDescent="0.25">
      <c r="A257" s="2666" t="s">
        <v>1200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87" x14ac:dyDescent="0.25">
      <c r="A258" s="2679" t="s">
        <v>1201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87" x14ac:dyDescent="0.25">
      <c r="A259" s="2692" t="s">
        <v>1202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87" x14ac:dyDescent="0.25">
      <c r="A260" s="44" t="s">
        <v>1203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87" x14ac:dyDescent="0.25">
      <c r="A261" s="2730" t="s">
        <v>1204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1209</v>
      </c>
    </row>
    <row r="262" spans="1:87" x14ac:dyDescent="0.25">
      <c r="A262" s="40" t="s">
        <v>1216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87" x14ac:dyDescent="0.25">
      <c r="A263" s="2883" t="s">
        <v>1217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87" x14ac:dyDescent="0.25">
      <c r="A264" s="2896" t="s">
        <v>1218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87" x14ac:dyDescent="0.25">
      <c r="A265" s="40" t="s">
        <v>1219</v>
      </c>
      <c r="B265" s="40"/>
      <c r="C265" s="40"/>
      <c r="D265" s="40"/>
      <c r="E265" s="40"/>
      <c r="F265" s="40"/>
      <c r="G265" s="40"/>
      <c r="H265" s="2909"/>
      <c r="P265" s="2910"/>
      <c r="U265" s="2911"/>
      <c r="AC265" s="2912"/>
      <c r="AH265" s="2913"/>
      <c r="AP265" s="2914"/>
      <c r="AU265" s="2915"/>
      <c r="BC265" s="2916"/>
      <c r="BH265" s="2917"/>
      <c r="BP265" s="2918"/>
      <c r="BU265" s="2919"/>
      <c r="CC265" s="2920"/>
    </row>
    <row r="266" spans="1:87" x14ac:dyDescent="0.25">
      <c r="A266" s="2921" t="s">
        <v>1220</v>
      </c>
      <c r="B266">
        <v>0.95</v>
      </c>
      <c r="C266">
        <v>1.31</v>
      </c>
      <c r="D266">
        <v>0.52</v>
      </c>
      <c r="H266" s="2922">
        <v>1</v>
      </c>
      <c r="I266">
        <v>3</v>
      </c>
      <c r="J266">
        <v>1</v>
      </c>
      <c r="K266">
        <v>0</v>
      </c>
      <c r="L266">
        <v>0</v>
      </c>
      <c r="M266">
        <v>0</v>
      </c>
      <c r="N266">
        <v>2</v>
      </c>
      <c r="O266">
        <v>1</v>
      </c>
      <c r="P266" s="2923">
        <v>0</v>
      </c>
      <c r="Q266">
        <v>0</v>
      </c>
      <c r="R266">
        <v>0</v>
      </c>
      <c r="S266">
        <v>0</v>
      </c>
      <c r="T266">
        <v>0</v>
      </c>
      <c r="U266" s="2924">
        <v>1</v>
      </c>
      <c r="V266">
        <v>2</v>
      </c>
      <c r="W266">
        <v>1</v>
      </c>
      <c r="X266">
        <v>1</v>
      </c>
      <c r="Y266">
        <v>0</v>
      </c>
      <c r="Z266">
        <v>1</v>
      </c>
      <c r="AA266">
        <v>6</v>
      </c>
      <c r="AB266">
        <v>1</v>
      </c>
      <c r="AC266" s="2925">
        <v>1</v>
      </c>
      <c r="AD266">
        <v>0</v>
      </c>
      <c r="AE266">
        <v>1</v>
      </c>
      <c r="AF266">
        <v>0</v>
      </c>
      <c r="AG266">
        <v>0</v>
      </c>
      <c r="AH266" s="2926">
        <v>0</v>
      </c>
      <c r="AI266">
        <v>2</v>
      </c>
      <c r="AJ266">
        <v>0</v>
      </c>
      <c r="AK266">
        <v>0</v>
      </c>
      <c r="AL266">
        <v>0</v>
      </c>
      <c r="AM266">
        <v>0</v>
      </c>
      <c r="AN266">
        <v>2</v>
      </c>
      <c r="AO266">
        <v>0</v>
      </c>
      <c r="AP266" s="2927">
        <v>1</v>
      </c>
      <c r="AQ266">
        <v>0</v>
      </c>
      <c r="AR266">
        <v>0</v>
      </c>
      <c r="AS266">
        <v>0</v>
      </c>
      <c r="AT266">
        <v>0</v>
      </c>
      <c r="AU266" s="2928"/>
      <c r="BC266" s="2929"/>
      <c r="BH266" s="2930"/>
      <c r="BP266" s="2931"/>
      <c r="BU266" s="2932"/>
      <c r="CC266" s="2933"/>
      <c r="CI266" t="s">
        <v>1224</v>
      </c>
    </row>
    <row r="267" spans="1:87" x14ac:dyDescent="0.25">
      <c r="A267" s="2934" t="s">
        <v>1222</v>
      </c>
      <c r="B267">
        <v>0.77</v>
      </c>
      <c r="C267">
        <v>0.96</v>
      </c>
      <c r="D267">
        <v>0.73</v>
      </c>
      <c r="H267" s="2935">
        <v>0</v>
      </c>
      <c r="I267">
        <v>3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 s="2936">
        <v>1</v>
      </c>
      <c r="Q267">
        <v>0</v>
      </c>
      <c r="R267">
        <v>0</v>
      </c>
      <c r="S267">
        <v>0</v>
      </c>
      <c r="T267">
        <v>0</v>
      </c>
      <c r="U267" s="2937">
        <v>1</v>
      </c>
      <c r="V267">
        <v>2</v>
      </c>
      <c r="W267">
        <v>1</v>
      </c>
      <c r="X267">
        <v>0</v>
      </c>
      <c r="Y267">
        <v>0</v>
      </c>
      <c r="Z267">
        <v>0</v>
      </c>
      <c r="AA267">
        <v>2</v>
      </c>
      <c r="AB267">
        <v>1</v>
      </c>
      <c r="AC267" s="2938">
        <v>0</v>
      </c>
      <c r="AD267">
        <v>2</v>
      </c>
      <c r="AE267">
        <v>0</v>
      </c>
      <c r="AF267">
        <v>0</v>
      </c>
      <c r="AG267">
        <v>0</v>
      </c>
      <c r="AH267" s="2939">
        <v>0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 s="2940">
        <v>0</v>
      </c>
      <c r="AQ267">
        <v>0</v>
      </c>
      <c r="AR267">
        <v>0</v>
      </c>
      <c r="AS267">
        <v>0</v>
      </c>
      <c r="AT267">
        <v>0</v>
      </c>
      <c r="AU267" s="2941"/>
      <c r="BC267" s="2942"/>
      <c r="BH267" s="2943"/>
      <c r="BP267" s="2944"/>
      <c r="BU267" s="2945"/>
      <c r="CC267" s="2946"/>
      <c r="CI267" t="s">
        <v>1225</v>
      </c>
    </row>
    <row r="268" spans="1:87" x14ac:dyDescent="0.25">
      <c r="A268" s="2947" t="s">
        <v>1223</v>
      </c>
      <c r="B268">
        <v>1.07</v>
      </c>
      <c r="C268">
        <v>1.08</v>
      </c>
      <c r="D268">
        <v>1.52</v>
      </c>
      <c r="H268" s="2948">
        <v>2</v>
      </c>
      <c r="I268">
        <v>5</v>
      </c>
      <c r="J268">
        <v>1</v>
      </c>
      <c r="K268">
        <v>0</v>
      </c>
      <c r="L268">
        <v>0</v>
      </c>
      <c r="M268">
        <v>0</v>
      </c>
      <c r="N268">
        <v>1</v>
      </c>
      <c r="O268">
        <v>1</v>
      </c>
      <c r="P268" s="2949">
        <v>0</v>
      </c>
      <c r="Q268">
        <v>0</v>
      </c>
      <c r="R268">
        <v>0</v>
      </c>
      <c r="S268">
        <v>0</v>
      </c>
      <c r="T268">
        <v>0</v>
      </c>
      <c r="U268" s="2950">
        <v>1</v>
      </c>
      <c r="V268">
        <v>2</v>
      </c>
      <c r="W268">
        <v>0</v>
      </c>
      <c r="X268">
        <v>0</v>
      </c>
      <c r="Y268">
        <v>0</v>
      </c>
      <c r="Z268">
        <v>0</v>
      </c>
      <c r="AA268">
        <v>4</v>
      </c>
      <c r="AB268">
        <v>2</v>
      </c>
      <c r="AC268" s="2951">
        <v>0</v>
      </c>
      <c r="AD268">
        <v>0</v>
      </c>
      <c r="AE268">
        <v>0</v>
      </c>
      <c r="AF268">
        <v>0</v>
      </c>
      <c r="AG268">
        <v>0</v>
      </c>
      <c r="AH268" s="2952">
        <v>4</v>
      </c>
      <c r="AI268">
        <v>2</v>
      </c>
      <c r="AJ268">
        <v>2</v>
      </c>
      <c r="AK268">
        <v>0</v>
      </c>
      <c r="AL268">
        <v>0</v>
      </c>
      <c r="AM268">
        <v>1</v>
      </c>
      <c r="AN268">
        <v>5</v>
      </c>
      <c r="AO268">
        <v>2</v>
      </c>
      <c r="AP268" s="2953">
        <v>0</v>
      </c>
      <c r="AQ268">
        <v>0</v>
      </c>
      <c r="AR268">
        <v>0</v>
      </c>
      <c r="AS268">
        <v>0</v>
      </c>
      <c r="AT268">
        <v>0</v>
      </c>
      <c r="AU268" s="2954"/>
      <c r="BC268" s="2955"/>
      <c r="BH268" s="2956"/>
      <c r="BP268" s="2957"/>
      <c r="BU268" s="2958"/>
      <c r="CC268" s="2959"/>
    </row>
    <row r="269" spans="1:87" x14ac:dyDescent="0.25">
      <c r="A269" s="40" t="s">
        <v>1233</v>
      </c>
      <c r="B269" s="40"/>
      <c r="C269" s="40"/>
      <c r="D269" s="40"/>
      <c r="E269" s="40"/>
      <c r="F269" s="40"/>
      <c r="G269" s="40"/>
      <c r="H269" s="2994"/>
      <c r="P269" s="2995"/>
      <c r="U269" s="2996"/>
      <c r="AC269" s="2997"/>
      <c r="AH269" s="2998"/>
      <c r="AP269" s="2999"/>
      <c r="AU269" s="3000"/>
      <c r="BC269" s="3001"/>
      <c r="BH269" s="3002"/>
      <c r="BP269" s="3003"/>
      <c r="BU269" s="3004"/>
      <c r="CC269" s="3005"/>
    </row>
    <row r="270" spans="1:87" x14ac:dyDescent="0.25">
      <c r="A270" s="3006" t="s">
        <v>1236</v>
      </c>
      <c r="B270">
        <v>1.23</v>
      </c>
      <c r="C270">
        <v>1.05</v>
      </c>
      <c r="H270" s="3007">
        <v>0</v>
      </c>
      <c r="I270">
        <v>5</v>
      </c>
      <c r="J270">
        <v>2</v>
      </c>
      <c r="K270">
        <v>1</v>
      </c>
      <c r="L270">
        <v>0</v>
      </c>
      <c r="M270">
        <v>0</v>
      </c>
      <c r="N270">
        <v>1</v>
      </c>
      <c r="O270">
        <v>1</v>
      </c>
      <c r="P270" s="3008">
        <v>0</v>
      </c>
      <c r="Q270">
        <v>0</v>
      </c>
      <c r="R270">
        <v>1</v>
      </c>
      <c r="S270">
        <v>0</v>
      </c>
      <c r="T270">
        <v>0</v>
      </c>
      <c r="U270" s="3009">
        <v>1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7</v>
      </c>
      <c r="AB270">
        <v>0</v>
      </c>
      <c r="AC270" s="3010">
        <v>1</v>
      </c>
      <c r="AD270">
        <v>0</v>
      </c>
      <c r="AE270">
        <v>0</v>
      </c>
      <c r="AF270">
        <v>0</v>
      </c>
      <c r="AG270">
        <v>0</v>
      </c>
      <c r="AH270" s="3011"/>
      <c r="AP270" s="3012"/>
      <c r="AU270" s="3013"/>
      <c r="BC270" s="3014"/>
      <c r="BH270" s="3015"/>
      <c r="BP270" s="3016"/>
      <c r="BU270" s="3017"/>
      <c r="CC270" s="3018"/>
    </row>
    <row r="271" spans="1:87" x14ac:dyDescent="0.25">
      <c r="A271" s="3019" t="s">
        <v>1237</v>
      </c>
      <c r="B271">
        <v>1.1399999999999999</v>
      </c>
      <c r="C271">
        <v>1.1399999999999999</v>
      </c>
      <c r="H271" s="3020">
        <v>0</v>
      </c>
      <c r="I271">
        <v>3</v>
      </c>
      <c r="J271">
        <v>1</v>
      </c>
      <c r="K271">
        <v>0</v>
      </c>
      <c r="L271">
        <v>0</v>
      </c>
      <c r="M271">
        <v>0</v>
      </c>
      <c r="N271">
        <v>4</v>
      </c>
      <c r="O271">
        <v>0</v>
      </c>
      <c r="P271" s="3021">
        <v>0</v>
      </c>
      <c r="Q271">
        <v>0</v>
      </c>
      <c r="R271">
        <v>0</v>
      </c>
      <c r="S271">
        <v>0</v>
      </c>
      <c r="T271">
        <v>0</v>
      </c>
      <c r="U271" s="3022">
        <v>0</v>
      </c>
      <c r="V271">
        <v>2</v>
      </c>
      <c r="W271">
        <v>1</v>
      </c>
      <c r="X271">
        <v>0</v>
      </c>
      <c r="Y271">
        <v>0</v>
      </c>
      <c r="Z271">
        <v>0</v>
      </c>
      <c r="AA271">
        <v>3</v>
      </c>
      <c r="AB271">
        <v>0</v>
      </c>
      <c r="AC271" s="3023">
        <v>0</v>
      </c>
      <c r="AD271">
        <v>1</v>
      </c>
      <c r="AE271">
        <v>0</v>
      </c>
      <c r="AF271">
        <v>0</v>
      </c>
      <c r="AG271">
        <v>0</v>
      </c>
      <c r="AH271" s="3024"/>
      <c r="AP271" s="3025"/>
      <c r="AU271" s="3026"/>
      <c r="BC271" s="3027"/>
      <c r="BH271" s="3028"/>
      <c r="BP271" s="3029"/>
      <c r="BU271" s="3030"/>
      <c r="CC271" s="3031"/>
    </row>
    <row r="272" spans="1:87" x14ac:dyDescent="0.25">
      <c r="A272" s="3032" t="s">
        <v>1238</v>
      </c>
      <c r="B272">
        <v>1.67</v>
      </c>
      <c r="C272">
        <v>1.56</v>
      </c>
      <c r="H272" s="3033">
        <v>0</v>
      </c>
      <c r="I272">
        <v>2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1</v>
      </c>
      <c r="P272" s="3034">
        <v>0</v>
      </c>
      <c r="Q272">
        <v>0</v>
      </c>
      <c r="R272">
        <v>0</v>
      </c>
      <c r="S272">
        <v>0</v>
      </c>
      <c r="T272">
        <v>0</v>
      </c>
      <c r="U272" s="3035">
        <v>1</v>
      </c>
      <c r="V272">
        <v>1</v>
      </c>
      <c r="W272">
        <v>1</v>
      </c>
      <c r="X272">
        <v>0</v>
      </c>
      <c r="Y272">
        <v>0</v>
      </c>
      <c r="Z272">
        <v>0</v>
      </c>
      <c r="AA272">
        <v>2</v>
      </c>
      <c r="AB272">
        <v>1</v>
      </c>
      <c r="AC272" s="3036">
        <v>0</v>
      </c>
      <c r="AD272">
        <v>0</v>
      </c>
      <c r="AE272">
        <v>0</v>
      </c>
      <c r="AF272">
        <v>0</v>
      </c>
      <c r="AG272">
        <v>0</v>
      </c>
      <c r="AH272" s="3037"/>
      <c r="AP272" s="3038"/>
      <c r="AU272" s="3039"/>
      <c r="BC272" s="3040"/>
      <c r="BH272" s="3041"/>
      <c r="BP272" s="3042"/>
      <c r="BU272" s="3043"/>
      <c r="CC272" s="3044"/>
    </row>
    <row r="273" spans="1:81" x14ac:dyDescent="0.25">
      <c r="A273" s="3045" t="s">
        <v>1239</v>
      </c>
      <c r="B273">
        <v>1.99</v>
      </c>
      <c r="C273">
        <v>1.77</v>
      </c>
      <c r="H273" s="3046">
        <v>0</v>
      </c>
      <c r="I273">
        <v>2</v>
      </c>
      <c r="J273">
        <v>3</v>
      </c>
      <c r="K273">
        <v>0</v>
      </c>
      <c r="L273">
        <v>0</v>
      </c>
      <c r="M273">
        <v>0</v>
      </c>
      <c r="N273">
        <v>1</v>
      </c>
      <c r="O273">
        <v>0</v>
      </c>
      <c r="P273" s="3047">
        <v>0</v>
      </c>
      <c r="Q273">
        <v>0</v>
      </c>
      <c r="R273">
        <v>0</v>
      </c>
      <c r="S273">
        <v>0</v>
      </c>
      <c r="T273">
        <v>0</v>
      </c>
      <c r="U273" s="3048">
        <v>1</v>
      </c>
      <c r="V273">
        <v>0</v>
      </c>
      <c r="W273">
        <v>1</v>
      </c>
      <c r="X273">
        <v>1</v>
      </c>
      <c r="Y273">
        <v>0</v>
      </c>
      <c r="Z273">
        <v>0</v>
      </c>
      <c r="AA273">
        <v>2</v>
      </c>
      <c r="AB273">
        <v>1</v>
      </c>
      <c r="AC273" s="3049">
        <v>1</v>
      </c>
      <c r="AD273">
        <v>0</v>
      </c>
      <c r="AE273">
        <v>0</v>
      </c>
      <c r="AF273">
        <v>0</v>
      </c>
      <c r="AG273">
        <v>0</v>
      </c>
      <c r="AH273" s="3050"/>
      <c r="AP273" s="3051"/>
      <c r="AU273" s="3052"/>
      <c r="BC273" s="3053"/>
      <c r="BH273" s="3054"/>
      <c r="BP273" s="3055"/>
      <c r="BU273" s="3056"/>
      <c r="CC273" s="3057"/>
    </row>
    <row r="274" spans="1:81" x14ac:dyDescent="0.25">
      <c r="A274" s="3058" t="s">
        <v>1240</v>
      </c>
      <c r="B274">
        <v>0.54</v>
      </c>
      <c r="C274">
        <v>1.05</v>
      </c>
      <c r="H274" s="3059">
        <v>0</v>
      </c>
      <c r="I274">
        <v>1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 s="3060">
        <v>0</v>
      </c>
      <c r="Q274">
        <v>0</v>
      </c>
      <c r="R274">
        <v>0</v>
      </c>
      <c r="S274">
        <v>0</v>
      </c>
      <c r="T274">
        <v>0</v>
      </c>
      <c r="U274" s="3061">
        <v>0</v>
      </c>
      <c r="V274">
        <v>2</v>
      </c>
      <c r="W274">
        <v>0</v>
      </c>
      <c r="X274">
        <v>0</v>
      </c>
      <c r="Y274">
        <v>0</v>
      </c>
      <c r="Z274">
        <v>0</v>
      </c>
      <c r="AA274">
        <v>2</v>
      </c>
      <c r="AB274">
        <v>0</v>
      </c>
      <c r="AC274" s="3062">
        <v>0</v>
      </c>
      <c r="AD274">
        <v>0</v>
      </c>
      <c r="AE274">
        <v>0</v>
      </c>
      <c r="AF274">
        <v>0</v>
      </c>
      <c r="AG274">
        <v>0</v>
      </c>
      <c r="AH274" s="3063"/>
      <c r="AP274" s="3064"/>
      <c r="AU274" s="3065"/>
      <c r="BC274" s="3066"/>
      <c r="BH274" s="3067"/>
      <c r="BP274" s="3068"/>
      <c r="BU274" s="3069"/>
      <c r="CC274" s="3070"/>
    </row>
    <row r="275" spans="1:81" x14ac:dyDescent="0.25">
      <c r="A275" s="3071" t="s">
        <v>1241</v>
      </c>
      <c r="B275">
        <v>1.1499999999999999</v>
      </c>
      <c r="C275">
        <v>1.1499999999999999</v>
      </c>
      <c r="H275" s="3072">
        <v>0</v>
      </c>
      <c r="I275">
        <v>2</v>
      </c>
      <c r="J275">
        <v>1</v>
      </c>
      <c r="K275">
        <v>0</v>
      </c>
      <c r="L275">
        <v>0</v>
      </c>
      <c r="M275">
        <v>0</v>
      </c>
      <c r="N275">
        <v>4</v>
      </c>
      <c r="O275">
        <v>1</v>
      </c>
      <c r="P275" s="3073">
        <v>1</v>
      </c>
      <c r="Q275">
        <v>0</v>
      </c>
      <c r="R275">
        <v>0</v>
      </c>
      <c r="S275">
        <v>0</v>
      </c>
      <c r="T275">
        <v>0</v>
      </c>
      <c r="U275" s="3074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2</v>
      </c>
      <c r="AB275">
        <v>0</v>
      </c>
      <c r="AC275" s="3075">
        <v>0</v>
      </c>
      <c r="AD275">
        <v>0</v>
      </c>
      <c r="AE275">
        <v>0</v>
      </c>
      <c r="AF275">
        <v>0</v>
      </c>
      <c r="AG275">
        <v>0</v>
      </c>
      <c r="AH275" s="3076"/>
      <c r="AP275" s="3077"/>
      <c r="AU275" s="3078"/>
      <c r="BC275" s="3079"/>
      <c r="BH275" s="3080"/>
      <c r="BP275" s="3081"/>
      <c r="BU275" s="3082"/>
      <c r="CC275" s="3083"/>
    </row>
    <row r="276" spans="1:81" x14ac:dyDescent="0.25">
      <c r="A276" s="40" t="s">
        <v>1242</v>
      </c>
      <c r="B276" s="40"/>
      <c r="C276" s="40"/>
      <c r="D276" s="40"/>
      <c r="E276" s="40"/>
      <c r="F276" s="40"/>
      <c r="G276" s="40"/>
      <c r="H276" s="3084"/>
      <c r="P276" s="3085"/>
      <c r="U276" s="3086"/>
      <c r="AC276" s="3087"/>
      <c r="AH276" s="3088"/>
      <c r="AP276" s="3089"/>
      <c r="AU276" s="3090"/>
      <c r="BC276" s="3091"/>
      <c r="BH276" s="3092"/>
      <c r="BP276" s="3093"/>
      <c r="BU276" s="3094"/>
      <c r="CC276" s="3095"/>
    </row>
    <row r="277" spans="1:81" x14ac:dyDescent="0.25">
      <c r="A277" s="3096" t="s">
        <v>1243</v>
      </c>
      <c r="B277">
        <v>1.37</v>
      </c>
      <c r="C277">
        <v>1.25</v>
      </c>
      <c r="H277" s="3097">
        <v>0</v>
      </c>
      <c r="I277">
        <v>2</v>
      </c>
      <c r="J277">
        <v>0</v>
      </c>
      <c r="K277">
        <v>0</v>
      </c>
      <c r="L277">
        <v>0</v>
      </c>
      <c r="M277">
        <v>0</v>
      </c>
      <c r="N277">
        <v>2</v>
      </c>
      <c r="O277">
        <v>0</v>
      </c>
      <c r="P277" s="3098">
        <v>1</v>
      </c>
      <c r="Q277">
        <v>0</v>
      </c>
      <c r="R277">
        <v>0</v>
      </c>
      <c r="S277">
        <v>0</v>
      </c>
      <c r="T277">
        <v>0</v>
      </c>
      <c r="U277" s="3099">
        <v>1</v>
      </c>
      <c r="V277">
        <v>1</v>
      </c>
      <c r="W277">
        <v>2</v>
      </c>
      <c r="X277">
        <v>0</v>
      </c>
      <c r="Y277">
        <v>0</v>
      </c>
      <c r="Z277">
        <v>0</v>
      </c>
      <c r="AA277">
        <v>3</v>
      </c>
      <c r="AB277">
        <v>0</v>
      </c>
      <c r="AC277" s="3100">
        <v>0</v>
      </c>
      <c r="AD277">
        <v>0</v>
      </c>
      <c r="AE277">
        <v>0</v>
      </c>
      <c r="AF277">
        <v>0</v>
      </c>
      <c r="AG277">
        <v>0</v>
      </c>
      <c r="AH277" s="3101"/>
      <c r="AP277" s="3102"/>
      <c r="AU277" s="3103"/>
      <c r="BC277" s="3104"/>
      <c r="BH277" s="3105"/>
      <c r="BP277" s="3106"/>
      <c r="BU277" s="3107"/>
      <c r="CC277" s="3108"/>
    </row>
    <row r="278" spans="1:81" x14ac:dyDescent="0.25">
      <c r="A278" s="3109" t="s">
        <v>1244</v>
      </c>
      <c r="B278">
        <v>1.64</v>
      </c>
      <c r="C278">
        <v>1.83</v>
      </c>
      <c r="H278" s="3110">
        <v>0</v>
      </c>
      <c r="I278">
        <v>2</v>
      </c>
      <c r="J278">
        <v>1</v>
      </c>
      <c r="K278">
        <v>0</v>
      </c>
      <c r="L278">
        <v>0</v>
      </c>
      <c r="M278">
        <v>1</v>
      </c>
      <c r="N278">
        <v>1</v>
      </c>
      <c r="O278">
        <v>1</v>
      </c>
      <c r="P278" s="3111">
        <v>1</v>
      </c>
      <c r="Q278">
        <v>0</v>
      </c>
      <c r="R278">
        <v>0</v>
      </c>
      <c r="S278">
        <v>0</v>
      </c>
      <c r="T278">
        <v>0</v>
      </c>
      <c r="U278" s="3112">
        <v>0</v>
      </c>
      <c r="V278">
        <v>0</v>
      </c>
      <c r="W278">
        <v>2</v>
      </c>
      <c r="X278">
        <v>1</v>
      </c>
      <c r="Y278">
        <v>0</v>
      </c>
      <c r="Z278">
        <v>0</v>
      </c>
      <c r="AA278">
        <v>5</v>
      </c>
      <c r="AB278">
        <v>0</v>
      </c>
      <c r="AC278" s="3113">
        <v>0</v>
      </c>
      <c r="AD278">
        <v>0</v>
      </c>
      <c r="AE278">
        <v>1</v>
      </c>
      <c r="AF278">
        <v>0</v>
      </c>
      <c r="AG278">
        <v>0</v>
      </c>
      <c r="AH278" s="3114"/>
      <c r="AP278" s="3115"/>
      <c r="AU278" s="3116"/>
      <c r="BC278" s="3117"/>
      <c r="BH278" s="3118"/>
      <c r="BP278" s="3119"/>
      <c r="BU278" s="3120"/>
      <c r="CC278" s="3121"/>
    </row>
    <row r="279" spans="1:81" x14ac:dyDescent="0.25">
      <c r="A279" s="3122" t="s">
        <v>1245</v>
      </c>
      <c r="B279">
        <v>1.04</v>
      </c>
      <c r="C279">
        <v>1.44</v>
      </c>
      <c r="H279" s="3123">
        <v>0</v>
      </c>
      <c r="I279">
        <v>1</v>
      </c>
      <c r="J279">
        <v>1</v>
      </c>
      <c r="K279">
        <v>0</v>
      </c>
      <c r="L279">
        <v>0</v>
      </c>
      <c r="M279">
        <v>0</v>
      </c>
      <c r="N279">
        <v>2</v>
      </c>
      <c r="O279">
        <v>0</v>
      </c>
      <c r="P279" s="3124">
        <v>0</v>
      </c>
      <c r="Q279">
        <v>0</v>
      </c>
      <c r="R279">
        <v>0</v>
      </c>
      <c r="S279">
        <v>0</v>
      </c>
      <c r="T279">
        <v>0</v>
      </c>
      <c r="U279" s="3125">
        <v>0</v>
      </c>
      <c r="V279">
        <v>2</v>
      </c>
      <c r="W279">
        <v>0</v>
      </c>
      <c r="X279">
        <v>0</v>
      </c>
      <c r="Y279">
        <v>0</v>
      </c>
      <c r="Z279">
        <v>0</v>
      </c>
      <c r="AA279">
        <v>9</v>
      </c>
      <c r="AB279">
        <v>2</v>
      </c>
      <c r="AC279" s="3126">
        <v>1</v>
      </c>
      <c r="AD279">
        <v>0</v>
      </c>
      <c r="AE279">
        <v>0</v>
      </c>
      <c r="AF279">
        <v>0</v>
      </c>
      <c r="AG279">
        <v>0</v>
      </c>
      <c r="AH279" s="3127"/>
      <c r="AP279" s="3128"/>
      <c r="AU279" s="3129"/>
      <c r="BC279" s="3130"/>
      <c r="BH279" s="3131"/>
      <c r="BP279" s="3132"/>
      <c r="BU279" s="3133"/>
      <c r="CC279" s="3134"/>
    </row>
    <row r="280" spans="1:81" x14ac:dyDescent="0.25">
      <c r="A280" s="3135" t="s">
        <v>1246</v>
      </c>
      <c r="B280">
        <v>0.99</v>
      </c>
      <c r="C280">
        <v>1.35</v>
      </c>
      <c r="H280" s="3136">
        <v>0</v>
      </c>
      <c r="I280">
        <v>1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 s="3137">
        <v>1</v>
      </c>
      <c r="Q280">
        <v>1</v>
      </c>
      <c r="R280">
        <v>0</v>
      </c>
      <c r="S280">
        <v>0</v>
      </c>
      <c r="T280">
        <v>0</v>
      </c>
      <c r="U280" s="3138">
        <v>0</v>
      </c>
      <c r="V280">
        <v>1</v>
      </c>
      <c r="W280">
        <v>2</v>
      </c>
      <c r="X280">
        <v>0</v>
      </c>
      <c r="Y280">
        <v>0</v>
      </c>
      <c r="Z280">
        <v>0</v>
      </c>
      <c r="AA280">
        <v>5</v>
      </c>
      <c r="AB280">
        <v>0</v>
      </c>
      <c r="AC280" s="3139">
        <v>0</v>
      </c>
      <c r="AD280">
        <v>1</v>
      </c>
      <c r="AE280">
        <v>0</v>
      </c>
      <c r="AF280">
        <v>0</v>
      </c>
      <c r="AG280">
        <v>0</v>
      </c>
      <c r="AH280" s="3140"/>
      <c r="AP280" s="3141"/>
      <c r="AU280" s="3142"/>
      <c r="BC280" s="3143"/>
      <c r="BH280" s="3144"/>
      <c r="BP280" s="3145"/>
      <c r="BU280" s="3146"/>
      <c r="CC280" s="3147"/>
    </row>
    <row r="281" spans="1:81" x14ac:dyDescent="0.25">
      <c r="A281" s="3148" t="s">
        <v>1247</v>
      </c>
      <c r="B281">
        <v>1.27</v>
      </c>
      <c r="C281">
        <v>1.37</v>
      </c>
      <c r="H281" s="3149">
        <v>0</v>
      </c>
      <c r="I281">
        <v>4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 s="3150">
        <v>0</v>
      </c>
      <c r="Q281">
        <v>0</v>
      </c>
      <c r="R281">
        <v>0</v>
      </c>
      <c r="S281">
        <v>0</v>
      </c>
      <c r="T281">
        <v>0</v>
      </c>
      <c r="U281" s="3151">
        <v>0</v>
      </c>
      <c r="V281">
        <v>2</v>
      </c>
      <c r="W281">
        <v>0</v>
      </c>
      <c r="X281">
        <v>1</v>
      </c>
      <c r="Y281">
        <v>0</v>
      </c>
      <c r="Z281">
        <v>0</v>
      </c>
      <c r="AA281">
        <v>6</v>
      </c>
      <c r="AB281">
        <v>1</v>
      </c>
      <c r="AC281" s="3152">
        <v>0</v>
      </c>
      <c r="AD281">
        <v>0</v>
      </c>
      <c r="AE281">
        <v>1</v>
      </c>
      <c r="AF281">
        <v>0</v>
      </c>
      <c r="AG281">
        <v>0</v>
      </c>
      <c r="AH281" s="3153"/>
      <c r="AP281" s="3154"/>
      <c r="AU281" s="3155"/>
      <c r="BC281" s="3156"/>
      <c r="BH281" s="3157"/>
      <c r="BP281" s="3158"/>
      <c r="BU281" s="3159"/>
      <c r="CC281" s="3160"/>
    </row>
    <row r="282" spans="1:81" x14ac:dyDescent="0.25">
      <c r="A282" s="3161" t="s">
        <v>1248</v>
      </c>
      <c r="B282">
        <v>1.35</v>
      </c>
      <c r="C282">
        <v>1.8</v>
      </c>
      <c r="H282" s="3162">
        <v>1</v>
      </c>
      <c r="I282">
        <v>3</v>
      </c>
      <c r="J282">
        <v>2</v>
      </c>
      <c r="K282">
        <v>0</v>
      </c>
      <c r="L282">
        <v>0</v>
      </c>
      <c r="M282">
        <v>0</v>
      </c>
      <c r="N282">
        <v>2</v>
      </c>
      <c r="O282">
        <v>0</v>
      </c>
      <c r="P282" s="3163">
        <v>0</v>
      </c>
      <c r="Q282">
        <v>0</v>
      </c>
      <c r="R282">
        <v>0</v>
      </c>
      <c r="S282">
        <v>0</v>
      </c>
      <c r="T282">
        <v>0</v>
      </c>
      <c r="U282" s="3164">
        <v>0</v>
      </c>
      <c r="V282">
        <v>2</v>
      </c>
      <c r="W282">
        <v>2</v>
      </c>
      <c r="X282">
        <v>0</v>
      </c>
      <c r="Y282">
        <v>0</v>
      </c>
      <c r="Z282">
        <v>1</v>
      </c>
      <c r="AA282">
        <v>6</v>
      </c>
      <c r="AB282">
        <v>0</v>
      </c>
      <c r="AC282" s="3165">
        <v>1</v>
      </c>
      <c r="AD282">
        <v>1</v>
      </c>
      <c r="AE282">
        <v>0</v>
      </c>
      <c r="AF282">
        <v>0</v>
      </c>
      <c r="AG282">
        <v>0</v>
      </c>
      <c r="AH282" s="3166"/>
      <c r="AP282" s="3167"/>
      <c r="AU282" s="3168"/>
      <c r="BC282" s="3169"/>
      <c r="BH282" s="3170"/>
      <c r="BP282" s="3171"/>
      <c r="BU282" s="3172"/>
      <c r="CC282" s="3173"/>
    </row>
    <row r="283" spans="1:81" x14ac:dyDescent="0.25">
      <c r="A283" s="3174" t="s">
        <v>1249</v>
      </c>
      <c r="B283">
        <v>1.37</v>
      </c>
      <c r="C283">
        <v>1.1499999999999999</v>
      </c>
      <c r="H283" s="3175">
        <v>0</v>
      </c>
      <c r="I283">
        <v>2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 s="3176">
        <v>1</v>
      </c>
      <c r="Q283">
        <v>0</v>
      </c>
      <c r="R283">
        <v>0</v>
      </c>
      <c r="S283">
        <v>0</v>
      </c>
      <c r="T283">
        <v>0</v>
      </c>
      <c r="U283" s="3177">
        <v>1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v>4</v>
      </c>
      <c r="AB283">
        <v>0</v>
      </c>
      <c r="AC283" s="3178">
        <v>0</v>
      </c>
      <c r="AD283">
        <v>0</v>
      </c>
      <c r="AE283">
        <v>0</v>
      </c>
      <c r="AF283">
        <v>0</v>
      </c>
      <c r="AG283">
        <v>0</v>
      </c>
      <c r="AH283" s="3179"/>
      <c r="AP283" s="3180"/>
      <c r="AU283" s="3181"/>
      <c r="BC283" s="3182"/>
      <c r="BH283" s="3183"/>
      <c r="BP283" s="3184"/>
      <c r="BU283" s="3185"/>
      <c r="CC283" s="3186"/>
    </row>
    <row r="284" spans="1:81" x14ac:dyDescent="0.25">
      <c r="A284" s="3187" t="s">
        <v>1250</v>
      </c>
      <c r="B284">
        <v>1.93</v>
      </c>
      <c r="C284">
        <v>1.39</v>
      </c>
      <c r="H284" s="3188">
        <v>1</v>
      </c>
      <c r="I284">
        <v>2</v>
      </c>
      <c r="J284">
        <v>2</v>
      </c>
      <c r="K284">
        <v>0</v>
      </c>
      <c r="L284">
        <v>0</v>
      </c>
      <c r="M284">
        <v>0</v>
      </c>
      <c r="N284">
        <v>2</v>
      </c>
      <c r="O284">
        <v>2</v>
      </c>
      <c r="P284" s="3189">
        <v>1</v>
      </c>
      <c r="Q284">
        <v>0</v>
      </c>
      <c r="R284">
        <v>0</v>
      </c>
      <c r="S284">
        <v>0</v>
      </c>
      <c r="T284">
        <v>0</v>
      </c>
      <c r="U284" s="3190">
        <v>1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 s="3191">
        <v>0</v>
      </c>
      <c r="AD284">
        <v>0</v>
      </c>
      <c r="AE284">
        <v>1</v>
      </c>
      <c r="AF284">
        <v>0</v>
      </c>
      <c r="AG284">
        <v>0</v>
      </c>
      <c r="AH284" s="3192"/>
      <c r="AP284" s="3193"/>
      <c r="AU284" s="3194"/>
      <c r="BC284" s="3195"/>
      <c r="BH284" s="3196"/>
      <c r="BP284" s="3197"/>
      <c r="BU284" s="3198"/>
      <c r="CC284" s="3199"/>
    </row>
    <row r="285" spans="1:81" x14ac:dyDescent="0.25">
      <c r="A285" s="3200" t="s">
        <v>1251</v>
      </c>
      <c r="B285">
        <v>1.32</v>
      </c>
      <c r="C285">
        <v>1.32</v>
      </c>
      <c r="H285" s="3201">
        <v>0</v>
      </c>
      <c r="I285">
        <v>3</v>
      </c>
      <c r="J285">
        <v>2</v>
      </c>
      <c r="K285">
        <v>0</v>
      </c>
      <c r="L285">
        <v>0</v>
      </c>
      <c r="M285">
        <v>0</v>
      </c>
      <c r="N285">
        <v>5</v>
      </c>
      <c r="O285">
        <v>0</v>
      </c>
      <c r="P285" s="3202">
        <v>1</v>
      </c>
      <c r="Q285">
        <v>0</v>
      </c>
      <c r="R285">
        <v>0</v>
      </c>
      <c r="S285">
        <v>0</v>
      </c>
      <c r="T285">
        <v>0</v>
      </c>
      <c r="U285" s="3203">
        <v>0</v>
      </c>
      <c r="V285">
        <v>1</v>
      </c>
      <c r="W285">
        <v>1</v>
      </c>
      <c r="X285">
        <v>1</v>
      </c>
      <c r="Y285">
        <v>0</v>
      </c>
      <c r="Z285">
        <v>0</v>
      </c>
      <c r="AA285">
        <v>3</v>
      </c>
      <c r="AB285">
        <v>0</v>
      </c>
      <c r="AC285" s="3204">
        <v>1</v>
      </c>
      <c r="AD285">
        <v>1</v>
      </c>
      <c r="AE285">
        <v>0</v>
      </c>
      <c r="AF285">
        <v>0</v>
      </c>
      <c r="AG285">
        <v>0</v>
      </c>
      <c r="AH285" s="3205"/>
      <c r="AP285" s="3206"/>
      <c r="AU285" s="3207"/>
      <c r="BC285" s="3208"/>
      <c r="BH285" s="3209"/>
      <c r="BP285" s="3210"/>
      <c r="BU285" s="3211"/>
      <c r="CC285" s="3212"/>
    </row>
    <row r="286" spans="1:81" x14ac:dyDescent="0.25">
      <c r="A286" s="44" t="s">
        <v>1252</v>
      </c>
      <c r="B286" s="44"/>
      <c r="C286" s="44"/>
      <c r="D286" s="44"/>
      <c r="E286" s="44"/>
      <c r="F286" s="44"/>
      <c r="G286" s="44"/>
      <c r="H286" s="3213"/>
      <c r="P286" s="3214"/>
      <c r="U286" s="3215"/>
      <c r="AC286" s="3216"/>
      <c r="AH286" s="3217"/>
      <c r="AP286" s="3218"/>
      <c r="AU286" s="3219"/>
      <c r="BC286" s="3220"/>
      <c r="BH286" s="3221"/>
      <c r="BP286" s="3222"/>
      <c r="BU286" s="3223"/>
      <c r="CC286" s="3224"/>
    </row>
    <row r="287" spans="1:81" x14ac:dyDescent="0.25">
      <c r="A287" s="3225" t="s">
        <v>1253</v>
      </c>
      <c r="B287">
        <v>1.31</v>
      </c>
      <c r="C287">
        <v>0.75</v>
      </c>
      <c r="D287">
        <v>1.47</v>
      </c>
      <c r="H287" s="3226">
        <v>1</v>
      </c>
      <c r="I287">
        <v>2</v>
      </c>
      <c r="J287">
        <v>1</v>
      </c>
      <c r="K287">
        <v>0</v>
      </c>
      <c r="L287">
        <v>0</v>
      </c>
      <c r="M287">
        <v>0</v>
      </c>
      <c r="N287">
        <v>2</v>
      </c>
      <c r="O287">
        <v>2</v>
      </c>
      <c r="P287" s="3227">
        <v>0</v>
      </c>
      <c r="Q287">
        <v>0</v>
      </c>
      <c r="R287">
        <v>0</v>
      </c>
      <c r="S287">
        <v>0</v>
      </c>
      <c r="T287">
        <v>0</v>
      </c>
      <c r="U287" s="3228">
        <v>0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3</v>
      </c>
      <c r="AB287">
        <v>0</v>
      </c>
      <c r="AC287" s="3229">
        <v>0</v>
      </c>
      <c r="AD287">
        <v>0</v>
      </c>
      <c r="AE287">
        <v>0</v>
      </c>
      <c r="AF287">
        <v>0</v>
      </c>
      <c r="AG287">
        <v>0</v>
      </c>
      <c r="AH287" s="3230">
        <v>2</v>
      </c>
      <c r="AI287">
        <v>5</v>
      </c>
      <c r="AJ287">
        <v>2</v>
      </c>
      <c r="AK287">
        <v>1</v>
      </c>
      <c r="AL287">
        <v>0</v>
      </c>
      <c r="AM287">
        <v>0</v>
      </c>
      <c r="AN287">
        <v>5</v>
      </c>
      <c r="AO287">
        <v>2</v>
      </c>
      <c r="AP287" s="3231">
        <v>0</v>
      </c>
      <c r="AQ287">
        <v>0</v>
      </c>
      <c r="AR287">
        <v>0</v>
      </c>
      <c r="AS287">
        <v>0</v>
      </c>
      <c r="AT287">
        <v>0</v>
      </c>
      <c r="AU287" s="3232"/>
      <c r="BC287" s="3233"/>
      <c r="BH287" s="3234"/>
      <c r="BP287" s="3235"/>
      <c r="BU287" s="3236"/>
      <c r="CC287" s="3237"/>
    </row>
    <row r="288" spans="1:81" x14ac:dyDescent="0.25">
      <c r="A288" s="3238" t="s">
        <v>1254</v>
      </c>
      <c r="B288">
        <v>1.22</v>
      </c>
      <c r="C288">
        <v>1.67</v>
      </c>
      <c r="D288">
        <v>1.1599999999999999</v>
      </c>
      <c r="H288" s="3239">
        <v>2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1</v>
      </c>
      <c r="O288">
        <v>0</v>
      </c>
      <c r="P288" s="3240">
        <v>1</v>
      </c>
      <c r="Q288">
        <v>0</v>
      </c>
      <c r="R288">
        <v>0</v>
      </c>
      <c r="S288">
        <v>0</v>
      </c>
      <c r="T288">
        <v>0</v>
      </c>
      <c r="U288" s="3241">
        <v>3</v>
      </c>
      <c r="V288">
        <v>3</v>
      </c>
      <c r="W288">
        <v>2</v>
      </c>
      <c r="X288">
        <v>0</v>
      </c>
      <c r="Y288">
        <v>0</v>
      </c>
      <c r="Z288">
        <v>0</v>
      </c>
      <c r="AA288">
        <v>5</v>
      </c>
      <c r="AB288">
        <v>0</v>
      </c>
      <c r="AC288" s="3242">
        <v>0</v>
      </c>
      <c r="AD288">
        <v>0</v>
      </c>
      <c r="AE288">
        <v>0</v>
      </c>
      <c r="AF288">
        <v>0</v>
      </c>
      <c r="AG288">
        <v>0</v>
      </c>
      <c r="AH288" s="3243">
        <v>2</v>
      </c>
      <c r="AI288">
        <v>2</v>
      </c>
      <c r="AJ288">
        <v>1</v>
      </c>
      <c r="AK288">
        <v>0</v>
      </c>
      <c r="AL288">
        <v>0</v>
      </c>
      <c r="AM288">
        <v>0</v>
      </c>
      <c r="AN288">
        <v>1</v>
      </c>
      <c r="AO288">
        <v>1</v>
      </c>
      <c r="AP288" s="3244">
        <v>0</v>
      </c>
      <c r="AQ288">
        <v>0</v>
      </c>
      <c r="AR288">
        <v>0</v>
      </c>
      <c r="AS288">
        <v>0</v>
      </c>
      <c r="AT288">
        <v>0</v>
      </c>
      <c r="AU288" s="3245"/>
      <c r="BC288" s="3246"/>
      <c r="BH288" s="3247"/>
      <c r="BP288" s="3248"/>
      <c r="BU288" s="3249"/>
      <c r="CC288" s="3250"/>
    </row>
    <row r="289" spans="1:88" x14ac:dyDescent="0.25">
      <c r="A289" s="3251" t="s">
        <v>1255</v>
      </c>
      <c r="B289">
        <v>1.51</v>
      </c>
      <c r="C289">
        <v>1.46</v>
      </c>
      <c r="H289" s="3252">
        <v>1</v>
      </c>
      <c r="I289">
        <v>3</v>
      </c>
      <c r="J289">
        <v>3</v>
      </c>
      <c r="K289">
        <v>1</v>
      </c>
      <c r="L289">
        <v>0</v>
      </c>
      <c r="M289">
        <v>0</v>
      </c>
      <c r="N289">
        <v>3</v>
      </c>
      <c r="O289">
        <v>1</v>
      </c>
      <c r="P289" s="3253">
        <v>1</v>
      </c>
      <c r="Q289">
        <v>1</v>
      </c>
      <c r="R289">
        <v>0</v>
      </c>
      <c r="S289">
        <v>0</v>
      </c>
      <c r="T289">
        <v>0</v>
      </c>
      <c r="U289" s="3254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2</v>
      </c>
      <c r="AB289">
        <v>0</v>
      </c>
      <c r="AC289" s="3255">
        <v>0</v>
      </c>
      <c r="AD289">
        <v>0</v>
      </c>
      <c r="AE289">
        <v>0</v>
      </c>
      <c r="AF289">
        <v>0</v>
      </c>
      <c r="AG289">
        <v>0</v>
      </c>
      <c r="AH289" s="3256"/>
      <c r="AP289" s="3257"/>
      <c r="AU289" s="3258"/>
      <c r="BC289" s="3259"/>
      <c r="BH289" s="3260"/>
      <c r="BP289" s="3261"/>
      <c r="BU289" s="3262"/>
      <c r="CC289" s="3263"/>
    </row>
    <row r="290" spans="1:88" x14ac:dyDescent="0.25">
      <c r="A290" s="3264" t="s">
        <v>1256</v>
      </c>
      <c r="B290">
        <v>1.03</v>
      </c>
      <c r="C290">
        <v>0.74</v>
      </c>
      <c r="H290" s="3265">
        <v>1</v>
      </c>
      <c r="I290">
        <v>4</v>
      </c>
      <c r="J290">
        <v>1</v>
      </c>
      <c r="K290">
        <v>0</v>
      </c>
      <c r="L290">
        <v>0</v>
      </c>
      <c r="M290">
        <v>0</v>
      </c>
      <c r="N290">
        <v>4</v>
      </c>
      <c r="O290">
        <v>1</v>
      </c>
      <c r="P290" s="3266">
        <v>0</v>
      </c>
      <c r="Q290">
        <v>1</v>
      </c>
      <c r="R290">
        <v>0</v>
      </c>
      <c r="S290">
        <v>0</v>
      </c>
      <c r="T290">
        <v>0</v>
      </c>
      <c r="U290" s="3267">
        <v>3</v>
      </c>
      <c r="V290">
        <v>1</v>
      </c>
      <c r="W290">
        <v>1</v>
      </c>
      <c r="X290">
        <v>0</v>
      </c>
      <c r="Y290">
        <v>0</v>
      </c>
      <c r="Z290">
        <v>0</v>
      </c>
      <c r="AA290">
        <v>3</v>
      </c>
      <c r="AB290">
        <v>2</v>
      </c>
      <c r="AC290" s="3268">
        <v>0</v>
      </c>
      <c r="AD290">
        <v>0</v>
      </c>
      <c r="AE290">
        <v>0</v>
      </c>
      <c r="AF290">
        <v>0</v>
      </c>
      <c r="AG290">
        <v>0</v>
      </c>
      <c r="AH290" s="3269"/>
      <c r="AP290" s="3270"/>
      <c r="AU290" s="3271"/>
      <c r="BC290" s="3272"/>
      <c r="BH290" s="3273"/>
      <c r="BP290" s="3274"/>
      <c r="BU290" s="3275"/>
      <c r="CC290" s="3276"/>
    </row>
    <row r="291" spans="1:88" x14ac:dyDescent="0.25">
      <c r="A291" s="3277" t="s">
        <v>1257</v>
      </c>
      <c r="B291">
        <v>1.63</v>
      </c>
      <c r="C291">
        <v>1.26</v>
      </c>
      <c r="H291" s="3278">
        <v>2</v>
      </c>
      <c r="I291">
        <v>4</v>
      </c>
      <c r="J291">
        <v>4</v>
      </c>
      <c r="K291">
        <v>0</v>
      </c>
      <c r="L291">
        <v>0</v>
      </c>
      <c r="M291">
        <v>0</v>
      </c>
      <c r="N291">
        <v>1</v>
      </c>
      <c r="O291">
        <v>2</v>
      </c>
      <c r="P291" s="3279">
        <v>0</v>
      </c>
      <c r="Q291">
        <v>1</v>
      </c>
      <c r="R291">
        <v>1</v>
      </c>
      <c r="S291">
        <v>0</v>
      </c>
      <c r="T291">
        <v>0</v>
      </c>
      <c r="U291" s="3280">
        <v>1</v>
      </c>
      <c r="V291">
        <v>1</v>
      </c>
      <c r="W291">
        <v>1</v>
      </c>
      <c r="X291">
        <v>0</v>
      </c>
      <c r="Y291">
        <v>0</v>
      </c>
      <c r="Z291">
        <v>0</v>
      </c>
      <c r="AA291">
        <v>6</v>
      </c>
      <c r="AB291">
        <v>2</v>
      </c>
      <c r="AC291" s="3281">
        <v>0</v>
      </c>
      <c r="AD291">
        <v>0</v>
      </c>
      <c r="AE291">
        <v>0</v>
      </c>
      <c r="AF291">
        <v>0</v>
      </c>
      <c r="AG291">
        <v>0</v>
      </c>
      <c r="AH291" s="3282"/>
      <c r="AP291" s="3283"/>
      <c r="AU291" s="3284"/>
      <c r="BC291" s="3285"/>
      <c r="BH291" s="3286"/>
      <c r="BP291" s="3287"/>
      <c r="BU291" s="3288"/>
      <c r="CC291" s="3289"/>
    </row>
    <row r="292" spans="1:88" x14ac:dyDescent="0.25">
      <c r="A292" s="3290" t="s">
        <v>1258</v>
      </c>
      <c r="B292">
        <v>1.38</v>
      </c>
      <c r="C292">
        <v>1.17</v>
      </c>
      <c r="D292">
        <v>1.2</v>
      </c>
      <c r="H292" s="3291">
        <v>2</v>
      </c>
      <c r="I292">
        <v>4</v>
      </c>
      <c r="J292">
        <v>1</v>
      </c>
      <c r="K292">
        <v>1</v>
      </c>
      <c r="L292">
        <v>0</v>
      </c>
      <c r="M292">
        <v>0</v>
      </c>
      <c r="N292">
        <v>2</v>
      </c>
      <c r="O292">
        <v>1</v>
      </c>
      <c r="P292" s="3292">
        <v>0</v>
      </c>
      <c r="Q292">
        <v>0</v>
      </c>
      <c r="R292">
        <v>0</v>
      </c>
      <c r="S292">
        <v>0</v>
      </c>
      <c r="T292">
        <v>0</v>
      </c>
      <c r="U292" s="3293">
        <v>0</v>
      </c>
      <c r="V292">
        <v>1</v>
      </c>
      <c r="W292">
        <v>1</v>
      </c>
      <c r="X292">
        <v>0</v>
      </c>
      <c r="Y292">
        <v>0</v>
      </c>
      <c r="Z292">
        <v>0</v>
      </c>
      <c r="AA292">
        <v>7</v>
      </c>
      <c r="AB292">
        <v>0</v>
      </c>
      <c r="AC292" s="3294">
        <v>0</v>
      </c>
      <c r="AD292">
        <v>1</v>
      </c>
      <c r="AE292">
        <v>0</v>
      </c>
      <c r="AF292">
        <v>0</v>
      </c>
      <c r="AG292">
        <v>0</v>
      </c>
      <c r="AH292" s="3295">
        <v>5</v>
      </c>
      <c r="AI292">
        <v>1</v>
      </c>
      <c r="AJ292">
        <v>0</v>
      </c>
      <c r="AK292">
        <v>0</v>
      </c>
      <c r="AL292">
        <v>0</v>
      </c>
      <c r="AM292">
        <v>0</v>
      </c>
      <c r="AN292">
        <v>5</v>
      </c>
      <c r="AO292">
        <v>0</v>
      </c>
      <c r="AP292" s="3296">
        <v>2</v>
      </c>
      <c r="AQ292">
        <v>0</v>
      </c>
      <c r="AR292">
        <v>0</v>
      </c>
      <c r="AS292">
        <v>0</v>
      </c>
      <c r="AT292">
        <v>0</v>
      </c>
      <c r="AU292" s="3297"/>
      <c r="BC292" s="3298"/>
      <c r="BH292" s="3299"/>
      <c r="BP292" s="3300"/>
      <c r="BU292" s="3301"/>
      <c r="CC292" s="3302"/>
    </row>
    <row r="293" spans="1:88" x14ac:dyDescent="0.25">
      <c r="A293" s="3303" t="s">
        <v>1259</v>
      </c>
      <c r="B293">
        <v>1.03</v>
      </c>
      <c r="C293">
        <v>0.38</v>
      </c>
      <c r="D293">
        <v>1.43</v>
      </c>
      <c r="H293" s="3304">
        <v>2</v>
      </c>
      <c r="I293">
        <v>3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 s="3305">
        <v>0</v>
      </c>
      <c r="Q293">
        <v>0</v>
      </c>
      <c r="R293">
        <v>0</v>
      </c>
      <c r="S293">
        <v>0</v>
      </c>
      <c r="T293">
        <v>0</v>
      </c>
      <c r="U293" s="3306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s="3307">
        <v>0</v>
      </c>
      <c r="AD293">
        <v>0</v>
      </c>
      <c r="AE293">
        <v>0</v>
      </c>
      <c r="AF293">
        <v>0</v>
      </c>
      <c r="AG293">
        <v>0</v>
      </c>
      <c r="AH293" s="3308">
        <v>1</v>
      </c>
      <c r="AI293">
        <v>4</v>
      </c>
      <c r="AJ293">
        <v>1</v>
      </c>
      <c r="AK293">
        <v>0</v>
      </c>
      <c r="AL293">
        <v>0</v>
      </c>
      <c r="AM293">
        <v>0</v>
      </c>
      <c r="AN293">
        <v>5</v>
      </c>
      <c r="AO293">
        <v>1</v>
      </c>
      <c r="AP293" s="3309">
        <v>0</v>
      </c>
      <c r="AQ293">
        <v>0</v>
      </c>
      <c r="AR293">
        <v>0</v>
      </c>
      <c r="AS293">
        <v>0</v>
      </c>
      <c r="AT293">
        <v>0</v>
      </c>
      <c r="AU293" s="3310"/>
      <c r="BC293" s="3311"/>
      <c r="BH293" s="3312"/>
      <c r="BP293" s="3313"/>
      <c r="BU293" s="3314"/>
      <c r="CC293" s="3315"/>
    </row>
    <row r="294" spans="1:88" x14ac:dyDescent="0.25">
      <c r="A294" s="3316" t="s">
        <v>1260</v>
      </c>
      <c r="B294">
        <v>1.1000000000000001</v>
      </c>
      <c r="C294">
        <v>1.31</v>
      </c>
      <c r="H294" s="3317">
        <v>0</v>
      </c>
      <c r="I294">
        <v>2</v>
      </c>
      <c r="J294">
        <v>0</v>
      </c>
      <c r="K294">
        <v>1</v>
      </c>
      <c r="L294">
        <v>0</v>
      </c>
      <c r="M294">
        <v>0</v>
      </c>
      <c r="N294">
        <v>1</v>
      </c>
      <c r="O294">
        <v>1</v>
      </c>
      <c r="P294" s="3318">
        <v>1</v>
      </c>
      <c r="Q294">
        <v>0</v>
      </c>
      <c r="R294">
        <v>0</v>
      </c>
      <c r="S294">
        <v>0</v>
      </c>
      <c r="T294">
        <v>0</v>
      </c>
      <c r="U294" s="3319">
        <v>1</v>
      </c>
      <c r="V294">
        <v>1</v>
      </c>
      <c r="W294">
        <v>0</v>
      </c>
      <c r="X294">
        <v>1</v>
      </c>
      <c r="Y294">
        <v>0</v>
      </c>
      <c r="Z294">
        <v>0</v>
      </c>
      <c r="AA294">
        <v>6</v>
      </c>
      <c r="AB294">
        <v>0</v>
      </c>
      <c r="AC294" s="3320">
        <v>0</v>
      </c>
      <c r="AD294">
        <v>0</v>
      </c>
      <c r="AE294">
        <v>0</v>
      </c>
      <c r="AF294">
        <v>0</v>
      </c>
      <c r="AG294">
        <v>0</v>
      </c>
      <c r="AH294" s="3321"/>
      <c r="AP294" s="3322"/>
      <c r="AU294" s="3323"/>
      <c r="BC294" s="3324"/>
      <c r="BH294" s="3325"/>
      <c r="BP294" s="3326"/>
      <c r="BU294" s="3327"/>
      <c r="CC294" s="3328"/>
    </row>
    <row r="295" spans="1:88" x14ac:dyDescent="0.25">
      <c r="A295" s="40" t="s">
        <v>1261</v>
      </c>
      <c r="B295" s="40"/>
      <c r="C295" s="40"/>
      <c r="D295" s="40"/>
      <c r="E295" s="40"/>
      <c r="F295" s="40"/>
      <c r="G295" s="40"/>
      <c r="H295" s="3329"/>
      <c r="P295" s="3330"/>
      <c r="U295" s="3331"/>
      <c r="AC295" s="3332"/>
      <c r="AH295" s="3333"/>
      <c r="AP295" s="3334"/>
      <c r="AU295" s="3335"/>
      <c r="BC295" s="3336"/>
      <c r="BH295" s="3337"/>
      <c r="BP295" s="3338"/>
      <c r="BU295" s="3339"/>
      <c r="CC295" s="3340"/>
    </row>
    <row r="296" spans="1:88" x14ac:dyDescent="0.25">
      <c r="A296" s="3341" t="s">
        <v>1262</v>
      </c>
      <c r="B296">
        <v>1.22</v>
      </c>
      <c r="C296">
        <v>1.1200000000000001</v>
      </c>
      <c r="D296">
        <v>1.63</v>
      </c>
      <c r="H296" s="3342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s="3343">
        <v>0</v>
      </c>
      <c r="Q296">
        <v>0</v>
      </c>
      <c r="R296">
        <v>0</v>
      </c>
      <c r="S296">
        <v>0</v>
      </c>
      <c r="T296">
        <v>0</v>
      </c>
      <c r="U296" s="3344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s="3345">
        <v>0</v>
      </c>
      <c r="AD296">
        <v>0</v>
      </c>
      <c r="AE296">
        <v>0</v>
      </c>
      <c r="AF296">
        <v>0</v>
      </c>
      <c r="AG296">
        <v>0</v>
      </c>
      <c r="AH296" s="3346">
        <v>1</v>
      </c>
      <c r="AI296">
        <v>0</v>
      </c>
      <c r="AJ296">
        <v>2</v>
      </c>
      <c r="AK296">
        <v>0</v>
      </c>
      <c r="AL296">
        <v>0</v>
      </c>
      <c r="AM296">
        <v>4</v>
      </c>
      <c r="AN296">
        <v>5</v>
      </c>
      <c r="AO296">
        <v>1</v>
      </c>
      <c r="AP296" s="3347">
        <v>0</v>
      </c>
      <c r="AQ296">
        <v>0</v>
      </c>
      <c r="AR296">
        <v>0</v>
      </c>
      <c r="AS296">
        <v>0</v>
      </c>
      <c r="AT296">
        <v>0</v>
      </c>
      <c r="AU296" s="3348"/>
      <c r="BC296" s="3349"/>
      <c r="BH296" s="3350"/>
      <c r="BP296" s="3351"/>
      <c r="BU296" s="3352"/>
      <c r="CC296" s="3353"/>
    </row>
    <row r="297" spans="1:88" x14ac:dyDescent="0.25">
      <c r="A297" s="3354" t="s">
        <v>1263</v>
      </c>
      <c r="B297">
        <v>0.8</v>
      </c>
      <c r="C297">
        <v>0.91</v>
      </c>
      <c r="D297">
        <v>0.91</v>
      </c>
      <c r="H297" s="3355">
        <v>0</v>
      </c>
      <c r="I297">
        <v>1</v>
      </c>
      <c r="J297">
        <v>0</v>
      </c>
      <c r="K297">
        <v>0</v>
      </c>
      <c r="L297">
        <v>0</v>
      </c>
      <c r="M297">
        <v>0</v>
      </c>
      <c r="N297">
        <v>4</v>
      </c>
      <c r="O297">
        <v>0</v>
      </c>
      <c r="P297" s="3356">
        <v>0</v>
      </c>
      <c r="Q297">
        <v>0</v>
      </c>
      <c r="R297">
        <v>0</v>
      </c>
      <c r="S297">
        <v>0</v>
      </c>
      <c r="T297">
        <v>0</v>
      </c>
      <c r="U297" s="3357">
        <v>0</v>
      </c>
      <c r="V297">
        <v>1</v>
      </c>
      <c r="W297">
        <v>1</v>
      </c>
      <c r="X297">
        <v>0</v>
      </c>
      <c r="Y297">
        <v>0</v>
      </c>
      <c r="Z297">
        <v>1</v>
      </c>
      <c r="AA297">
        <v>2</v>
      </c>
      <c r="AB297">
        <v>0</v>
      </c>
      <c r="AC297" s="3358">
        <v>1</v>
      </c>
      <c r="AD297">
        <v>0</v>
      </c>
      <c r="AE297">
        <v>0</v>
      </c>
      <c r="AF297">
        <v>0</v>
      </c>
      <c r="AG297">
        <v>0</v>
      </c>
      <c r="AH297" s="3359">
        <v>0</v>
      </c>
      <c r="AI297">
        <v>0</v>
      </c>
      <c r="AJ297">
        <v>2</v>
      </c>
      <c r="AK297">
        <v>0</v>
      </c>
      <c r="AL297">
        <v>0</v>
      </c>
      <c r="AM297">
        <v>1</v>
      </c>
      <c r="AN297">
        <v>3</v>
      </c>
      <c r="AO297">
        <v>0</v>
      </c>
      <c r="AP297" s="3360">
        <v>0</v>
      </c>
      <c r="AQ297">
        <v>1</v>
      </c>
      <c r="AR297">
        <v>0</v>
      </c>
      <c r="AS297">
        <v>0</v>
      </c>
      <c r="AT297">
        <v>0</v>
      </c>
      <c r="AU297" s="3361"/>
      <c r="BC297" s="3362"/>
      <c r="BH297" s="3363"/>
      <c r="BP297" s="3364"/>
      <c r="BU297" s="3365"/>
      <c r="CC297" s="3366"/>
    </row>
    <row r="298" spans="1:88" x14ac:dyDescent="0.25">
      <c r="A298" s="3367" t="s">
        <v>1264</v>
      </c>
      <c r="B298">
        <v>1.06</v>
      </c>
      <c r="C298">
        <v>1.24</v>
      </c>
      <c r="D298">
        <v>0.77</v>
      </c>
      <c r="H298" s="3368">
        <v>0</v>
      </c>
      <c r="I298">
        <v>2</v>
      </c>
      <c r="J298">
        <v>1</v>
      </c>
      <c r="K298">
        <v>0</v>
      </c>
      <c r="L298">
        <v>0</v>
      </c>
      <c r="M298">
        <v>0</v>
      </c>
      <c r="N298">
        <v>1</v>
      </c>
      <c r="O298">
        <v>2</v>
      </c>
      <c r="P298" s="3369">
        <v>1</v>
      </c>
      <c r="Q298">
        <v>0</v>
      </c>
      <c r="R298">
        <v>0</v>
      </c>
      <c r="S298">
        <v>0</v>
      </c>
      <c r="T298">
        <v>0</v>
      </c>
      <c r="U298" s="3370">
        <v>0</v>
      </c>
      <c r="V298">
        <v>0</v>
      </c>
      <c r="W298">
        <v>2</v>
      </c>
      <c r="X298">
        <v>0</v>
      </c>
      <c r="Y298">
        <v>0</v>
      </c>
      <c r="Z298">
        <v>0</v>
      </c>
      <c r="AA298">
        <v>3</v>
      </c>
      <c r="AB298">
        <v>0</v>
      </c>
      <c r="AC298" s="3371">
        <v>0</v>
      </c>
      <c r="AD298">
        <v>0</v>
      </c>
      <c r="AE298">
        <v>0</v>
      </c>
      <c r="AF298">
        <v>0</v>
      </c>
      <c r="AG298">
        <v>0</v>
      </c>
      <c r="AH298" s="3372">
        <v>2</v>
      </c>
      <c r="AI298">
        <v>0</v>
      </c>
      <c r="AJ298">
        <v>1</v>
      </c>
      <c r="AK298">
        <v>0</v>
      </c>
      <c r="AL298">
        <v>0</v>
      </c>
      <c r="AM298">
        <v>0</v>
      </c>
      <c r="AN298">
        <v>2</v>
      </c>
      <c r="AO298">
        <v>0</v>
      </c>
      <c r="AP298" s="3373">
        <v>0</v>
      </c>
      <c r="AQ298">
        <v>0</v>
      </c>
      <c r="AR298">
        <v>0</v>
      </c>
      <c r="AS298">
        <v>0</v>
      </c>
      <c r="AT298">
        <v>0</v>
      </c>
      <c r="AU298" s="3374"/>
      <c r="BC298" s="3375"/>
      <c r="BH298" s="3376"/>
      <c r="BP298" s="3377"/>
      <c r="BU298" s="3378"/>
      <c r="CC298" s="3379"/>
    </row>
    <row r="299" spans="1:88" x14ac:dyDescent="0.25">
      <c r="A299" s="3380" t="s">
        <v>1265</v>
      </c>
      <c r="B299">
        <v>0.53</v>
      </c>
      <c r="C299">
        <v>1.17</v>
      </c>
      <c r="D299">
        <v>0.94</v>
      </c>
      <c r="H299" s="3381">
        <v>2</v>
      </c>
      <c r="I299">
        <v>2</v>
      </c>
      <c r="J299">
        <v>0</v>
      </c>
      <c r="K299">
        <v>0</v>
      </c>
      <c r="L299">
        <v>0</v>
      </c>
      <c r="M299">
        <v>0</v>
      </c>
      <c r="N299">
        <v>1</v>
      </c>
      <c r="O299">
        <v>0</v>
      </c>
      <c r="P299" s="3382">
        <v>0</v>
      </c>
      <c r="Q299">
        <v>0</v>
      </c>
      <c r="R299">
        <v>0</v>
      </c>
      <c r="S299">
        <v>0</v>
      </c>
      <c r="T299">
        <v>0</v>
      </c>
      <c r="U299" s="3383">
        <v>0</v>
      </c>
      <c r="V299">
        <v>1</v>
      </c>
      <c r="W299">
        <v>1</v>
      </c>
      <c r="X299">
        <v>1</v>
      </c>
      <c r="Y299">
        <v>0</v>
      </c>
      <c r="Z299">
        <v>0</v>
      </c>
      <c r="AA299">
        <v>7</v>
      </c>
      <c r="AB299">
        <v>1</v>
      </c>
      <c r="AC299" s="3384">
        <v>0</v>
      </c>
      <c r="AD299">
        <v>1</v>
      </c>
      <c r="AE299">
        <v>0</v>
      </c>
      <c r="AF299">
        <v>0</v>
      </c>
      <c r="AG299">
        <v>0</v>
      </c>
      <c r="AH299" s="3385">
        <v>2</v>
      </c>
      <c r="AI299">
        <v>2</v>
      </c>
      <c r="AJ299">
        <v>1</v>
      </c>
      <c r="AK299">
        <v>0</v>
      </c>
      <c r="AL299">
        <v>0</v>
      </c>
      <c r="AM299">
        <v>1</v>
      </c>
      <c r="AN299">
        <v>1</v>
      </c>
      <c r="AO299">
        <v>2</v>
      </c>
      <c r="AP299" s="3386">
        <v>1</v>
      </c>
      <c r="AQ299">
        <v>0</v>
      </c>
      <c r="AR299">
        <v>0</v>
      </c>
      <c r="AS299">
        <v>0</v>
      </c>
      <c r="AT299">
        <v>0</v>
      </c>
      <c r="AU299" s="3387"/>
      <c r="BC299" s="3388"/>
      <c r="BH299" s="3389"/>
      <c r="BP299" s="3390"/>
      <c r="BU299" s="3391"/>
      <c r="CC299" s="3392"/>
    </row>
    <row r="300" spans="1:88" x14ac:dyDescent="0.25">
      <c r="A300" s="3393" t="s">
        <v>1266</v>
      </c>
      <c r="B300">
        <v>1.63</v>
      </c>
      <c r="C300">
        <v>1.22</v>
      </c>
      <c r="D300">
        <v>1.61</v>
      </c>
      <c r="H300" s="3394">
        <v>1</v>
      </c>
      <c r="I300">
        <v>2</v>
      </c>
      <c r="J300">
        <v>1</v>
      </c>
      <c r="K300">
        <v>0</v>
      </c>
      <c r="L300">
        <v>0</v>
      </c>
      <c r="M300">
        <v>0</v>
      </c>
      <c r="N300">
        <v>3</v>
      </c>
      <c r="O300">
        <v>2</v>
      </c>
      <c r="P300" s="3395">
        <v>0</v>
      </c>
      <c r="Q300">
        <v>0</v>
      </c>
      <c r="R300">
        <v>0</v>
      </c>
      <c r="S300">
        <v>0</v>
      </c>
      <c r="T300">
        <v>0</v>
      </c>
      <c r="U300" s="3396">
        <v>0</v>
      </c>
      <c r="V300">
        <v>4</v>
      </c>
      <c r="W300">
        <v>1</v>
      </c>
      <c r="X300">
        <v>0</v>
      </c>
      <c r="Y300">
        <v>0</v>
      </c>
      <c r="Z300">
        <v>0</v>
      </c>
      <c r="AA300">
        <v>2</v>
      </c>
      <c r="AB300">
        <v>0</v>
      </c>
      <c r="AC300" s="3397">
        <v>0</v>
      </c>
      <c r="AD300">
        <v>0</v>
      </c>
      <c r="AE300">
        <v>1</v>
      </c>
      <c r="AF300">
        <v>0</v>
      </c>
      <c r="AG300">
        <v>0</v>
      </c>
      <c r="AH300" s="3398">
        <v>2</v>
      </c>
      <c r="AI300">
        <v>4</v>
      </c>
      <c r="AJ300">
        <v>2</v>
      </c>
      <c r="AK300">
        <v>1</v>
      </c>
      <c r="AL300">
        <v>0</v>
      </c>
      <c r="AM300">
        <v>0</v>
      </c>
      <c r="AN300">
        <v>5</v>
      </c>
      <c r="AO300">
        <v>1</v>
      </c>
      <c r="AP300" s="3399">
        <v>0</v>
      </c>
      <c r="AQ300">
        <v>0</v>
      </c>
      <c r="AR300">
        <v>0</v>
      </c>
      <c r="AS300">
        <v>0</v>
      </c>
      <c r="AT300">
        <v>0</v>
      </c>
      <c r="AU300" s="3400"/>
      <c r="BC300" s="3401"/>
      <c r="BH300" s="3402"/>
      <c r="BP300" s="3403"/>
      <c r="BU300" s="3404"/>
      <c r="CC300" s="3405"/>
    </row>
    <row r="301" spans="1:88" x14ac:dyDescent="0.25">
      <c r="A301" s="3406" t="s">
        <v>1267</v>
      </c>
      <c r="B301">
        <v>1.28</v>
      </c>
      <c r="C301">
        <v>1.36</v>
      </c>
      <c r="D301">
        <v>1.85</v>
      </c>
      <c r="H301" s="3407">
        <v>2</v>
      </c>
      <c r="I301">
        <v>4</v>
      </c>
      <c r="J301">
        <v>2</v>
      </c>
      <c r="K301">
        <v>1</v>
      </c>
      <c r="L301">
        <v>0</v>
      </c>
      <c r="M301">
        <v>0</v>
      </c>
      <c r="N301">
        <v>2</v>
      </c>
      <c r="O301">
        <v>0</v>
      </c>
      <c r="P301" s="3408">
        <v>0</v>
      </c>
      <c r="Q301">
        <v>0</v>
      </c>
      <c r="R301">
        <v>0</v>
      </c>
      <c r="S301">
        <v>0</v>
      </c>
      <c r="T301">
        <v>1</v>
      </c>
      <c r="U301" s="3409">
        <v>3</v>
      </c>
      <c r="V301">
        <v>1</v>
      </c>
      <c r="W301">
        <v>1</v>
      </c>
      <c r="X301">
        <v>0</v>
      </c>
      <c r="Y301">
        <v>0</v>
      </c>
      <c r="Z301">
        <v>0</v>
      </c>
      <c r="AA301">
        <v>8</v>
      </c>
      <c r="AB301">
        <v>1</v>
      </c>
      <c r="AC301" s="3410">
        <v>0</v>
      </c>
      <c r="AD301">
        <v>0</v>
      </c>
      <c r="AE301">
        <v>0</v>
      </c>
      <c r="AF301">
        <v>0</v>
      </c>
      <c r="AG301">
        <v>0</v>
      </c>
      <c r="AH301" s="3411">
        <v>0</v>
      </c>
      <c r="AI301">
        <v>4</v>
      </c>
      <c r="AJ301">
        <v>3</v>
      </c>
      <c r="AK301">
        <v>0</v>
      </c>
      <c r="AL301">
        <v>0</v>
      </c>
      <c r="AM301">
        <v>0</v>
      </c>
      <c r="AN301">
        <v>2</v>
      </c>
      <c r="AO301">
        <v>0</v>
      </c>
      <c r="AP301" s="3412">
        <v>1</v>
      </c>
      <c r="AQ301">
        <v>0</v>
      </c>
      <c r="AR301">
        <v>1</v>
      </c>
      <c r="AS301">
        <v>0</v>
      </c>
      <c r="AT301">
        <v>0</v>
      </c>
      <c r="AU301" s="3413"/>
      <c r="BC301" s="3414"/>
      <c r="BH301" s="3415"/>
      <c r="BP301" s="3416"/>
      <c r="BU301" s="3417"/>
      <c r="CC301" s="3418"/>
    </row>
    <row r="302" spans="1:88" x14ac:dyDescent="0.25">
      <c r="A302" s="3419" t="s">
        <v>1268</v>
      </c>
      <c r="B302">
        <v>1.27</v>
      </c>
      <c r="C302">
        <v>1</v>
      </c>
      <c r="D302">
        <v>0.73</v>
      </c>
      <c r="H302" s="3420">
        <v>0</v>
      </c>
      <c r="I302">
        <v>3</v>
      </c>
      <c r="J302">
        <v>1</v>
      </c>
      <c r="K302">
        <v>1</v>
      </c>
      <c r="L302">
        <v>0</v>
      </c>
      <c r="M302">
        <v>1</v>
      </c>
      <c r="N302">
        <v>3</v>
      </c>
      <c r="O302">
        <v>1</v>
      </c>
      <c r="P302" s="3421">
        <v>1</v>
      </c>
      <c r="Q302">
        <v>0</v>
      </c>
      <c r="R302">
        <v>0</v>
      </c>
      <c r="S302">
        <v>0</v>
      </c>
      <c r="T302">
        <v>0</v>
      </c>
      <c r="U302" s="3422">
        <v>3</v>
      </c>
      <c r="V302">
        <v>1</v>
      </c>
      <c r="W302">
        <v>1</v>
      </c>
      <c r="X302">
        <v>0</v>
      </c>
      <c r="Y302">
        <v>0</v>
      </c>
      <c r="Z302">
        <v>0</v>
      </c>
      <c r="AA302">
        <v>2</v>
      </c>
      <c r="AB302">
        <v>0</v>
      </c>
      <c r="AC302" s="3423">
        <v>0</v>
      </c>
      <c r="AD302">
        <v>0</v>
      </c>
      <c r="AE302">
        <v>0</v>
      </c>
      <c r="AF302">
        <v>0</v>
      </c>
      <c r="AG302">
        <v>0</v>
      </c>
      <c r="AH302" s="3424">
        <v>0</v>
      </c>
      <c r="AI302">
        <v>2</v>
      </c>
      <c r="AJ302">
        <v>0</v>
      </c>
      <c r="AK302">
        <v>0</v>
      </c>
      <c r="AL302">
        <v>0</v>
      </c>
      <c r="AM302">
        <v>0</v>
      </c>
      <c r="AN302">
        <v>2</v>
      </c>
      <c r="AO302">
        <v>1</v>
      </c>
      <c r="AP302" s="3425">
        <v>0</v>
      </c>
      <c r="AQ302">
        <v>0</v>
      </c>
      <c r="AR302">
        <v>0</v>
      </c>
      <c r="AS302">
        <v>0</v>
      </c>
      <c r="AT302">
        <v>0</v>
      </c>
      <c r="AU302" s="3426"/>
      <c r="BC302" s="3427"/>
      <c r="BH302" s="3428"/>
      <c r="BP302" s="3429"/>
      <c r="BU302" s="3430"/>
      <c r="CC302" s="3431"/>
      <c r="CJ302" t="s">
        <v>1270</v>
      </c>
    </row>
    <row r="303" spans="1:88" x14ac:dyDescent="0.25">
      <c r="A303" s="3432" t="s">
        <v>1269</v>
      </c>
      <c r="B303">
        <v>1.4</v>
      </c>
      <c r="C303">
        <v>0.74</v>
      </c>
      <c r="D303">
        <v>1.42</v>
      </c>
      <c r="H303" s="3433">
        <v>1</v>
      </c>
      <c r="I303">
        <v>2</v>
      </c>
      <c r="J303">
        <v>2</v>
      </c>
      <c r="K303">
        <v>0</v>
      </c>
      <c r="L303">
        <v>1</v>
      </c>
      <c r="M303">
        <v>0</v>
      </c>
      <c r="N303">
        <v>4</v>
      </c>
      <c r="O303">
        <v>1</v>
      </c>
      <c r="P303" s="3434">
        <v>1</v>
      </c>
      <c r="Q303">
        <v>0</v>
      </c>
      <c r="R303">
        <v>0</v>
      </c>
      <c r="S303">
        <v>0</v>
      </c>
      <c r="T303">
        <v>0</v>
      </c>
      <c r="U303" s="3435">
        <v>1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5</v>
      </c>
      <c r="AB303">
        <v>0</v>
      </c>
      <c r="AC303" s="3436">
        <v>0</v>
      </c>
      <c r="AD303">
        <v>0</v>
      </c>
      <c r="AE303">
        <v>0</v>
      </c>
      <c r="AF303">
        <v>0</v>
      </c>
      <c r="AG303">
        <v>0</v>
      </c>
      <c r="AH303" s="3437">
        <v>1</v>
      </c>
      <c r="AI303">
        <v>4</v>
      </c>
      <c r="AJ303">
        <v>1</v>
      </c>
      <c r="AK303">
        <v>0</v>
      </c>
      <c r="AL303">
        <v>0</v>
      </c>
      <c r="AM303">
        <v>1</v>
      </c>
      <c r="AN303">
        <v>7</v>
      </c>
      <c r="AO303">
        <v>1</v>
      </c>
      <c r="AP303" s="3438">
        <v>1</v>
      </c>
      <c r="AQ303">
        <v>0</v>
      </c>
      <c r="AR303">
        <v>0</v>
      </c>
      <c r="AS303">
        <v>0</v>
      </c>
      <c r="AT303">
        <v>0</v>
      </c>
      <c r="AU303" s="3439"/>
      <c r="BC303" s="3440"/>
      <c r="BH303" s="3441"/>
      <c r="BP303" s="3442"/>
      <c r="BU303" s="3443"/>
      <c r="CC303" s="3444"/>
    </row>
    <row r="304" spans="1:88" x14ac:dyDescent="0.25">
      <c r="A304" s="40" t="s">
        <v>1273</v>
      </c>
      <c r="B304" s="40"/>
      <c r="C304" s="40"/>
      <c r="D304" s="40"/>
      <c r="E304" s="40"/>
      <c r="F304" s="40"/>
      <c r="G304" s="40"/>
      <c r="H304" s="3475"/>
      <c r="P304" s="3476"/>
      <c r="U304" s="3477"/>
      <c r="AC304" s="3478"/>
      <c r="AH304" s="3479"/>
      <c r="AP304" s="3480"/>
      <c r="AU304" s="3481"/>
      <c r="BC304" s="3482"/>
      <c r="BH304" s="3483"/>
      <c r="BP304" s="3484"/>
      <c r="BU304" s="3485"/>
      <c r="CC304" s="3486"/>
    </row>
    <row r="305" spans="1:90" x14ac:dyDescent="0.25">
      <c r="A305" s="3487" t="s">
        <v>1277</v>
      </c>
      <c r="B305">
        <v>0.55000000000000004</v>
      </c>
      <c r="C305">
        <v>0.69</v>
      </c>
      <c r="H305" s="3488">
        <v>1</v>
      </c>
      <c r="I305">
        <v>1</v>
      </c>
      <c r="J305">
        <v>0</v>
      </c>
      <c r="K305">
        <v>0</v>
      </c>
      <c r="L305">
        <v>0</v>
      </c>
      <c r="M305">
        <v>0</v>
      </c>
      <c r="N305">
        <v>2</v>
      </c>
      <c r="O305">
        <v>2</v>
      </c>
      <c r="P305" s="3489">
        <v>0</v>
      </c>
      <c r="Q305">
        <v>0</v>
      </c>
      <c r="R305">
        <v>0</v>
      </c>
      <c r="S305">
        <v>0</v>
      </c>
      <c r="T305">
        <v>0</v>
      </c>
      <c r="U305" s="3490">
        <v>2</v>
      </c>
      <c r="V305">
        <v>0</v>
      </c>
      <c r="W305">
        <v>1</v>
      </c>
      <c r="X305">
        <v>0</v>
      </c>
      <c r="Y305">
        <v>0</v>
      </c>
      <c r="Z305">
        <v>0</v>
      </c>
      <c r="AA305">
        <v>2</v>
      </c>
      <c r="AB305">
        <v>0</v>
      </c>
      <c r="AC305" s="3491">
        <v>0</v>
      </c>
      <c r="AD305">
        <v>0</v>
      </c>
      <c r="AE305">
        <v>0</v>
      </c>
      <c r="AF305">
        <v>0</v>
      </c>
      <c r="AG305">
        <v>0</v>
      </c>
      <c r="AH305" s="3492"/>
      <c r="AP305" s="3493"/>
      <c r="AU305" s="3494"/>
      <c r="BC305" s="3495"/>
      <c r="BH305" s="3496"/>
      <c r="BP305" s="3497"/>
      <c r="BU305" s="3498"/>
      <c r="CC305" s="3499"/>
    </row>
    <row r="306" spans="1:90" x14ac:dyDescent="0.25">
      <c r="A306" s="3500" t="s">
        <v>1278</v>
      </c>
      <c r="B306">
        <v>1.31</v>
      </c>
      <c r="C306">
        <v>1.21</v>
      </c>
      <c r="H306" s="3501">
        <v>0</v>
      </c>
      <c r="I306">
        <v>2</v>
      </c>
      <c r="J306">
        <v>1</v>
      </c>
      <c r="K306">
        <v>0</v>
      </c>
      <c r="L306">
        <v>0</v>
      </c>
      <c r="M306">
        <v>1</v>
      </c>
      <c r="N306">
        <v>4</v>
      </c>
      <c r="O306">
        <v>1</v>
      </c>
      <c r="P306" s="3502">
        <v>0</v>
      </c>
      <c r="Q306">
        <v>0</v>
      </c>
      <c r="R306">
        <v>0</v>
      </c>
      <c r="S306">
        <v>0</v>
      </c>
      <c r="T306">
        <v>0</v>
      </c>
      <c r="U306" s="3503">
        <v>1</v>
      </c>
      <c r="V306">
        <v>1</v>
      </c>
      <c r="W306">
        <v>1</v>
      </c>
      <c r="X306">
        <v>0</v>
      </c>
      <c r="Y306">
        <v>0</v>
      </c>
      <c r="Z306">
        <v>0</v>
      </c>
      <c r="AA306">
        <v>3</v>
      </c>
      <c r="AB306">
        <v>0</v>
      </c>
      <c r="AC306" s="3504">
        <v>0</v>
      </c>
      <c r="AD306">
        <v>0</v>
      </c>
      <c r="AE306">
        <v>0</v>
      </c>
      <c r="AF306">
        <v>0</v>
      </c>
      <c r="AG306">
        <v>0</v>
      </c>
      <c r="AH306" s="3505"/>
      <c r="AP306" s="3506"/>
      <c r="AU306" s="3507"/>
      <c r="BC306" s="3508"/>
      <c r="BH306" s="3509"/>
      <c r="BP306" s="3510"/>
      <c r="BU306" s="3511"/>
      <c r="CC306" s="3512"/>
    </row>
    <row r="307" spans="1:90" x14ac:dyDescent="0.25">
      <c r="A307" s="3513" t="s">
        <v>1279</v>
      </c>
      <c r="B307">
        <v>1.49</v>
      </c>
      <c r="C307">
        <v>1.45</v>
      </c>
      <c r="H307" s="3514">
        <v>0</v>
      </c>
      <c r="I307">
        <v>0</v>
      </c>
      <c r="J307">
        <v>1</v>
      </c>
      <c r="K307">
        <v>1</v>
      </c>
      <c r="L307">
        <v>0</v>
      </c>
      <c r="M307">
        <v>0</v>
      </c>
      <c r="N307">
        <v>6</v>
      </c>
      <c r="O307">
        <v>0</v>
      </c>
      <c r="P307" s="3515">
        <v>0</v>
      </c>
      <c r="Q307">
        <v>0</v>
      </c>
      <c r="R307">
        <v>0</v>
      </c>
      <c r="S307">
        <v>0</v>
      </c>
      <c r="T307">
        <v>0</v>
      </c>
      <c r="U307" s="3516">
        <v>1</v>
      </c>
      <c r="V307">
        <v>0</v>
      </c>
      <c r="W307">
        <v>2</v>
      </c>
      <c r="X307">
        <v>0</v>
      </c>
      <c r="Y307">
        <v>0</v>
      </c>
      <c r="Z307">
        <v>1</v>
      </c>
      <c r="AA307">
        <v>7</v>
      </c>
      <c r="AB307">
        <v>0</v>
      </c>
      <c r="AC307" s="3517">
        <v>1</v>
      </c>
      <c r="AD307">
        <v>0</v>
      </c>
      <c r="AE307">
        <v>0</v>
      </c>
      <c r="AF307">
        <v>0</v>
      </c>
      <c r="AG307">
        <v>0</v>
      </c>
      <c r="AH307" s="3518"/>
      <c r="AP307" s="3519"/>
      <c r="AU307" s="3520"/>
      <c r="BC307" s="3521"/>
      <c r="BH307" s="3522"/>
      <c r="BP307" s="3523"/>
      <c r="BU307" s="3524"/>
      <c r="CC307" s="3525"/>
    </row>
    <row r="308" spans="1:90" ht="15.75" customHeight="1" x14ac:dyDescent="0.25">
      <c r="A308" s="3526" t="s">
        <v>1281</v>
      </c>
      <c r="B308">
        <v>1.4</v>
      </c>
      <c r="C308">
        <v>0.6</v>
      </c>
      <c r="H308" s="3527">
        <v>0</v>
      </c>
      <c r="I308">
        <v>3</v>
      </c>
      <c r="J308">
        <v>1</v>
      </c>
      <c r="K308">
        <v>1</v>
      </c>
      <c r="L308">
        <v>0</v>
      </c>
      <c r="M308">
        <v>0</v>
      </c>
      <c r="N308">
        <v>3</v>
      </c>
      <c r="O308">
        <v>1</v>
      </c>
      <c r="P308" s="3528">
        <v>0</v>
      </c>
      <c r="Q308">
        <v>0</v>
      </c>
      <c r="R308">
        <v>0</v>
      </c>
      <c r="S308">
        <v>0</v>
      </c>
      <c r="T308">
        <v>0</v>
      </c>
      <c r="U308" s="3529">
        <v>0</v>
      </c>
      <c r="V308">
        <v>1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 s="3530">
        <v>0</v>
      </c>
      <c r="AD308">
        <v>0</v>
      </c>
      <c r="AE308">
        <v>0</v>
      </c>
      <c r="AF308">
        <v>0</v>
      </c>
      <c r="AG308">
        <v>0</v>
      </c>
      <c r="AH308" s="3531"/>
      <c r="AP308" s="3532"/>
      <c r="AU308" s="3533"/>
      <c r="BC308" s="3534"/>
      <c r="BH308" s="3535"/>
      <c r="BP308" s="3536"/>
      <c r="BU308" s="3537"/>
      <c r="CC308" s="3538"/>
      <c r="CJ308" s="3592" t="s">
        <v>1299</v>
      </c>
      <c r="CK308" s="3591"/>
      <c r="CL308" s="3591"/>
    </row>
    <row r="309" spans="1:90" x14ac:dyDescent="0.25">
      <c r="A309" s="3539" t="s">
        <v>1283</v>
      </c>
      <c r="B309">
        <v>0.49</v>
      </c>
      <c r="C309">
        <v>0.36</v>
      </c>
      <c r="H309" s="3540">
        <v>1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1</v>
      </c>
      <c r="O309">
        <v>1</v>
      </c>
      <c r="P309" s="3541">
        <v>1</v>
      </c>
      <c r="Q309">
        <v>0</v>
      </c>
      <c r="R309">
        <v>0</v>
      </c>
      <c r="S309">
        <v>0</v>
      </c>
      <c r="T309">
        <v>0</v>
      </c>
      <c r="U309" s="3542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1</v>
      </c>
      <c r="AB309">
        <v>1</v>
      </c>
      <c r="AC309" s="3543">
        <v>0</v>
      </c>
      <c r="AD309">
        <v>0</v>
      </c>
      <c r="AE309">
        <v>0</v>
      </c>
      <c r="AF309">
        <v>0</v>
      </c>
      <c r="AG309">
        <v>0</v>
      </c>
      <c r="AH309" s="3544"/>
      <c r="AP309" s="3545"/>
      <c r="AU309" s="3546"/>
      <c r="BC309" s="3547"/>
      <c r="BH309" s="3548"/>
      <c r="BP309" s="3549"/>
      <c r="BU309" s="3550"/>
      <c r="CC309" s="3551"/>
    </row>
    <row r="310" spans="1:90" x14ac:dyDescent="0.25">
      <c r="A310" s="3552" t="s">
        <v>633</v>
      </c>
      <c r="B310">
        <v>2.0499999999999998</v>
      </c>
      <c r="C310">
        <v>1.17</v>
      </c>
      <c r="H310" s="3553">
        <v>0</v>
      </c>
      <c r="I310">
        <v>4</v>
      </c>
      <c r="J310">
        <v>1</v>
      </c>
      <c r="K310">
        <v>1</v>
      </c>
      <c r="L310">
        <v>0</v>
      </c>
      <c r="M310">
        <v>0</v>
      </c>
      <c r="N310">
        <v>1</v>
      </c>
      <c r="O310">
        <v>0</v>
      </c>
      <c r="P310" s="3554">
        <v>0</v>
      </c>
      <c r="Q310">
        <v>0</v>
      </c>
      <c r="R310">
        <v>0</v>
      </c>
      <c r="S310">
        <v>0</v>
      </c>
      <c r="T310">
        <v>0</v>
      </c>
      <c r="U310" s="3555">
        <v>0</v>
      </c>
      <c r="V310">
        <v>0</v>
      </c>
      <c r="W310">
        <v>0</v>
      </c>
      <c r="X310">
        <v>0</v>
      </c>
      <c r="Y310">
        <v>0</v>
      </c>
      <c r="Z310">
        <v>1</v>
      </c>
      <c r="AA310">
        <v>2</v>
      </c>
      <c r="AB310">
        <v>0</v>
      </c>
      <c r="AC310" s="3556">
        <v>0</v>
      </c>
      <c r="AD310">
        <v>0</v>
      </c>
      <c r="AE310">
        <v>0</v>
      </c>
      <c r="AF310">
        <v>0</v>
      </c>
      <c r="AG310">
        <v>0</v>
      </c>
      <c r="AH310" s="3557"/>
      <c r="AP310" s="3558"/>
      <c r="AU310" s="3559"/>
      <c r="BC310" s="3560"/>
      <c r="BH310" s="3561"/>
      <c r="BP310" s="3562"/>
      <c r="BU310" s="3563"/>
      <c r="CC310" s="3564"/>
    </row>
    <row r="311" spans="1:90" x14ac:dyDescent="0.25">
      <c r="A311" s="3565" t="s">
        <v>1284</v>
      </c>
      <c r="B311">
        <v>0.99</v>
      </c>
      <c r="C311">
        <v>1.42</v>
      </c>
      <c r="H311" s="3566">
        <v>0</v>
      </c>
      <c r="I311">
        <v>1</v>
      </c>
      <c r="J311">
        <v>1</v>
      </c>
      <c r="K311">
        <v>0</v>
      </c>
      <c r="L311">
        <v>0</v>
      </c>
      <c r="M311">
        <v>0</v>
      </c>
      <c r="N311">
        <v>1</v>
      </c>
      <c r="O311">
        <v>2</v>
      </c>
      <c r="P311" s="3567">
        <v>1</v>
      </c>
      <c r="Q311">
        <v>0</v>
      </c>
      <c r="R311">
        <v>0</v>
      </c>
      <c r="S311">
        <v>0</v>
      </c>
      <c r="T311">
        <v>0</v>
      </c>
      <c r="U311" s="3568">
        <v>0</v>
      </c>
      <c r="V311">
        <v>2</v>
      </c>
      <c r="W311">
        <v>3</v>
      </c>
      <c r="X311">
        <v>0</v>
      </c>
      <c r="Y311">
        <v>0</v>
      </c>
      <c r="Z311">
        <v>0</v>
      </c>
      <c r="AA311">
        <v>6</v>
      </c>
      <c r="AB311">
        <v>0</v>
      </c>
      <c r="AC311" s="3569">
        <v>1</v>
      </c>
      <c r="AD311">
        <v>0</v>
      </c>
      <c r="AE311">
        <v>0</v>
      </c>
      <c r="AF311">
        <v>0</v>
      </c>
      <c r="AG311">
        <v>0</v>
      </c>
      <c r="AH311" s="3570"/>
      <c r="AP311" s="3571"/>
      <c r="AU311" s="3572"/>
      <c r="BC311" s="3573"/>
      <c r="BH311" s="3574"/>
      <c r="BP311" s="3575"/>
      <c r="BU311" s="3576"/>
      <c r="CC311" s="3577"/>
    </row>
    <row r="312" spans="1:90" x14ac:dyDescent="0.25">
      <c r="A312" s="3578" t="s">
        <v>1285</v>
      </c>
      <c r="B312">
        <v>1.08</v>
      </c>
      <c r="C312">
        <v>1.29</v>
      </c>
      <c r="H312" s="3579">
        <v>1</v>
      </c>
      <c r="I312">
        <v>4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 s="3580">
        <v>0</v>
      </c>
      <c r="Q312">
        <v>0</v>
      </c>
      <c r="R312">
        <v>0</v>
      </c>
      <c r="S312">
        <v>0</v>
      </c>
      <c r="T312">
        <v>0</v>
      </c>
      <c r="U312" s="3581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5</v>
      </c>
      <c r="AB312">
        <v>1</v>
      </c>
      <c r="AC312" s="3582">
        <v>0</v>
      </c>
      <c r="AD312">
        <v>0</v>
      </c>
      <c r="AE312">
        <v>0</v>
      </c>
      <c r="AF312">
        <v>0</v>
      </c>
      <c r="AG312">
        <v>0</v>
      </c>
      <c r="AH312" s="3583"/>
      <c r="AP312" s="3584"/>
      <c r="AU312" s="3585"/>
      <c r="BC312" s="3586"/>
      <c r="BH312" s="3587"/>
      <c r="BP312" s="3588"/>
      <c r="BU312" s="3589"/>
      <c r="CC312" s="3590"/>
    </row>
    <row r="313" spans="1:90" x14ac:dyDescent="0.25">
      <c r="A313" s="40" t="s">
        <v>1286</v>
      </c>
      <c r="B313" s="40"/>
      <c r="C313" s="40"/>
      <c r="D313" s="40"/>
      <c r="E313" s="40"/>
      <c r="F313" s="40"/>
      <c r="G313" s="40"/>
      <c r="H313" s="3600"/>
      <c r="P313" s="3601"/>
      <c r="U313" s="3602"/>
      <c r="AC313" s="3603"/>
      <c r="AH313" s="3604"/>
      <c r="AP313" s="3605"/>
      <c r="AU313" s="3606"/>
      <c r="BC313" s="3607"/>
      <c r="BH313" s="3608"/>
      <c r="BP313" s="3609"/>
      <c r="BU313" s="3610"/>
      <c r="CC313" s="3611"/>
    </row>
    <row r="314" spans="1:90" x14ac:dyDescent="0.25">
      <c r="A314" s="3612" t="s">
        <v>1295</v>
      </c>
      <c r="B314">
        <v>0.98</v>
      </c>
      <c r="C314">
        <v>1.34</v>
      </c>
      <c r="D314">
        <v>1.74</v>
      </c>
      <c r="H314" s="3613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 s="3614">
        <v>0</v>
      </c>
      <c r="Q314">
        <v>0</v>
      </c>
      <c r="R314">
        <v>0</v>
      </c>
      <c r="S314">
        <v>0</v>
      </c>
      <c r="T314">
        <v>0</v>
      </c>
      <c r="U314" s="3615">
        <v>0</v>
      </c>
      <c r="V314">
        <v>0</v>
      </c>
      <c r="W314">
        <v>1</v>
      </c>
      <c r="X314">
        <v>0</v>
      </c>
      <c r="Y314">
        <v>0</v>
      </c>
      <c r="Z314">
        <v>0</v>
      </c>
      <c r="AA314">
        <v>0</v>
      </c>
      <c r="AB314">
        <v>0</v>
      </c>
      <c r="AC314" s="3616">
        <v>0</v>
      </c>
      <c r="AD314">
        <v>1</v>
      </c>
      <c r="AE314">
        <v>0</v>
      </c>
      <c r="AF314">
        <v>0</v>
      </c>
      <c r="AG314">
        <v>0</v>
      </c>
      <c r="AH314" s="3617">
        <v>3</v>
      </c>
      <c r="AI314">
        <v>5</v>
      </c>
      <c r="AJ314">
        <v>0</v>
      </c>
      <c r="AK314">
        <v>1</v>
      </c>
      <c r="AL314">
        <v>0</v>
      </c>
      <c r="AM314">
        <v>0</v>
      </c>
      <c r="AN314">
        <v>2</v>
      </c>
      <c r="AO314">
        <v>0</v>
      </c>
      <c r="AP314" s="3618">
        <v>0</v>
      </c>
      <c r="AQ314">
        <v>0</v>
      </c>
      <c r="AR314">
        <v>1</v>
      </c>
      <c r="AS314">
        <v>0</v>
      </c>
      <c r="AT314">
        <v>0</v>
      </c>
      <c r="AU314" s="3619"/>
      <c r="BC314" s="3620"/>
      <c r="BH314" s="3621"/>
      <c r="BP314" s="3622"/>
      <c r="BU314" s="3623"/>
      <c r="CC314" s="3624"/>
    </row>
    <row r="315" spans="1:90" x14ac:dyDescent="0.25">
      <c r="A315" s="3625" t="s">
        <v>1296</v>
      </c>
      <c r="B315">
        <v>1.1499999999999999</v>
      </c>
      <c r="C315">
        <v>1.29</v>
      </c>
      <c r="D315">
        <v>1.23</v>
      </c>
      <c r="H315" s="3626">
        <v>1</v>
      </c>
      <c r="I315">
        <v>4</v>
      </c>
      <c r="J315">
        <v>1</v>
      </c>
      <c r="K315">
        <v>0</v>
      </c>
      <c r="L315">
        <v>0</v>
      </c>
      <c r="M315">
        <v>0</v>
      </c>
      <c r="N315">
        <v>2</v>
      </c>
      <c r="O315">
        <v>0</v>
      </c>
      <c r="P315" s="3627">
        <v>0</v>
      </c>
      <c r="Q315">
        <v>0</v>
      </c>
      <c r="R315">
        <v>0</v>
      </c>
      <c r="S315">
        <v>0</v>
      </c>
      <c r="T315">
        <v>0</v>
      </c>
      <c r="U315" s="3628">
        <v>1</v>
      </c>
      <c r="V315">
        <v>1</v>
      </c>
      <c r="W315">
        <v>0</v>
      </c>
      <c r="X315">
        <v>0</v>
      </c>
      <c r="Y315">
        <v>0</v>
      </c>
      <c r="Z315">
        <v>0</v>
      </c>
      <c r="AA315">
        <v>2</v>
      </c>
      <c r="AB315">
        <v>1</v>
      </c>
      <c r="AC315" s="3629">
        <v>0</v>
      </c>
      <c r="AD315">
        <v>0</v>
      </c>
      <c r="AE315">
        <v>0</v>
      </c>
      <c r="AF315">
        <v>0</v>
      </c>
      <c r="AG315">
        <v>0</v>
      </c>
      <c r="AH315" s="3630">
        <v>3</v>
      </c>
      <c r="AI315">
        <v>2</v>
      </c>
      <c r="AJ315">
        <v>3</v>
      </c>
      <c r="AK315">
        <v>0</v>
      </c>
      <c r="AL315">
        <v>0</v>
      </c>
      <c r="AM315">
        <v>0</v>
      </c>
      <c r="AN315">
        <v>2</v>
      </c>
      <c r="AO315">
        <v>1</v>
      </c>
      <c r="AP315" s="3631">
        <v>0</v>
      </c>
      <c r="AQ315">
        <v>0</v>
      </c>
      <c r="AR315">
        <v>0</v>
      </c>
      <c r="AS315">
        <v>0</v>
      </c>
      <c r="AT315">
        <v>0</v>
      </c>
      <c r="AU315" s="3632"/>
      <c r="BC315" s="3633"/>
      <c r="BH315" s="3634"/>
      <c r="BP315" s="3635"/>
      <c r="BU315" s="3636"/>
      <c r="CC315" s="3637"/>
    </row>
    <row r="316" spans="1:90" x14ac:dyDescent="0.25">
      <c r="A316" s="3638" t="s">
        <v>1297</v>
      </c>
      <c r="B316">
        <v>1.1100000000000001</v>
      </c>
      <c r="C316">
        <v>1.06</v>
      </c>
      <c r="D316">
        <v>1.5</v>
      </c>
      <c r="H316" s="3639">
        <v>5</v>
      </c>
      <c r="I316">
        <v>3</v>
      </c>
      <c r="J316">
        <v>0</v>
      </c>
      <c r="K316">
        <v>0</v>
      </c>
      <c r="L316">
        <v>0</v>
      </c>
      <c r="M316">
        <v>1</v>
      </c>
      <c r="N316">
        <v>2</v>
      </c>
      <c r="O316">
        <v>0</v>
      </c>
      <c r="P316" s="3640">
        <v>0</v>
      </c>
      <c r="Q316">
        <v>0</v>
      </c>
      <c r="R316">
        <v>0</v>
      </c>
      <c r="S316">
        <v>0</v>
      </c>
      <c r="T316">
        <v>0</v>
      </c>
      <c r="U316" s="3641">
        <v>2</v>
      </c>
      <c r="V316">
        <v>2</v>
      </c>
      <c r="W316">
        <v>2</v>
      </c>
      <c r="X316">
        <v>0</v>
      </c>
      <c r="Y316">
        <v>0</v>
      </c>
      <c r="Z316">
        <v>0</v>
      </c>
      <c r="AA316">
        <v>4</v>
      </c>
      <c r="AB316">
        <v>0</v>
      </c>
      <c r="AC316" s="3642">
        <v>1</v>
      </c>
      <c r="AD316">
        <v>0</v>
      </c>
      <c r="AE316">
        <v>0</v>
      </c>
      <c r="AF316">
        <v>0</v>
      </c>
      <c r="AG316">
        <v>0</v>
      </c>
      <c r="AH316" s="3643">
        <v>5</v>
      </c>
      <c r="AI316">
        <v>3</v>
      </c>
      <c r="AJ316">
        <v>1</v>
      </c>
      <c r="AK316">
        <v>1</v>
      </c>
      <c r="AL316">
        <v>0</v>
      </c>
      <c r="AM316">
        <v>0</v>
      </c>
      <c r="AN316">
        <v>8</v>
      </c>
      <c r="AO316">
        <v>1</v>
      </c>
      <c r="AP316" s="3644">
        <v>3</v>
      </c>
      <c r="AQ316">
        <v>0</v>
      </c>
      <c r="AR316">
        <v>0</v>
      </c>
      <c r="AS316">
        <v>0</v>
      </c>
      <c r="AT316">
        <v>0</v>
      </c>
      <c r="AU316" s="3645"/>
      <c r="BC316" s="3646"/>
      <c r="BH316" s="3647"/>
      <c r="BP316" s="3648"/>
      <c r="BU316" s="3649"/>
      <c r="CC316" s="3650"/>
    </row>
    <row r="317" spans="1:90" x14ac:dyDescent="0.25">
      <c r="A317" s="3651" t="s">
        <v>1298</v>
      </c>
      <c r="B317">
        <v>1.31</v>
      </c>
      <c r="C317">
        <v>1.1100000000000001</v>
      </c>
      <c r="D317">
        <v>0.85</v>
      </c>
      <c r="H317" s="3652">
        <v>2</v>
      </c>
      <c r="I317">
        <v>5</v>
      </c>
      <c r="J317">
        <v>1</v>
      </c>
      <c r="K317">
        <v>0</v>
      </c>
      <c r="L317">
        <v>0</v>
      </c>
      <c r="M317">
        <v>0</v>
      </c>
      <c r="N317">
        <v>4</v>
      </c>
      <c r="O317">
        <v>1</v>
      </c>
      <c r="P317" s="3653">
        <v>1</v>
      </c>
      <c r="Q317">
        <v>0</v>
      </c>
      <c r="R317">
        <v>0</v>
      </c>
      <c r="S317">
        <v>0</v>
      </c>
      <c r="T317">
        <v>0</v>
      </c>
      <c r="U317" s="3654">
        <v>0</v>
      </c>
      <c r="V317">
        <v>1</v>
      </c>
      <c r="W317">
        <v>0</v>
      </c>
      <c r="X317">
        <v>0</v>
      </c>
      <c r="Y317">
        <v>0</v>
      </c>
      <c r="Z317">
        <v>0</v>
      </c>
      <c r="AA317">
        <v>5</v>
      </c>
      <c r="AB317">
        <v>1</v>
      </c>
      <c r="AC317" s="3655">
        <v>1</v>
      </c>
      <c r="AD317">
        <v>0</v>
      </c>
      <c r="AE317">
        <v>0</v>
      </c>
      <c r="AF317">
        <v>0</v>
      </c>
      <c r="AG317">
        <v>0</v>
      </c>
      <c r="AH317" s="3656">
        <v>0</v>
      </c>
      <c r="AI317">
        <v>1</v>
      </c>
      <c r="AJ317">
        <v>0</v>
      </c>
      <c r="AK317">
        <v>0</v>
      </c>
      <c r="AL317">
        <v>0</v>
      </c>
      <c r="AM317">
        <v>1</v>
      </c>
      <c r="AN317">
        <v>6</v>
      </c>
      <c r="AO317">
        <v>0</v>
      </c>
      <c r="AP317" s="3657">
        <v>0</v>
      </c>
      <c r="AQ317">
        <v>0</v>
      </c>
      <c r="AR317">
        <v>0</v>
      </c>
      <c r="AS317">
        <v>0</v>
      </c>
      <c r="AT317">
        <v>0</v>
      </c>
      <c r="AU317" s="3658"/>
      <c r="BC317" s="3659"/>
      <c r="BH317" s="3660"/>
      <c r="BP317" s="3661"/>
      <c r="BU317" s="3662"/>
      <c r="CC317" s="3663"/>
    </row>
    <row r="318" spans="1:90" x14ac:dyDescent="0.25">
      <c r="A318" s="619" t="s">
        <v>1300</v>
      </c>
      <c r="B318" s="619"/>
      <c r="C318" s="619"/>
      <c r="D318" s="619"/>
      <c r="E318" s="619"/>
      <c r="F318" s="619"/>
      <c r="G318" s="619"/>
      <c r="H318" s="3689"/>
      <c r="P318" s="3690"/>
      <c r="U318" s="3691"/>
      <c r="AC318" s="3692"/>
      <c r="AH318" s="3693"/>
      <c r="AP318" s="3694"/>
      <c r="AU318" s="3695"/>
      <c r="BC318" s="3696"/>
      <c r="BH318" s="3697"/>
      <c r="BP318" s="3698"/>
      <c r="BU318" s="3699"/>
      <c r="CC318" s="3700"/>
    </row>
    <row r="319" spans="1:90" x14ac:dyDescent="0.25">
      <c r="A319" s="3701" t="s">
        <v>1301</v>
      </c>
      <c r="B319">
        <v>0.89</v>
      </c>
      <c r="C319">
        <v>1.08</v>
      </c>
      <c r="D319">
        <v>0.89</v>
      </c>
      <c r="H319" s="3702">
        <v>2</v>
      </c>
      <c r="I319">
        <v>0</v>
      </c>
      <c r="J319">
        <v>2</v>
      </c>
      <c r="K319">
        <v>1</v>
      </c>
      <c r="L319">
        <v>0</v>
      </c>
      <c r="M319">
        <v>0</v>
      </c>
      <c r="N319">
        <v>2</v>
      </c>
      <c r="O319">
        <v>0</v>
      </c>
      <c r="P319" s="3703">
        <v>1</v>
      </c>
      <c r="Q319">
        <v>0</v>
      </c>
      <c r="R319">
        <v>0</v>
      </c>
      <c r="S319">
        <v>0</v>
      </c>
      <c r="T319">
        <v>0</v>
      </c>
      <c r="U319" s="3704">
        <v>2</v>
      </c>
      <c r="V319">
        <v>2</v>
      </c>
      <c r="W319">
        <v>1</v>
      </c>
      <c r="X319">
        <v>1</v>
      </c>
      <c r="Y319">
        <v>0</v>
      </c>
      <c r="Z319">
        <v>0</v>
      </c>
      <c r="AA319">
        <v>2</v>
      </c>
      <c r="AB319">
        <v>0</v>
      </c>
      <c r="AC319" s="3705">
        <v>0</v>
      </c>
      <c r="AD319">
        <v>0</v>
      </c>
      <c r="AE319">
        <v>0</v>
      </c>
      <c r="AF319">
        <v>0</v>
      </c>
      <c r="AG319">
        <v>0</v>
      </c>
      <c r="AH319" s="3706">
        <v>2</v>
      </c>
      <c r="AI319">
        <v>1</v>
      </c>
      <c r="AJ319">
        <v>0</v>
      </c>
      <c r="AK319">
        <v>0</v>
      </c>
      <c r="AL319">
        <v>0</v>
      </c>
      <c r="AM319">
        <v>0</v>
      </c>
      <c r="AN319">
        <v>3</v>
      </c>
      <c r="AO319">
        <v>2</v>
      </c>
      <c r="AP319" s="3707">
        <v>0</v>
      </c>
      <c r="AQ319">
        <v>0</v>
      </c>
      <c r="AR319">
        <v>0</v>
      </c>
      <c r="AS319">
        <v>0</v>
      </c>
      <c r="AT319">
        <v>0</v>
      </c>
      <c r="AU319" s="3708"/>
      <c r="BC319" s="3709"/>
      <c r="BH319" s="3710"/>
      <c r="BP319" s="3711"/>
      <c r="BU319" s="3712"/>
      <c r="CC319" s="3713"/>
    </row>
    <row r="320" spans="1:90" x14ac:dyDescent="0.25">
      <c r="A320" s="40" t="s">
        <v>1309</v>
      </c>
      <c r="B320" s="40"/>
      <c r="C320" s="40"/>
      <c r="D320" s="40"/>
      <c r="E320" s="40"/>
      <c r="F320" s="40"/>
      <c r="G320" s="40"/>
      <c r="H320" s="3778"/>
      <c r="P320" s="3779"/>
      <c r="U320" s="3780"/>
      <c r="AC320" s="3781"/>
      <c r="AH320" s="3782"/>
      <c r="AP320" s="3783"/>
      <c r="AU320" s="3784"/>
      <c r="BC320" s="3785"/>
      <c r="BH320" s="3786"/>
      <c r="BP320" s="3787"/>
      <c r="BU320" s="3788"/>
      <c r="CC320" s="3789"/>
    </row>
    <row r="321" spans="1:123" x14ac:dyDescent="0.25">
      <c r="A321" s="3790" t="s">
        <v>1310</v>
      </c>
      <c r="B321">
        <v>2.61</v>
      </c>
      <c r="C321">
        <v>1.08</v>
      </c>
      <c r="H321" s="3791">
        <v>0</v>
      </c>
      <c r="I321">
        <v>2</v>
      </c>
      <c r="J321">
        <v>1</v>
      </c>
      <c r="K321">
        <v>2</v>
      </c>
      <c r="L321">
        <v>1</v>
      </c>
      <c r="M321">
        <v>0</v>
      </c>
      <c r="N321">
        <v>7</v>
      </c>
      <c r="O321">
        <v>1</v>
      </c>
      <c r="P321" s="3792">
        <v>0</v>
      </c>
      <c r="Q321">
        <v>1</v>
      </c>
      <c r="R321">
        <v>0</v>
      </c>
      <c r="S321">
        <v>0</v>
      </c>
      <c r="T321">
        <v>0</v>
      </c>
      <c r="U321" s="3793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1</v>
      </c>
      <c r="AB321">
        <v>0</v>
      </c>
      <c r="AC321" s="3794">
        <v>0</v>
      </c>
      <c r="AD321">
        <v>0</v>
      </c>
      <c r="AE321">
        <v>0</v>
      </c>
      <c r="AF321">
        <v>0</v>
      </c>
      <c r="AG321">
        <v>0</v>
      </c>
      <c r="AH321" s="3795"/>
      <c r="AP321" s="3796"/>
      <c r="AU321" s="3797"/>
      <c r="BC321" s="3798"/>
      <c r="BH321" s="3799"/>
      <c r="BP321" s="3800"/>
      <c r="BU321" s="3801"/>
      <c r="CC321" s="3802"/>
    </row>
    <row r="322" spans="1:123" x14ac:dyDescent="0.25">
      <c r="A322" s="3803" t="s">
        <v>1312</v>
      </c>
      <c r="B322">
        <v>1.1399999999999999</v>
      </c>
      <c r="C322">
        <v>1.2</v>
      </c>
      <c r="H322" s="3804">
        <v>1</v>
      </c>
      <c r="I322">
        <v>0</v>
      </c>
      <c r="J322">
        <v>1</v>
      </c>
      <c r="K322">
        <v>0</v>
      </c>
      <c r="L322">
        <v>0</v>
      </c>
      <c r="M322">
        <v>1</v>
      </c>
      <c r="N322">
        <v>0</v>
      </c>
      <c r="O322">
        <v>1</v>
      </c>
      <c r="P322" s="3805">
        <v>0</v>
      </c>
      <c r="Q322">
        <v>0</v>
      </c>
      <c r="R322">
        <v>0</v>
      </c>
      <c r="S322">
        <v>0</v>
      </c>
      <c r="T322">
        <v>0</v>
      </c>
      <c r="U322" s="3806">
        <v>0</v>
      </c>
      <c r="V322">
        <v>0</v>
      </c>
      <c r="W322">
        <v>1</v>
      </c>
      <c r="X322">
        <v>0</v>
      </c>
      <c r="Y322">
        <v>0</v>
      </c>
      <c r="Z322">
        <v>1</v>
      </c>
      <c r="AA322">
        <v>2</v>
      </c>
      <c r="AB322">
        <v>0</v>
      </c>
      <c r="AC322" s="3807">
        <v>0</v>
      </c>
      <c r="AD322">
        <v>0</v>
      </c>
      <c r="AE322">
        <v>0</v>
      </c>
      <c r="AF322">
        <v>0</v>
      </c>
      <c r="AG322">
        <v>0</v>
      </c>
      <c r="AH322" s="3808"/>
      <c r="AP322" s="3809"/>
      <c r="AU322" s="3810"/>
      <c r="BC322" s="3811"/>
      <c r="BH322" s="3812"/>
      <c r="BP322" s="3813"/>
      <c r="BU322" s="3814"/>
      <c r="CC322" s="3815"/>
    </row>
    <row r="323" spans="1:123" x14ac:dyDescent="0.25">
      <c r="A323" s="3816" t="s">
        <v>1314</v>
      </c>
      <c r="B323">
        <v>2.17</v>
      </c>
      <c r="C323">
        <v>1.32</v>
      </c>
      <c r="H323" s="3817">
        <v>2</v>
      </c>
      <c r="I323">
        <v>7</v>
      </c>
      <c r="J323">
        <v>3</v>
      </c>
      <c r="K323">
        <v>0</v>
      </c>
      <c r="L323">
        <v>0</v>
      </c>
      <c r="M323">
        <v>1</v>
      </c>
      <c r="N323">
        <v>1</v>
      </c>
      <c r="O323">
        <v>0</v>
      </c>
      <c r="P323" s="3818">
        <v>0</v>
      </c>
      <c r="Q323">
        <v>0</v>
      </c>
      <c r="R323">
        <v>0</v>
      </c>
      <c r="S323">
        <v>0</v>
      </c>
      <c r="T323">
        <v>0</v>
      </c>
      <c r="U323" s="3819">
        <v>1</v>
      </c>
      <c r="V323">
        <v>2</v>
      </c>
      <c r="W323">
        <v>0</v>
      </c>
      <c r="X323">
        <v>0</v>
      </c>
      <c r="Y323">
        <v>0</v>
      </c>
      <c r="Z323">
        <v>0</v>
      </c>
      <c r="AA323">
        <v>2</v>
      </c>
      <c r="AB323">
        <v>0</v>
      </c>
      <c r="AC323" s="3820">
        <v>0</v>
      </c>
      <c r="AD323">
        <v>1</v>
      </c>
      <c r="AE323">
        <v>0</v>
      </c>
      <c r="AF323">
        <v>0</v>
      </c>
      <c r="AG323">
        <v>0</v>
      </c>
      <c r="AH323" s="3821"/>
      <c r="AP323" s="3822"/>
      <c r="AU323" s="3823"/>
      <c r="BC323" s="3824"/>
      <c r="BH323" s="3825"/>
      <c r="BP323" s="3826"/>
      <c r="BU323" s="3827"/>
      <c r="CC323" s="3828"/>
    </row>
    <row r="324" spans="1:123" x14ac:dyDescent="0.25">
      <c r="A324" s="3829" t="s">
        <v>1315</v>
      </c>
      <c r="B324">
        <v>0.78</v>
      </c>
      <c r="C324">
        <v>0.87</v>
      </c>
      <c r="H324" s="3830">
        <v>1</v>
      </c>
      <c r="I324">
        <v>2</v>
      </c>
      <c r="J324">
        <v>1</v>
      </c>
      <c r="K324">
        <v>0</v>
      </c>
      <c r="L324">
        <v>0</v>
      </c>
      <c r="M324">
        <v>0</v>
      </c>
      <c r="N324">
        <v>2</v>
      </c>
      <c r="O324">
        <v>0</v>
      </c>
      <c r="P324" s="3831">
        <v>1</v>
      </c>
      <c r="Q324">
        <v>0</v>
      </c>
      <c r="R324">
        <v>0</v>
      </c>
      <c r="S324">
        <v>0</v>
      </c>
      <c r="T324">
        <v>0</v>
      </c>
      <c r="U324" s="3832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1</v>
      </c>
      <c r="AB324">
        <v>0</v>
      </c>
      <c r="AC324" s="3833">
        <v>0</v>
      </c>
      <c r="AD324">
        <v>0</v>
      </c>
      <c r="AE324">
        <v>0</v>
      </c>
      <c r="AF324">
        <v>0</v>
      </c>
      <c r="AG324">
        <v>0</v>
      </c>
      <c r="AH324" s="3834"/>
      <c r="AP324" s="3835"/>
      <c r="AU324" s="3836"/>
      <c r="BC324" s="3837"/>
      <c r="BH324" s="3838"/>
      <c r="BP324" s="3839"/>
      <c r="BU324" s="3840"/>
      <c r="CC324" s="3841"/>
    </row>
    <row r="325" spans="1:123" x14ac:dyDescent="0.25">
      <c r="A325" s="44" t="s">
        <v>1320</v>
      </c>
      <c r="B325" s="44"/>
      <c r="C325" s="44"/>
      <c r="D325" s="44"/>
      <c r="E325" s="44"/>
      <c r="F325" s="44"/>
      <c r="G325" s="44"/>
      <c r="H325" s="3883"/>
      <c r="P325" s="3884"/>
      <c r="U325" s="3885"/>
      <c r="AC325" s="3886"/>
      <c r="AH325" s="3887"/>
      <c r="AP325" s="3888"/>
      <c r="AU325" s="3889"/>
      <c r="BC325" s="3890"/>
      <c r="BH325" s="3891"/>
      <c r="BP325" s="3892"/>
      <c r="BU325" s="3893"/>
      <c r="CC325" s="3894"/>
    </row>
    <row r="326" spans="1:123" x14ac:dyDescent="0.25">
      <c r="A326" s="3895" t="s">
        <v>1325</v>
      </c>
      <c r="B326">
        <v>1.02</v>
      </c>
      <c r="C326">
        <v>1.57</v>
      </c>
      <c r="H326" s="3896">
        <v>1</v>
      </c>
      <c r="I326">
        <v>0</v>
      </c>
      <c r="J326">
        <v>0</v>
      </c>
      <c r="K326">
        <v>0</v>
      </c>
      <c r="L326">
        <v>0</v>
      </c>
      <c r="M326">
        <v>1</v>
      </c>
      <c r="N326">
        <v>3</v>
      </c>
      <c r="O326">
        <v>1</v>
      </c>
      <c r="P326" s="3897">
        <v>0</v>
      </c>
      <c r="Q326">
        <v>0</v>
      </c>
      <c r="R326">
        <v>0</v>
      </c>
      <c r="S326">
        <v>0</v>
      </c>
      <c r="T326">
        <v>0</v>
      </c>
      <c r="U326" s="3898">
        <v>1</v>
      </c>
      <c r="V326">
        <v>1</v>
      </c>
      <c r="W326">
        <v>0</v>
      </c>
      <c r="X326">
        <v>1</v>
      </c>
      <c r="Y326">
        <v>0</v>
      </c>
      <c r="Z326">
        <v>0</v>
      </c>
      <c r="AA326">
        <v>2</v>
      </c>
      <c r="AB326">
        <v>0</v>
      </c>
      <c r="AC326" s="3899">
        <v>0</v>
      </c>
      <c r="AD326">
        <v>0</v>
      </c>
      <c r="AE326">
        <v>0</v>
      </c>
      <c r="AF326">
        <v>0</v>
      </c>
      <c r="AG326">
        <v>0</v>
      </c>
      <c r="AH326" s="3900"/>
      <c r="AP326" s="3901"/>
      <c r="AU326" s="3902"/>
      <c r="BC326" s="3903"/>
      <c r="BH326" s="3904"/>
      <c r="BP326" s="3905"/>
      <c r="BU326" s="3906"/>
      <c r="CC326" s="3907"/>
    </row>
    <row r="327" spans="1:123" x14ac:dyDescent="0.25">
      <c r="A327" s="3908" t="s">
        <v>1327</v>
      </c>
      <c r="B327">
        <v>2.13</v>
      </c>
      <c r="C327">
        <v>1.26</v>
      </c>
      <c r="H327" s="3909">
        <v>4</v>
      </c>
      <c r="I327">
        <v>6</v>
      </c>
      <c r="J327">
        <v>1</v>
      </c>
      <c r="K327">
        <v>0</v>
      </c>
      <c r="L327">
        <v>0</v>
      </c>
      <c r="M327">
        <v>0</v>
      </c>
      <c r="N327">
        <v>1</v>
      </c>
      <c r="O327">
        <v>1</v>
      </c>
      <c r="P327" s="3910">
        <v>0</v>
      </c>
      <c r="Q327">
        <v>0</v>
      </c>
      <c r="R327">
        <v>0</v>
      </c>
      <c r="S327">
        <v>0</v>
      </c>
      <c r="T327">
        <v>0</v>
      </c>
      <c r="U327" s="3911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4</v>
      </c>
      <c r="AB327">
        <v>1</v>
      </c>
      <c r="AC327" s="3912">
        <v>0</v>
      </c>
      <c r="AD327">
        <v>0</v>
      </c>
      <c r="AE327">
        <v>0</v>
      </c>
      <c r="AF327">
        <v>0</v>
      </c>
      <c r="AG327">
        <v>0</v>
      </c>
      <c r="AH327" s="3913"/>
      <c r="AP327" s="3914"/>
      <c r="AU327" s="3915"/>
      <c r="BC327" s="3916"/>
      <c r="BH327" s="3917"/>
      <c r="BP327" s="3918"/>
      <c r="BU327" s="3919"/>
      <c r="CC327" s="3920"/>
    </row>
    <row r="328" spans="1:123" x14ac:dyDescent="0.25">
      <c r="A328" s="3921" t="s">
        <v>1329</v>
      </c>
      <c r="B328">
        <v>1.65</v>
      </c>
      <c r="C328">
        <v>1.27</v>
      </c>
      <c r="H328" s="3922">
        <v>1</v>
      </c>
      <c r="I328">
        <v>5</v>
      </c>
      <c r="J328">
        <v>1</v>
      </c>
      <c r="K328">
        <v>0</v>
      </c>
      <c r="L328">
        <v>0</v>
      </c>
      <c r="M328">
        <v>1</v>
      </c>
      <c r="N328">
        <v>2</v>
      </c>
      <c r="O328">
        <v>1</v>
      </c>
      <c r="P328" s="3923">
        <v>1</v>
      </c>
      <c r="Q328">
        <v>0</v>
      </c>
      <c r="R328">
        <v>0</v>
      </c>
      <c r="S328">
        <v>0</v>
      </c>
      <c r="T328">
        <v>0</v>
      </c>
      <c r="U328" s="3924">
        <v>0</v>
      </c>
      <c r="V328">
        <v>1</v>
      </c>
      <c r="W328">
        <v>3</v>
      </c>
      <c r="X328">
        <v>0</v>
      </c>
      <c r="Y328">
        <v>0</v>
      </c>
      <c r="Z328">
        <v>1</v>
      </c>
      <c r="AA328">
        <v>2</v>
      </c>
      <c r="AB328">
        <v>0</v>
      </c>
      <c r="AC328" s="3925">
        <v>0</v>
      </c>
      <c r="AD328">
        <v>0</v>
      </c>
      <c r="AE328">
        <v>0</v>
      </c>
      <c r="AF328">
        <v>0</v>
      </c>
      <c r="AG328">
        <v>0</v>
      </c>
      <c r="AH328" s="3926"/>
      <c r="AP328" s="3927"/>
      <c r="AU328" s="3928"/>
      <c r="BC328" s="3929"/>
      <c r="BH328" s="3930"/>
      <c r="BP328" s="3931"/>
      <c r="BU328" s="3932"/>
      <c r="CC328" s="3933"/>
    </row>
    <row r="329" spans="1:123" x14ac:dyDescent="0.25">
      <c r="A329" s="40" t="s">
        <v>1334</v>
      </c>
      <c r="B329" s="40"/>
      <c r="C329" s="40"/>
      <c r="D329" s="40"/>
      <c r="E329" s="40"/>
      <c r="F329" s="40"/>
      <c r="G329" s="40"/>
      <c r="H329" s="4000"/>
      <c r="P329" s="4001"/>
      <c r="U329" s="4002"/>
      <c r="AC329" s="4003"/>
      <c r="AH329" s="4004"/>
      <c r="AP329" s="4005"/>
      <c r="AU329" s="4006"/>
      <c r="BC329" s="4007"/>
      <c r="BH329" s="4008"/>
      <c r="BP329" s="4009"/>
      <c r="BU329" s="4010"/>
      <c r="CC329" s="4011"/>
    </row>
    <row r="330" spans="1:123" x14ac:dyDescent="0.25">
      <c r="A330" s="4012" t="s">
        <v>1335</v>
      </c>
      <c r="B330">
        <v>1.3</v>
      </c>
      <c r="C330">
        <v>1.17</v>
      </c>
      <c r="H330" s="4013">
        <v>2</v>
      </c>
      <c r="I330">
        <v>1</v>
      </c>
      <c r="J330">
        <v>1</v>
      </c>
      <c r="K330">
        <v>0</v>
      </c>
      <c r="L330">
        <v>0</v>
      </c>
      <c r="M330">
        <v>0</v>
      </c>
      <c r="N330">
        <v>1</v>
      </c>
      <c r="O330">
        <v>0</v>
      </c>
      <c r="P330" s="4014">
        <v>1</v>
      </c>
      <c r="Q330">
        <v>0</v>
      </c>
      <c r="R330">
        <v>0</v>
      </c>
      <c r="S330">
        <v>0</v>
      </c>
      <c r="T330">
        <v>0</v>
      </c>
      <c r="U330" s="4015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2</v>
      </c>
      <c r="AB330">
        <v>0</v>
      </c>
      <c r="AC330" s="4016">
        <v>1</v>
      </c>
      <c r="AD330">
        <v>0</v>
      </c>
      <c r="AE330">
        <v>0</v>
      </c>
      <c r="AF330">
        <v>0</v>
      </c>
      <c r="AG330">
        <v>0</v>
      </c>
      <c r="AH330" s="4017"/>
      <c r="AP330" s="4018"/>
      <c r="AU330" s="4019"/>
      <c r="BC330" s="4020"/>
      <c r="BH330" s="4021"/>
      <c r="BP330" s="4022"/>
      <c r="BU330" s="4023"/>
      <c r="CC330" s="4024"/>
    </row>
    <row r="331" spans="1:123" x14ac:dyDescent="0.25">
      <c r="A331" s="4025" t="s">
        <v>1337</v>
      </c>
      <c r="B331">
        <v>0.49</v>
      </c>
      <c r="C331">
        <v>1.0900000000000001</v>
      </c>
      <c r="H331" s="4026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3</v>
      </c>
      <c r="O331">
        <v>0</v>
      </c>
      <c r="P331" s="4027">
        <v>0</v>
      </c>
      <c r="Q331">
        <v>0</v>
      </c>
      <c r="R331">
        <v>0</v>
      </c>
      <c r="S331">
        <v>0</v>
      </c>
      <c r="T331">
        <v>0</v>
      </c>
      <c r="U331" s="4028">
        <v>1</v>
      </c>
      <c r="V331">
        <v>0</v>
      </c>
      <c r="W331">
        <v>2</v>
      </c>
      <c r="X331">
        <v>0</v>
      </c>
      <c r="Y331">
        <v>0</v>
      </c>
      <c r="Z331">
        <v>0</v>
      </c>
      <c r="AA331">
        <v>5</v>
      </c>
      <c r="AB331">
        <v>0</v>
      </c>
      <c r="AC331" s="4029">
        <v>0</v>
      </c>
      <c r="AD331">
        <v>1</v>
      </c>
      <c r="AE331">
        <v>0</v>
      </c>
      <c r="AF331">
        <v>0</v>
      </c>
      <c r="AG331">
        <v>0</v>
      </c>
      <c r="AH331" s="4030"/>
      <c r="AP331" s="4031"/>
      <c r="AU331" s="4032"/>
      <c r="BC331" s="4033"/>
      <c r="BH331" s="4034"/>
      <c r="BP331" s="4035"/>
      <c r="BU331" s="4036"/>
      <c r="CC331" s="4037"/>
    </row>
    <row r="332" spans="1:123" ht="15.75" customHeight="1" x14ac:dyDescent="0.25">
      <c r="A332" s="35"/>
      <c r="B332" s="36">
        <f>AVERAGE(B3:B331)</f>
        <v>1.1928044280442802</v>
      </c>
      <c r="C332" s="36">
        <f t="shared" ref="C332:G332" si="18">AVERAGE(C3:C331)</f>
        <v>1.1752873563218396</v>
      </c>
      <c r="D332" s="36">
        <f t="shared" si="18"/>
        <v>1.1566292134831457</v>
      </c>
      <c r="E332" s="36">
        <f t="shared" si="18"/>
        <v>0.66500000000000004</v>
      </c>
      <c r="F332" s="36">
        <f t="shared" si="18"/>
        <v>1.3018181818181818</v>
      </c>
      <c r="G332" s="36">
        <f t="shared" si="18"/>
        <v>0.90166666666666673</v>
      </c>
      <c r="H332" s="4063">
        <f>AVERAGE(H3:H331)</f>
        <v>0.69372693726937273</v>
      </c>
      <c r="I332" s="3999">
        <f t="shared" ref="I332:BT332" si="19">AVERAGE(I3:I331)</f>
        <v>2.5387453874538743</v>
      </c>
      <c r="J332" s="3999">
        <f t="shared" si="19"/>
        <v>0.91881918819188191</v>
      </c>
      <c r="K332" s="3999">
        <f t="shared" si="19"/>
        <v>0.13653136531365315</v>
      </c>
      <c r="L332" s="3999">
        <f t="shared" si="19"/>
        <v>2.5830258302583026E-2</v>
      </c>
      <c r="M332" s="3999">
        <f t="shared" si="19"/>
        <v>0.12546125461254612</v>
      </c>
      <c r="N332" s="3999">
        <f t="shared" si="19"/>
        <v>1.996309963099631</v>
      </c>
      <c r="O332" s="3999">
        <f t="shared" si="19"/>
        <v>0.47601476014760147</v>
      </c>
      <c r="P332" s="4069">
        <f t="shared" si="19"/>
        <v>0.21771217712177121</v>
      </c>
      <c r="Q332" s="3999">
        <f t="shared" si="19"/>
        <v>0.11070110701107011</v>
      </c>
      <c r="R332" s="3999">
        <f t="shared" si="19"/>
        <v>4.797047970479705E-2</v>
      </c>
      <c r="S332" s="3999">
        <f t="shared" si="19"/>
        <v>0</v>
      </c>
      <c r="T332" s="3999">
        <f t="shared" si="19"/>
        <v>3.6900369003690036E-3</v>
      </c>
      <c r="U332" s="4064">
        <f t="shared" si="19"/>
        <v>0.45210727969348657</v>
      </c>
      <c r="V332" s="3999">
        <f t="shared" si="19"/>
        <v>0.88122605363984674</v>
      </c>
      <c r="W332" s="3999">
        <f t="shared" si="19"/>
        <v>0.8</v>
      </c>
      <c r="X332" s="3999">
        <f t="shared" si="19"/>
        <v>0.17624521072796934</v>
      </c>
      <c r="Y332" s="3999">
        <f t="shared" si="19"/>
        <v>7.6628352490421452E-3</v>
      </c>
      <c r="Z332" s="3999">
        <f t="shared" si="19"/>
        <v>0.17624521072796934</v>
      </c>
      <c r="AA332" s="3999">
        <f t="shared" si="19"/>
        <v>3.2452107279693485</v>
      </c>
      <c r="AB332" s="3999">
        <f t="shared" si="19"/>
        <v>0.41762452107279696</v>
      </c>
      <c r="AC332" s="4069">
        <f t="shared" si="19"/>
        <v>0.32567049808429116</v>
      </c>
      <c r="AD332" s="3999">
        <f t="shared" si="19"/>
        <v>0.21839080459770116</v>
      </c>
      <c r="AE332" s="3999">
        <f t="shared" si="19"/>
        <v>9.5785440613026823E-2</v>
      </c>
      <c r="AF332" s="3999">
        <f t="shared" si="19"/>
        <v>3.8314176245210726E-3</v>
      </c>
      <c r="AG332" s="3999">
        <f t="shared" si="19"/>
        <v>0</v>
      </c>
      <c r="AH332" s="4065">
        <f t="shared" si="19"/>
        <v>1.0112359550561798</v>
      </c>
      <c r="AI332" s="3999">
        <f t="shared" si="19"/>
        <v>1.9213483146067416</v>
      </c>
      <c r="AJ332" s="3999">
        <f t="shared" si="19"/>
        <v>0.9382022471910112</v>
      </c>
      <c r="AK332" s="3999">
        <f t="shared" si="19"/>
        <v>0.15730337078651685</v>
      </c>
      <c r="AL332" s="3999">
        <f t="shared" si="19"/>
        <v>2.247191011235955E-2</v>
      </c>
      <c r="AM332" s="3999">
        <f t="shared" si="19"/>
        <v>0.24157303370786518</v>
      </c>
      <c r="AN332" s="3999">
        <f t="shared" si="19"/>
        <v>2.702247191011236</v>
      </c>
      <c r="AO332" s="3999">
        <f t="shared" si="19"/>
        <v>0.5112359550561798</v>
      </c>
      <c r="AP332" s="4069">
        <f t="shared" si="19"/>
        <v>0.29213483146067415</v>
      </c>
      <c r="AQ332" s="3999">
        <f t="shared" si="19"/>
        <v>0.10674157303370786</v>
      </c>
      <c r="AR332" s="3999">
        <f t="shared" si="19"/>
        <v>6.741573033707865E-2</v>
      </c>
      <c r="AS332" s="3999">
        <f t="shared" si="19"/>
        <v>5.6179775280898875E-3</v>
      </c>
      <c r="AT332" s="3999">
        <f t="shared" si="19"/>
        <v>0</v>
      </c>
      <c r="AU332" s="4066">
        <f t="shared" si="19"/>
        <v>0</v>
      </c>
      <c r="AV332" s="3999">
        <f t="shared" si="19"/>
        <v>0.75</v>
      </c>
      <c r="AW332" s="3999">
        <f t="shared" si="19"/>
        <v>0.25</v>
      </c>
      <c r="AX332" s="3999">
        <f t="shared" si="19"/>
        <v>0.25</v>
      </c>
      <c r="AY332" s="3999">
        <f t="shared" si="19"/>
        <v>0</v>
      </c>
      <c r="AZ332" s="3999">
        <f t="shared" si="19"/>
        <v>0</v>
      </c>
      <c r="BA332" s="3999">
        <f t="shared" si="19"/>
        <v>1</v>
      </c>
      <c r="BB332" s="3999">
        <f t="shared" si="19"/>
        <v>0</v>
      </c>
      <c r="BC332" s="4069">
        <f t="shared" si="19"/>
        <v>0</v>
      </c>
      <c r="BD332" s="3999">
        <f t="shared" si="19"/>
        <v>0</v>
      </c>
      <c r="BE332" s="3999">
        <f t="shared" si="19"/>
        <v>0</v>
      </c>
      <c r="BF332" s="3999">
        <f t="shared" si="19"/>
        <v>0</v>
      </c>
      <c r="BG332" s="3999">
        <f t="shared" si="19"/>
        <v>0</v>
      </c>
      <c r="BH332" s="4067">
        <f t="shared" si="19"/>
        <v>0.81818181818181823</v>
      </c>
      <c r="BI332" s="3999">
        <f t="shared" si="19"/>
        <v>2.1818181818181817</v>
      </c>
      <c r="BJ332" s="3999">
        <f t="shared" si="19"/>
        <v>1.2727272727272727</v>
      </c>
      <c r="BK332" s="3999">
        <f t="shared" si="19"/>
        <v>0.27272727272727271</v>
      </c>
      <c r="BL332" s="3999">
        <f t="shared" si="19"/>
        <v>0</v>
      </c>
      <c r="BM332" s="3999">
        <f t="shared" si="19"/>
        <v>0.81818181818181823</v>
      </c>
      <c r="BN332" s="3999">
        <f t="shared" si="19"/>
        <v>2.3636363636363638</v>
      </c>
      <c r="BO332" s="3999">
        <f t="shared" si="19"/>
        <v>0.36363636363636365</v>
      </c>
      <c r="BP332" s="4069">
        <f t="shared" si="19"/>
        <v>9.0909090909090912E-2</v>
      </c>
      <c r="BQ332" s="3999">
        <f t="shared" si="19"/>
        <v>0.18181818181818182</v>
      </c>
      <c r="BR332" s="3999">
        <f t="shared" si="19"/>
        <v>0</v>
      </c>
      <c r="BS332" s="3999">
        <f t="shared" si="19"/>
        <v>0</v>
      </c>
      <c r="BT332" s="3999">
        <f t="shared" si="19"/>
        <v>0</v>
      </c>
      <c r="BU332" s="4068">
        <f t="shared" ref="BU332:CG332" si="20">AVERAGE(BU3:BU331)</f>
        <v>0.16666666666666666</v>
      </c>
      <c r="BV332" s="3999">
        <f t="shared" si="20"/>
        <v>1.6666666666666667</v>
      </c>
      <c r="BW332" s="3999">
        <f t="shared" si="20"/>
        <v>0.66666666666666663</v>
      </c>
      <c r="BX332" s="3999">
        <f t="shared" si="20"/>
        <v>0</v>
      </c>
      <c r="BY332" s="3999">
        <f t="shared" si="20"/>
        <v>0</v>
      </c>
      <c r="BZ332" s="3999">
        <f t="shared" si="20"/>
        <v>0</v>
      </c>
      <c r="CA332" s="3999">
        <f t="shared" si="20"/>
        <v>2</v>
      </c>
      <c r="CB332" s="3999">
        <f t="shared" si="20"/>
        <v>0.16666666666666666</v>
      </c>
      <c r="CC332" s="4069">
        <f t="shared" si="20"/>
        <v>0.33333333333333331</v>
      </c>
      <c r="CD332" s="3999">
        <f t="shared" si="20"/>
        <v>0</v>
      </c>
      <c r="CE332" s="3999">
        <f t="shared" si="20"/>
        <v>0</v>
      </c>
      <c r="CF332" s="3999">
        <f t="shared" si="20"/>
        <v>0</v>
      </c>
      <c r="CG332" s="3999">
        <f t="shared" si="20"/>
        <v>0</v>
      </c>
      <c r="CH332" s="35"/>
      <c r="CI332" s="35"/>
      <c r="CJ332" s="35"/>
      <c r="CK332" s="35"/>
      <c r="CL332" s="35"/>
      <c r="CM332" s="35"/>
      <c r="CN332" s="35"/>
      <c r="CO332" s="35"/>
      <c r="CP332" s="35"/>
      <c r="CQ332" s="35"/>
      <c r="CR332" s="35"/>
      <c r="CS332" s="35"/>
      <c r="CT332" s="35"/>
      <c r="CU332" s="35"/>
      <c r="CV332" s="35"/>
      <c r="CW332" s="35"/>
      <c r="CX332" s="35"/>
      <c r="CY332" s="35"/>
      <c r="CZ332" s="35"/>
      <c r="DA332" s="35"/>
      <c r="DB332" s="35"/>
      <c r="DC332" s="35"/>
      <c r="DD332" s="35"/>
      <c r="DE332" s="35"/>
      <c r="DF332" s="35"/>
      <c r="DG332" s="35"/>
      <c r="DH332" s="35"/>
      <c r="DI332" s="35"/>
      <c r="DJ332" s="35"/>
      <c r="DK332" s="35"/>
      <c r="DL332" s="35"/>
      <c r="DM332" s="35"/>
      <c r="DN332" s="35"/>
      <c r="DO332" s="35"/>
      <c r="DP332" s="35"/>
      <c r="DQ332" s="35"/>
      <c r="DR332" s="35"/>
      <c r="DS332" s="35"/>
    </row>
  </sheetData>
  <mergeCells count="34"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  <mergeCell ref="CJ6:CO6"/>
    <mergeCell ref="CP6:CU6"/>
    <mergeCell ref="CV6:DA6"/>
    <mergeCell ref="DB6:DG6"/>
    <mergeCell ref="DH6:DM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DT6:DY6"/>
    <mergeCell ref="DZ3:EE3"/>
    <mergeCell ref="DZ1:EE1"/>
    <mergeCell ref="DT1:DY1"/>
    <mergeCell ref="DT3:DY3"/>
    <mergeCell ref="DZ4:EE4"/>
    <mergeCell ref="DZ6:EE6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workbookViewId="0">
      <selection activeCell="B5" sqref="B5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4500" t="s">
        <v>1100</v>
      </c>
      <c r="CK1" s="4500"/>
      <c r="CL1" s="4500"/>
      <c r="CM1" s="4500"/>
      <c r="CN1" s="4500"/>
      <c r="CO1" s="4500"/>
      <c r="CP1" s="4519" t="s">
        <v>1111</v>
      </c>
      <c r="CQ1" s="4502"/>
      <c r="CR1" s="4502"/>
      <c r="CS1" s="4502"/>
      <c r="CT1" s="4502"/>
      <c r="CU1" s="4502"/>
      <c r="CV1" s="4501" t="s">
        <v>1101</v>
      </c>
      <c r="CW1" s="4501"/>
      <c r="CX1" s="4501"/>
      <c r="CY1" s="4501"/>
      <c r="CZ1" s="4501"/>
      <c r="DA1" s="4501"/>
      <c r="DB1" s="4499" t="s">
        <v>1102</v>
      </c>
      <c r="DC1" s="4499"/>
      <c r="DD1" s="4499"/>
      <c r="DE1" s="4499"/>
      <c r="DF1" s="4499"/>
      <c r="DG1" s="4499"/>
      <c r="DH1" s="4501" t="s">
        <v>1104</v>
      </c>
      <c r="DI1" s="4501"/>
      <c r="DJ1" s="4501"/>
      <c r="DK1" s="4501"/>
      <c r="DL1" s="4501"/>
      <c r="DM1" s="4501"/>
      <c r="DN1" s="4497" t="s">
        <v>997</v>
      </c>
      <c r="DO1" s="4497"/>
      <c r="DP1" s="4497"/>
      <c r="DQ1" s="4497"/>
      <c r="DR1" s="4497"/>
      <c r="DS1" s="4497"/>
      <c r="DT1" s="4497" t="s">
        <v>998</v>
      </c>
      <c r="DU1" s="4497"/>
      <c r="DV1" s="4497"/>
      <c r="DW1" s="4497"/>
      <c r="DX1" s="4497"/>
      <c r="DY1" s="4497"/>
    </row>
    <row r="2" spans="1:129" x14ac:dyDescent="0.25">
      <c r="A2" s="44" t="s">
        <v>1106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4474" t="e">
        <f>_xlfn.AGGREGATE(1,6,CJ2:CO2)</f>
        <v>#DIV/0!</v>
      </c>
      <c r="CK3" s="4474"/>
      <c r="CL3" s="4474"/>
      <c r="CM3" s="4474"/>
      <c r="CN3" s="4474"/>
      <c r="CO3" s="4474"/>
      <c r="CP3" s="4474">
        <f t="shared" ref="CP3" si="1">_xlfn.AGGREGATE(1,6,CP2:CU2)</f>
        <v>1.4500000000000002</v>
      </c>
      <c r="CQ3" s="4474"/>
      <c r="CR3" s="4474"/>
      <c r="CS3" s="4474"/>
      <c r="CT3" s="4474"/>
      <c r="CU3" s="4474"/>
      <c r="CV3" s="4474" t="e">
        <f t="shared" ref="CV3" si="2">_xlfn.AGGREGATE(1,6,CV2:DA2)</f>
        <v>#DIV/0!</v>
      </c>
      <c r="CW3" s="4474"/>
      <c r="CX3" s="4474"/>
      <c r="CY3" s="4474"/>
      <c r="CZ3" s="4474"/>
      <c r="DA3" s="4474"/>
      <c r="DB3" s="4474" t="e">
        <f t="shared" ref="DB3" si="3">_xlfn.AGGREGATE(1,6,DB2:DG2)</f>
        <v>#DIV/0!</v>
      </c>
      <c r="DC3" s="4474"/>
      <c r="DD3" s="4474"/>
      <c r="DE3" s="4474"/>
      <c r="DF3" s="4474"/>
      <c r="DG3" s="4474"/>
      <c r="DH3" s="4474" t="e">
        <f t="shared" ref="DH3" si="4">_xlfn.AGGREGATE(1,6,DH2:DM2)</f>
        <v>#DIV/0!</v>
      </c>
      <c r="DI3" s="4474"/>
      <c r="DJ3" s="4474"/>
      <c r="DK3" s="4474"/>
      <c r="DL3" s="4474"/>
      <c r="DM3" s="4474"/>
      <c r="DN3" s="4474" t="e">
        <f t="shared" ref="DN3" si="5">_xlfn.AGGREGATE(1,6,DN2:DS2)</f>
        <v>#DIV/0!</v>
      </c>
      <c r="DO3" s="4474"/>
      <c r="DP3" s="4474"/>
      <c r="DQ3" s="4474"/>
      <c r="DR3" s="4474"/>
      <c r="DS3" s="4474"/>
      <c r="DT3" s="4474" t="e">
        <f t="shared" ref="DT3" si="6">_xlfn.AGGREGATE(1,6,DT2:DY2)</f>
        <v>#DIV/0!</v>
      </c>
      <c r="DU3" s="4474"/>
      <c r="DV3" s="4474"/>
      <c r="DW3" s="4474"/>
      <c r="DX3" s="4474"/>
      <c r="DY3" s="4474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4499" t="s">
        <v>1099</v>
      </c>
      <c r="CK4" s="4499"/>
      <c r="CL4" s="4499"/>
      <c r="CM4" s="4499"/>
      <c r="CN4" s="4499"/>
      <c r="CO4" s="4499"/>
      <c r="CP4" s="4502" t="s">
        <v>993</v>
      </c>
      <c r="CQ4" s="4502"/>
      <c r="CR4" s="4502"/>
      <c r="CS4" s="4502"/>
      <c r="CT4" s="4502"/>
      <c r="CU4" s="4502"/>
      <c r="CV4" s="4497" t="s">
        <v>994</v>
      </c>
      <c r="CW4" s="4497"/>
      <c r="CX4" s="4497"/>
      <c r="CY4" s="4497"/>
      <c r="CZ4" s="4497"/>
      <c r="DA4" s="4497"/>
      <c r="DB4" s="4499" t="s">
        <v>1103</v>
      </c>
      <c r="DC4" s="4499"/>
      <c r="DD4" s="4499"/>
      <c r="DE4" s="4499"/>
      <c r="DF4" s="4499"/>
      <c r="DG4" s="4499"/>
      <c r="DH4" s="4497" t="s">
        <v>996</v>
      </c>
      <c r="DI4" s="4497"/>
      <c r="DJ4" s="4497"/>
      <c r="DK4" s="4497"/>
      <c r="DL4" s="4497"/>
      <c r="DM4" s="4497"/>
      <c r="DN4" s="4498" t="s">
        <v>1105</v>
      </c>
      <c r="DO4" s="4497"/>
      <c r="DP4" s="4497"/>
      <c r="DQ4" s="4497"/>
      <c r="DR4" s="4497"/>
      <c r="DS4" s="4497"/>
    </row>
  </sheetData>
  <mergeCells count="20">
    <mergeCell ref="DN4:DS4"/>
    <mergeCell ref="CJ4:CO4"/>
    <mergeCell ref="CP4:CU4"/>
    <mergeCell ref="CV4:DA4"/>
    <mergeCell ref="DB4:DG4"/>
    <mergeCell ref="DH4:DM4"/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76208-FF36-40A7-952F-79C1E7562B30}">
  <dimension ref="A1:DO30"/>
  <sheetViews>
    <sheetView workbookViewId="0">
      <selection sqref="A1:XFD26"/>
    </sheetView>
  </sheetViews>
  <sheetFormatPr defaultRowHeight="15" x14ac:dyDescent="0.25"/>
  <cols>
    <col min="1" max="1" width="12.42578125" customWidth="1"/>
    <col min="5" max="5" width="15.85546875" style="4147" customWidth="1"/>
    <col min="6" max="6" width="9.140625" style="4147"/>
  </cols>
  <sheetData>
    <row r="1" spans="1:119" s="3999" customFormat="1" ht="15.75" customHeight="1" x14ac:dyDescent="0.25"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CJ1" s="4500" t="s">
        <v>1365</v>
      </c>
      <c r="CK1" s="4500"/>
      <c r="CL1" s="4500"/>
      <c r="CM1" s="4500"/>
      <c r="CN1" s="4500"/>
      <c r="CO1" s="4500"/>
      <c r="CP1" s="4500" t="s">
        <v>1366</v>
      </c>
      <c r="CQ1" s="4500"/>
      <c r="CR1" s="4500"/>
      <c r="CS1" s="4500"/>
      <c r="CT1" s="4500"/>
      <c r="CU1" s="4500"/>
      <c r="CV1" s="4502" t="s">
        <v>1367</v>
      </c>
      <c r="CW1" s="4502"/>
      <c r="CX1" s="4502"/>
      <c r="CY1" s="4502"/>
      <c r="CZ1" s="4502"/>
      <c r="DA1" s="4502"/>
      <c r="DB1" s="4501" t="s">
        <v>1368</v>
      </c>
      <c r="DC1" s="4501"/>
      <c r="DD1" s="4501"/>
      <c r="DE1" s="4501"/>
      <c r="DF1" s="4501"/>
      <c r="DG1" s="4501"/>
      <c r="DH1" s="4499" t="s">
        <v>1369</v>
      </c>
      <c r="DI1" s="4499"/>
      <c r="DJ1" s="4499"/>
      <c r="DK1" s="4499"/>
      <c r="DL1" s="4499"/>
      <c r="DM1" s="4499"/>
      <c r="DN1" s="4150"/>
      <c r="DO1" s="4150"/>
    </row>
    <row r="2" spans="1:119" x14ac:dyDescent="0.25">
      <c r="A2" s="44" t="s">
        <v>1341</v>
      </c>
      <c r="B2" s="44"/>
      <c r="C2" s="44"/>
      <c r="D2" s="44"/>
      <c r="E2" s="44"/>
      <c r="F2" s="44"/>
      <c r="G2" s="4071"/>
      <c r="O2" s="4072"/>
      <c r="T2" s="4073"/>
      <c r="AB2" s="4074"/>
      <c r="AG2" s="4075"/>
      <c r="AO2" s="4076"/>
      <c r="AT2" s="4077"/>
      <c r="BB2" s="4078"/>
      <c r="BG2" s="4079"/>
      <c r="BO2" s="4080"/>
      <c r="BT2" s="4081"/>
      <c r="CB2" s="4082"/>
      <c r="CJ2">
        <f>AVERAGE(B4,B7,B20)</f>
        <v>1.4133333333333333</v>
      </c>
      <c r="CK2" s="4150">
        <f t="shared" ref="CK2:CN2" si="0">AVERAGE(C4,C7,C20)</f>
        <v>1.2466666666666668</v>
      </c>
      <c r="CL2" s="4150">
        <f t="shared" si="0"/>
        <v>0.72</v>
      </c>
      <c r="CM2" s="4150" t="e">
        <f t="shared" si="0"/>
        <v>#DIV/0!</v>
      </c>
      <c r="CN2" s="4150" t="e">
        <f t="shared" si="0"/>
        <v>#DIV/0!</v>
      </c>
      <c r="CO2" s="4150">
        <f>AVERAGE(G4,G7,G20)</f>
        <v>1.6666666666666667</v>
      </c>
      <c r="CP2" s="1">
        <f>AVERAGE(B9,B25)</f>
        <v>0.71000000000000008</v>
      </c>
      <c r="CQ2" s="1">
        <f t="shared" ref="CQ2:CU2" si="1">AVERAGE(C9,C25)</f>
        <v>0.32</v>
      </c>
      <c r="CR2" s="1">
        <f t="shared" si="1"/>
        <v>1.22</v>
      </c>
      <c r="CS2" s="1">
        <f t="shared" si="1"/>
        <v>1.19</v>
      </c>
      <c r="CT2" s="1">
        <f t="shared" si="1"/>
        <v>0.73</v>
      </c>
      <c r="CU2" s="1">
        <f t="shared" si="1"/>
        <v>0.5</v>
      </c>
      <c r="CV2" s="1">
        <f>AVERAGE(B3,B21)</f>
        <v>1.05</v>
      </c>
      <c r="CW2" s="1">
        <f t="shared" ref="CW2:DA2" si="2">AVERAGE(C3,C21)</f>
        <v>1.24</v>
      </c>
      <c r="CX2" s="1" t="e">
        <f t="shared" si="2"/>
        <v>#DIV/0!</v>
      </c>
      <c r="CY2" s="1" t="e">
        <f t="shared" si="2"/>
        <v>#DIV/0!</v>
      </c>
      <c r="CZ2" s="1" t="e">
        <f t="shared" si="2"/>
        <v>#DIV/0!</v>
      </c>
      <c r="DA2" s="1">
        <f t="shared" si="2"/>
        <v>0</v>
      </c>
      <c r="DB2" s="1">
        <f>AVERAGE(B12,B15)</f>
        <v>1.4550000000000001</v>
      </c>
      <c r="DC2" s="1">
        <f t="shared" ref="DC2:DG2" si="3">AVERAGE(C12,C15)</f>
        <v>1.155</v>
      </c>
      <c r="DD2" s="1">
        <f t="shared" si="3"/>
        <v>1.0750000000000002</v>
      </c>
      <c r="DE2" s="1" t="e">
        <f t="shared" si="3"/>
        <v>#DIV/0!</v>
      </c>
      <c r="DF2" s="1" t="e">
        <f t="shared" si="3"/>
        <v>#DIV/0!</v>
      </c>
      <c r="DG2" s="1">
        <f t="shared" si="3"/>
        <v>0.5</v>
      </c>
      <c r="DH2" s="1">
        <f>AVERAGE(B5,B10,B22)</f>
        <v>1.39</v>
      </c>
      <c r="DI2" s="1">
        <f t="shared" ref="DI2:DM2" si="4">AVERAGE(C5,C10,C22)</f>
        <v>1.3333333333333333</v>
      </c>
      <c r="DJ2" s="1" t="e">
        <f t="shared" si="4"/>
        <v>#DIV/0!</v>
      </c>
      <c r="DK2" s="1" t="e">
        <f t="shared" si="4"/>
        <v>#DIV/0!</v>
      </c>
      <c r="DL2" s="1" t="e">
        <f t="shared" si="4"/>
        <v>#DIV/0!</v>
      </c>
      <c r="DM2" s="1">
        <f t="shared" si="4"/>
        <v>1.6666666666666667</v>
      </c>
      <c r="DN2" s="4150"/>
      <c r="DO2" s="4150"/>
    </row>
    <row r="3" spans="1:119" x14ac:dyDescent="0.25">
      <c r="A3" s="4083" t="s">
        <v>372</v>
      </c>
      <c r="B3">
        <v>1.19</v>
      </c>
      <c r="C3">
        <v>1.49</v>
      </c>
      <c r="G3" s="4084">
        <v>0</v>
      </c>
      <c r="H3">
        <v>4</v>
      </c>
      <c r="I3">
        <v>0</v>
      </c>
      <c r="J3">
        <v>1</v>
      </c>
      <c r="K3">
        <v>0</v>
      </c>
      <c r="L3">
        <v>2</v>
      </c>
      <c r="M3">
        <v>1</v>
      </c>
      <c r="N3">
        <v>2</v>
      </c>
      <c r="O3" s="4085">
        <v>0</v>
      </c>
      <c r="P3">
        <v>0</v>
      </c>
      <c r="Q3">
        <v>0</v>
      </c>
      <c r="R3">
        <v>0</v>
      </c>
      <c r="S3">
        <v>0</v>
      </c>
      <c r="T3" s="4086">
        <v>3</v>
      </c>
      <c r="U3">
        <v>1</v>
      </c>
      <c r="V3">
        <v>0</v>
      </c>
      <c r="W3">
        <v>1</v>
      </c>
      <c r="X3">
        <v>0</v>
      </c>
      <c r="Y3">
        <v>0</v>
      </c>
      <c r="Z3">
        <v>8</v>
      </c>
      <c r="AA3">
        <v>1</v>
      </c>
      <c r="AB3" s="4087">
        <v>0</v>
      </c>
      <c r="AC3">
        <v>0</v>
      </c>
      <c r="AD3">
        <v>0</v>
      </c>
      <c r="AE3">
        <v>0</v>
      </c>
      <c r="AF3">
        <v>0</v>
      </c>
      <c r="AG3" s="4088"/>
      <c r="AO3" s="4089"/>
      <c r="AT3" s="4090"/>
      <c r="BB3" s="4091"/>
      <c r="BG3" s="4092"/>
      <c r="BO3" s="4093"/>
      <c r="BT3" s="4094"/>
      <c r="CB3" s="4095"/>
      <c r="CJ3" s="4520">
        <f>_xlfn.AGGREGATE(1,6,CJ2:CO2)</f>
        <v>1.2616666666666667</v>
      </c>
      <c r="CK3" s="4520"/>
      <c r="CL3" s="4520"/>
      <c r="CM3" s="4520"/>
      <c r="CN3" s="4520"/>
      <c r="CO3" s="4520"/>
      <c r="CP3" s="4520">
        <f t="shared" ref="CP3" si="5">_xlfn.AGGREGATE(1,6,CP2:CU2)</f>
        <v>0.77833333333333332</v>
      </c>
      <c r="CQ3" s="4520"/>
      <c r="CR3" s="4520"/>
      <c r="CS3" s="4520"/>
      <c r="CT3" s="4520"/>
      <c r="CU3" s="4520"/>
      <c r="CV3" s="4520">
        <f t="shared" ref="CV3" si="6">_xlfn.AGGREGATE(1,6,CV2:DA2)</f>
        <v>0.76333333333333331</v>
      </c>
      <c r="CW3" s="4520"/>
      <c r="CX3" s="4520"/>
      <c r="CY3" s="4520"/>
      <c r="CZ3" s="4520"/>
      <c r="DA3" s="4520"/>
      <c r="DB3" s="4520">
        <f t="shared" ref="DB3" si="7">_xlfn.AGGREGATE(1,6,DB2:DG2)</f>
        <v>1.0462500000000001</v>
      </c>
      <c r="DC3" s="4520"/>
      <c r="DD3" s="4520"/>
      <c r="DE3" s="4520"/>
      <c r="DF3" s="4520"/>
      <c r="DG3" s="4520"/>
      <c r="DH3" s="4520">
        <f t="shared" ref="DH3" si="8">_xlfn.AGGREGATE(1,6,DH2:DM2)</f>
        <v>1.4633333333333332</v>
      </c>
      <c r="DI3" s="4520"/>
      <c r="DJ3" s="4520"/>
      <c r="DK3" s="4520"/>
      <c r="DL3" s="4520"/>
      <c r="DM3" s="4520"/>
      <c r="DN3" s="4410"/>
      <c r="DO3" s="4410"/>
    </row>
    <row r="4" spans="1:119" x14ac:dyDescent="0.25">
      <c r="A4" s="4096" t="s">
        <v>1342</v>
      </c>
      <c r="B4">
        <v>1.5</v>
      </c>
      <c r="C4">
        <v>1.61</v>
      </c>
      <c r="G4" s="4097">
        <v>1</v>
      </c>
      <c r="H4">
        <v>0</v>
      </c>
      <c r="I4">
        <v>0</v>
      </c>
      <c r="J4">
        <v>0</v>
      </c>
      <c r="K4">
        <v>0</v>
      </c>
      <c r="L4">
        <v>1</v>
      </c>
      <c r="M4">
        <v>5</v>
      </c>
      <c r="N4">
        <v>1</v>
      </c>
      <c r="O4" s="4098">
        <v>0</v>
      </c>
      <c r="P4">
        <v>0</v>
      </c>
      <c r="Q4">
        <v>0</v>
      </c>
      <c r="R4">
        <v>0</v>
      </c>
      <c r="S4">
        <v>0</v>
      </c>
      <c r="T4" s="4099">
        <v>0</v>
      </c>
      <c r="U4">
        <v>1</v>
      </c>
      <c r="V4">
        <v>1</v>
      </c>
      <c r="W4">
        <v>1</v>
      </c>
      <c r="X4">
        <v>0</v>
      </c>
      <c r="Y4">
        <v>0</v>
      </c>
      <c r="Z4">
        <v>3</v>
      </c>
      <c r="AA4">
        <v>0</v>
      </c>
      <c r="AB4" s="4100">
        <v>0</v>
      </c>
      <c r="AC4">
        <v>0</v>
      </c>
      <c r="AD4">
        <v>0</v>
      </c>
      <c r="AE4">
        <v>0</v>
      </c>
      <c r="AF4">
        <v>0</v>
      </c>
      <c r="AG4" s="4101"/>
      <c r="AO4" s="4102"/>
      <c r="AT4" s="4103"/>
      <c r="BB4" s="4104"/>
      <c r="BG4" s="4105"/>
      <c r="BO4" s="4106"/>
      <c r="BT4" s="4107"/>
      <c r="CB4" s="4108"/>
      <c r="CJ4" s="4491" t="s">
        <v>1361</v>
      </c>
      <c r="CK4" s="4491"/>
      <c r="CL4" s="4491"/>
      <c r="CM4" s="4491"/>
      <c r="CN4" s="4491"/>
      <c r="CO4" s="4491"/>
      <c r="CP4" s="4499" t="s">
        <v>1359</v>
      </c>
      <c r="CQ4" s="4499"/>
      <c r="CR4" s="4499"/>
      <c r="CS4" s="4499"/>
      <c r="CT4" s="4499"/>
      <c r="CU4" s="4499"/>
      <c r="CV4" s="4497" t="s">
        <v>1356</v>
      </c>
      <c r="CW4" s="4497"/>
      <c r="CX4" s="4497"/>
      <c r="CY4" s="4497"/>
      <c r="CZ4" s="4497"/>
      <c r="DA4" s="4497"/>
      <c r="DB4" s="4499" t="s">
        <v>1364</v>
      </c>
      <c r="DC4" s="4499"/>
      <c r="DD4" s="4499"/>
      <c r="DE4" s="4499"/>
      <c r="DF4" s="4499"/>
      <c r="DG4" s="4499"/>
      <c r="DH4" s="4150"/>
      <c r="DI4" s="4150"/>
    </row>
    <row r="5" spans="1:119" x14ac:dyDescent="0.25">
      <c r="A5" s="4109" t="s">
        <v>716</v>
      </c>
      <c r="B5">
        <v>1.05</v>
      </c>
      <c r="C5">
        <v>1.17</v>
      </c>
      <c r="G5" s="4110">
        <v>0</v>
      </c>
      <c r="H5">
        <v>1</v>
      </c>
      <c r="I5">
        <v>1</v>
      </c>
      <c r="J5">
        <v>0</v>
      </c>
      <c r="K5">
        <v>0</v>
      </c>
      <c r="L5">
        <v>0</v>
      </c>
      <c r="M5">
        <v>1</v>
      </c>
      <c r="N5">
        <v>2</v>
      </c>
      <c r="O5" s="4111">
        <v>0</v>
      </c>
      <c r="P5">
        <v>0</v>
      </c>
      <c r="Q5">
        <v>0</v>
      </c>
      <c r="R5">
        <v>0</v>
      </c>
      <c r="S5">
        <v>0</v>
      </c>
      <c r="T5" s="4112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2</v>
      </c>
      <c r="AA5">
        <v>0</v>
      </c>
      <c r="AB5" s="4113">
        <v>0</v>
      </c>
      <c r="AC5">
        <v>0</v>
      </c>
      <c r="AD5">
        <v>0</v>
      </c>
      <c r="AE5">
        <v>0</v>
      </c>
      <c r="AF5">
        <v>0</v>
      </c>
      <c r="AG5" s="4114"/>
      <c r="AO5" s="4115"/>
      <c r="AT5" s="4116"/>
      <c r="BB5" s="4117"/>
      <c r="BG5" s="4118"/>
      <c r="BO5" s="4119"/>
      <c r="BT5" s="4120"/>
      <c r="CB5" s="4121"/>
      <c r="CJ5">
        <f>AVERAGE(B11,B19)</f>
        <v>1.4350000000000001</v>
      </c>
      <c r="CK5" s="4150">
        <f t="shared" ref="CK5:CO5" si="9">AVERAGE(C11,C19)</f>
        <v>1.26</v>
      </c>
      <c r="CL5" s="4150">
        <f t="shared" si="9"/>
        <v>1.23</v>
      </c>
      <c r="CM5" s="4150" t="e">
        <f t="shared" si="9"/>
        <v>#DIV/0!</v>
      </c>
      <c r="CN5" s="4150" t="e">
        <f t="shared" si="9"/>
        <v>#DIV/0!</v>
      </c>
      <c r="CO5" s="4150">
        <f t="shared" si="9"/>
        <v>2</v>
      </c>
      <c r="CP5" s="4149">
        <f>AVERAGE(B8,B18)</f>
        <v>0.71500000000000008</v>
      </c>
      <c r="CQ5" s="4150">
        <f t="shared" ref="CQ5:CU5" si="10">AVERAGE(C8,C18)</f>
        <v>1.1499999999999999</v>
      </c>
      <c r="CR5" s="4150">
        <f t="shared" si="10"/>
        <v>0.98</v>
      </c>
      <c r="CS5" s="4150" t="e">
        <f t="shared" si="10"/>
        <v>#DIV/0!</v>
      </c>
      <c r="CT5" s="4150" t="e">
        <f t="shared" si="10"/>
        <v>#DIV/0!</v>
      </c>
      <c r="CU5" s="4150">
        <f t="shared" si="10"/>
        <v>0</v>
      </c>
      <c r="CV5" s="4149">
        <f>AVERAGE(B16)</f>
        <v>1.38</v>
      </c>
      <c r="CW5" s="4150">
        <f t="shared" ref="CW5:DA5" si="11">AVERAGE(C16)</f>
        <v>1.64</v>
      </c>
      <c r="CX5" s="4150">
        <f t="shared" si="11"/>
        <v>1</v>
      </c>
      <c r="CY5" s="4150" t="e">
        <f t="shared" si="11"/>
        <v>#DIV/0!</v>
      </c>
      <c r="CZ5" s="4150" t="e">
        <f t="shared" si="11"/>
        <v>#DIV/0!</v>
      </c>
      <c r="DA5" s="4150">
        <f t="shared" si="11"/>
        <v>1</v>
      </c>
      <c r="DB5" s="4149">
        <f>AVERAGE(B23)</f>
        <v>1.08</v>
      </c>
      <c r="DC5" s="4150">
        <f t="shared" ref="DC5:DG5" si="12">AVERAGE(C23)</f>
        <v>1.55</v>
      </c>
      <c r="DD5" s="4150" t="e">
        <f t="shared" si="12"/>
        <v>#DIV/0!</v>
      </c>
      <c r="DE5" s="4150" t="e">
        <f t="shared" si="12"/>
        <v>#DIV/0!</v>
      </c>
      <c r="DF5" s="4150" t="e">
        <f t="shared" si="12"/>
        <v>#DIV/0!</v>
      </c>
      <c r="DG5" s="4150">
        <f t="shared" si="12"/>
        <v>0</v>
      </c>
      <c r="DH5" s="4150"/>
      <c r="DI5" s="4150"/>
    </row>
    <row r="6" spans="1:119" x14ac:dyDescent="0.25">
      <c r="A6" s="40" t="s">
        <v>1345</v>
      </c>
      <c r="B6" s="40"/>
      <c r="C6" s="40"/>
      <c r="D6" s="40"/>
      <c r="E6" s="40"/>
      <c r="F6" s="40"/>
      <c r="G6" s="4153"/>
      <c r="O6" s="4154"/>
      <c r="T6" s="4155"/>
      <c r="AB6" s="4156"/>
      <c r="AG6" s="4157"/>
      <c r="AO6" s="4158"/>
      <c r="AT6" s="4159"/>
      <c r="BB6" s="4160"/>
      <c r="BG6" s="4161"/>
      <c r="BO6" s="4162"/>
      <c r="BT6" s="4163"/>
      <c r="CB6" s="4164"/>
      <c r="CJ6" s="4490">
        <f>_xlfn.AGGREGATE(1,6,CJ5:CO5)</f>
        <v>1.4812500000000002</v>
      </c>
      <c r="CK6" s="4490"/>
      <c r="CL6" s="4490"/>
      <c r="CM6" s="4490"/>
      <c r="CN6" s="4490"/>
      <c r="CO6" s="4490"/>
      <c r="CP6" s="4490">
        <f t="shared" ref="CP6" si="13">_xlfn.AGGREGATE(1,6,CP5:CU5)</f>
        <v>0.71124999999999994</v>
      </c>
      <c r="CQ6" s="4490"/>
      <c r="CR6" s="4490"/>
      <c r="CS6" s="4490"/>
      <c r="CT6" s="4490"/>
      <c r="CU6" s="4490"/>
      <c r="CV6" s="4490">
        <f t="shared" ref="CV6" si="14">_xlfn.AGGREGATE(1,6,CV5:DA5)</f>
        <v>1.2549999999999999</v>
      </c>
      <c r="CW6" s="4490"/>
      <c r="CX6" s="4490"/>
      <c r="CY6" s="4490"/>
      <c r="CZ6" s="4490"/>
      <c r="DA6" s="4490"/>
      <c r="DB6" s="4490">
        <f t="shared" ref="DB6" si="15">_xlfn.AGGREGATE(1,6,DB5:DG5)</f>
        <v>0.87666666666666659</v>
      </c>
      <c r="DC6" s="4490"/>
      <c r="DD6" s="4490"/>
      <c r="DE6" s="4490"/>
      <c r="DF6" s="4490"/>
      <c r="DG6" s="4490"/>
      <c r="DH6" s="4150"/>
      <c r="DI6" s="4150"/>
    </row>
    <row r="7" spans="1:119" x14ac:dyDescent="0.25">
      <c r="A7" s="4165" t="s">
        <v>1349</v>
      </c>
      <c r="B7">
        <v>0.75</v>
      </c>
      <c r="C7">
        <v>0.93</v>
      </c>
      <c r="D7">
        <v>0.72</v>
      </c>
      <c r="G7" s="4166">
        <v>3</v>
      </c>
      <c r="H7">
        <v>1</v>
      </c>
      <c r="I7">
        <v>0</v>
      </c>
      <c r="J7">
        <v>0</v>
      </c>
      <c r="K7">
        <v>0</v>
      </c>
      <c r="L7">
        <v>0</v>
      </c>
      <c r="M7">
        <v>1</v>
      </c>
      <c r="N7">
        <v>0</v>
      </c>
      <c r="O7" s="4167">
        <v>0</v>
      </c>
      <c r="P7">
        <v>0</v>
      </c>
      <c r="Q7">
        <v>0</v>
      </c>
      <c r="R7">
        <v>0</v>
      </c>
      <c r="S7">
        <v>0</v>
      </c>
      <c r="T7" s="4168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1</v>
      </c>
      <c r="AB7" s="4169">
        <v>0</v>
      </c>
      <c r="AC7">
        <v>0</v>
      </c>
      <c r="AD7">
        <v>0</v>
      </c>
      <c r="AE7">
        <v>0</v>
      </c>
      <c r="AF7">
        <v>0</v>
      </c>
      <c r="AG7" s="4170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1</v>
      </c>
      <c r="AN7">
        <v>0</v>
      </c>
      <c r="AO7" s="4171">
        <v>0</v>
      </c>
      <c r="AP7">
        <v>0</v>
      </c>
      <c r="AQ7">
        <v>0</v>
      </c>
      <c r="AR7">
        <v>0</v>
      </c>
      <c r="AS7">
        <v>0</v>
      </c>
      <c r="AT7" s="4172"/>
      <c r="BB7" s="4173"/>
      <c r="BG7" s="4174"/>
      <c r="BO7" s="4175"/>
      <c r="BT7" s="4176"/>
      <c r="CB7" s="4177"/>
      <c r="CJ7" s="4150"/>
      <c r="DH7" s="4150"/>
      <c r="DI7" s="4150"/>
    </row>
    <row r="8" spans="1:119" x14ac:dyDescent="0.25">
      <c r="A8" s="4178" t="s">
        <v>1350</v>
      </c>
      <c r="B8">
        <v>0.33</v>
      </c>
      <c r="C8">
        <v>0.64</v>
      </c>
      <c r="D8">
        <v>0.98</v>
      </c>
      <c r="G8" s="4179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1</v>
      </c>
      <c r="N8">
        <v>0</v>
      </c>
      <c r="O8" s="4180">
        <v>0</v>
      </c>
      <c r="P8">
        <v>0</v>
      </c>
      <c r="Q8">
        <v>0</v>
      </c>
      <c r="R8">
        <v>0</v>
      </c>
      <c r="S8">
        <v>0</v>
      </c>
      <c r="T8" s="4181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1</v>
      </c>
      <c r="AA8">
        <v>0</v>
      </c>
      <c r="AB8" s="4182">
        <v>0</v>
      </c>
      <c r="AC8">
        <v>0</v>
      </c>
      <c r="AD8">
        <v>0</v>
      </c>
      <c r="AE8">
        <v>0</v>
      </c>
      <c r="AF8">
        <v>0</v>
      </c>
      <c r="AG8" s="4183">
        <v>1</v>
      </c>
      <c r="AH8">
        <v>3</v>
      </c>
      <c r="AI8">
        <v>1</v>
      </c>
      <c r="AJ8">
        <v>0</v>
      </c>
      <c r="AK8">
        <v>0</v>
      </c>
      <c r="AL8">
        <v>0</v>
      </c>
      <c r="AM8">
        <v>5</v>
      </c>
      <c r="AN8">
        <v>0</v>
      </c>
      <c r="AO8" s="4184">
        <v>0</v>
      </c>
      <c r="AP8">
        <v>0</v>
      </c>
      <c r="AQ8">
        <v>0</v>
      </c>
      <c r="AR8">
        <v>0</v>
      </c>
      <c r="AS8">
        <v>0</v>
      </c>
      <c r="AT8" s="4185"/>
      <c r="BB8" s="4186"/>
      <c r="BG8" s="4187"/>
      <c r="BO8" s="4188"/>
      <c r="BT8" s="4189"/>
      <c r="CB8" s="4190"/>
    </row>
    <row r="9" spans="1:119" x14ac:dyDescent="0.25">
      <c r="A9" s="4191" t="s">
        <v>329</v>
      </c>
      <c r="B9">
        <v>1.1000000000000001</v>
      </c>
      <c r="C9">
        <v>0.32</v>
      </c>
      <c r="D9">
        <v>1.22</v>
      </c>
      <c r="G9" s="4192">
        <v>1</v>
      </c>
      <c r="H9">
        <v>2</v>
      </c>
      <c r="I9">
        <v>1</v>
      </c>
      <c r="J9">
        <v>0</v>
      </c>
      <c r="K9">
        <v>0</v>
      </c>
      <c r="L9">
        <v>0</v>
      </c>
      <c r="M9">
        <v>3</v>
      </c>
      <c r="N9">
        <v>1</v>
      </c>
      <c r="O9" s="4193">
        <v>0</v>
      </c>
      <c r="P9">
        <v>0</v>
      </c>
      <c r="Q9">
        <v>0</v>
      </c>
      <c r="R9">
        <v>0</v>
      </c>
      <c r="S9">
        <v>0</v>
      </c>
      <c r="T9" s="4194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4195">
        <v>0</v>
      </c>
      <c r="AC9">
        <v>0</v>
      </c>
      <c r="AD9">
        <v>0</v>
      </c>
      <c r="AE9">
        <v>0</v>
      </c>
      <c r="AF9">
        <v>0</v>
      </c>
      <c r="AG9" s="4196">
        <v>1</v>
      </c>
      <c r="AH9">
        <v>2</v>
      </c>
      <c r="AI9">
        <v>1</v>
      </c>
      <c r="AJ9">
        <v>0</v>
      </c>
      <c r="AK9">
        <v>0</v>
      </c>
      <c r="AL9">
        <v>0</v>
      </c>
      <c r="AM9">
        <v>1</v>
      </c>
      <c r="AN9">
        <v>0</v>
      </c>
      <c r="AO9" s="4197">
        <v>0</v>
      </c>
      <c r="AP9">
        <v>0</v>
      </c>
      <c r="AQ9">
        <v>0</v>
      </c>
      <c r="AR9">
        <v>0</v>
      </c>
      <c r="AS9">
        <v>0</v>
      </c>
      <c r="AT9" s="4198"/>
      <c r="BB9" s="4199"/>
      <c r="BG9" s="4200"/>
      <c r="BO9" s="4201"/>
      <c r="BT9" s="4202"/>
      <c r="CB9" s="4203"/>
    </row>
    <row r="10" spans="1:119" x14ac:dyDescent="0.25">
      <c r="A10" s="4204" t="s">
        <v>330</v>
      </c>
      <c r="B10">
        <v>1.51</v>
      </c>
      <c r="C10">
        <v>1.27</v>
      </c>
      <c r="G10" s="4205">
        <v>2</v>
      </c>
      <c r="H10">
        <v>4</v>
      </c>
      <c r="I10">
        <v>1</v>
      </c>
      <c r="J10">
        <v>0</v>
      </c>
      <c r="K10">
        <v>0</v>
      </c>
      <c r="L10">
        <v>0</v>
      </c>
      <c r="M10">
        <v>1</v>
      </c>
      <c r="N10">
        <v>0</v>
      </c>
      <c r="O10" s="4206">
        <v>1</v>
      </c>
      <c r="P10">
        <v>0</v>
      </c>
      <c r="Q10">
        <v>0</v>
      </c>
      <c r="R10">
        <v>0</v>
      </c>
      <c r="S10">
        <v>0</v>
      </c>
      <c r="T10" s="4207">
        <v>2</v>
      </c>
      <c r="U10">
        <v>3</v>
      </c>
      <c r="V10">
        <v>1</v>
      </c>
      <c r="W10">
        <v>0</v>
      </c>
      <c r="X10">
        <v>0</v>
      </c>
      <c r="Y10">
        <v>0</v>
      </c>
      <c r="Z10">
        <v>1</v>
      </c>
      <c r="AA10">
        <v>0</v>
      </c>
      <c r="AB10" s="4208">
        <v>0</v>
      </c>
      <c r="AC10">
        <v>0</v>
      </c>
      <c r="AD10">
        <v>0</v>
      </c>
      <c r="AE10">
        <v>0</v>
      </c>
      <c r="AF10">
        <v>0</v>
      </c>
      <c r="AG10" s="4209"/>
      <c r="AO10" s="4210"/>
      <c r="AT10" s="4211"/>
      <c r="BB10" s="4212"/>
      <c r="BG10" s="4213"/>
      <c r="BO10" s="4214"/>
      <c r="BT10" s="4215"/>
      <c r="CB10" s="4216"/>
    </row>
    <row r="11" spans="1:119" x14ac:dyDescent="0.25">
      <c r="A11" s="4217" t="s">
        <v>1351</v>
      </c>
      <c r="B11">
        <v>1.71</v>
      </c>
      <c r="C11">
        <v>1.47</v>
      </c>
      <c r="D11">
        <v>1.23</v>
      </c>
      <c r="G11" s="4218">
        <v>1</v>
      </c>
      <c r="H11">
        <v>2</v>
      </c>
      <c r="I11">
        <v>0</v>
      </c>
      <c r="J11">
        <v>1</v>
      </c>
      <c r="K11">
        <v>0</v>
      </c>
      <c r="L11">
        <v>2</v>
      </c>
      <c r="M11">
        <v>1</v>
      </c>
      <c r="N11">
        <v>1</v>
      </c>
      <c r="O11" s="4219">
        <v>0</v>
      </c>
      <c r="P11">
        <v>0</v>
      </c>
      <c r="Q11">
        <v>0</v>
      </c>
      <c r="R11">
        <v>0</v>
      </c>
      <c r="S11">
        <v>0</v>
      </c>
      <c r="T11" s="4220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4</v>
      </c>
      <c r="AA11">
        <v>0</v>
      </c>
      <c r="AB11" s="4221">
        <v>1</v>
      </c>
      <c r="AC11">
        <v>0</v>
      </c>
      <c r="AD11">
        <v>0</v>
      </c>
      <c r="AE11">
        <v>0</v>
      </c>
      <c r="AF11">
        <v>0</v>
      </c>
      <c r="AG11" s="4222">
        <v>0</v>
      </c>
      <c r="AH11">
        <v>3</v>
      </c>
      <c r="AI11">
        <v>1</v>
      </c>
      <c r="AJ11">
        <v>0</v>
      </c>
      <c r="AK11">
        <v>0</v>
      </c>
      <c r="AL11">
        <v>2</v>
      </c>
      <c r="AM11">
        <v>2</v>
      </c>
      <c r="AN11">
        <v>1</v>
      </c>
      <c r="AO11" s="4223">
        <v>0</v>
      </c>
      <c r="AP11">
        <v>0</v>
      </c>
      <c r="AQ11">
        <v>0</v>
      </c>
      <c r="AR11">
        <v>0</v>
      </c>
      <c r="AS11">
        <v>0</v>
      </c>
      <c r="AT11" s="4224"/>
      <c r="BB11" s="4225"/>
      <c r="BG11" s="4226"/>
      <c r="BO11" s="4227"/>
      <c r="BT11" s="4228"/>
      <c r="CB11" s="4229"/>
    </row>
    <row r="12" spans="1:119" x14ac:dyDescent="0.25">
      <c r="A12" s="4230" t="s">
        <v>832</v>
      </c>
      <c r="B12">
        <v>1.42</v>
      </c>
      <c r="C12">
        <v>0.93</v>
      </c>
      <c r="D12">
        <v>1.03</v>
      </c>
      <c r="G12" s="4231">
        <v>0</v>
      </c>
      <c r="H12">
        <v>2</v>
      </c>
      <c r="I12">
        <v>3</v>
      </c>
      <c r="J12">
        <v>0</v>
      </c>
      <c r="K12">
        <v>0</v>
      </c>
      <c r="L12">
        <v>0</v>
      </c>
      <c r="M12">
        <v>3</v>
      </c>
      <c r="N12">
        <v>0</v>
      </c>
      <c r="O12" s="4232">
        <v>0</v>
      </c>
      <c r="P12">
        <v>0</v>
      </c>
      <c r="Q12">
        <v>0</v>
      </c>
      <c r="R12">
        <v>0</v>
      </c>
      <c r="S12">
        <v>0</v>
      </c>
      <c r="T12" s="4233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4</v>
      </c>
      <c r="AA12">
        <v>0</v>
      </c>
      <c r="AB12" s="4234">
        <v>0</v>
      </c>
      <c r="AC12">
        <v>0</v>
      </c>
      <c r="AD12">
        <v>0</v>
      </c>
      <c r="AE12">
        <v>0</v>
      </c>
      <c r="AF12">
        <v>0</v>
      </c>
      <c r="AG12" s="4235">
        <v>0</v>
      </c>
      <c r="AH12">
        <v>3</v>
      </c>
      <c r="AI12">
        <v>4</v>
      </c>
      <c r="AJ12">
        <v>0</v>
      </c>
      <c r="AK12">
        <v>0</v>
      </c>
      <c r="AL12">
        <v>2</v>
      </c>
      <c r="AM12">
        <v>2</v>
      </c>
      <c r="AN12">
        <v>0</v>
      </c>
      <c r="AO12" s="4236">
        <v>0</v>
      </c>
      <c r="AP12">
        <v>0</v>
      </c>
      <c r="AQ12">
        <v>0</v>
      </c>
      <c r="AR12">
        <v>0</v>
      </c>
      <c r="AS12">
        <v>0</v>
      </c>
      <c r="AT12" s="4237"/>
      <c r="BB12" s="4238"/>
      <c r="BG12" s="4239"/>
      <c r="BO12" s="4240"/>
      <c r="BT12" s="4241"/>
      <c r="CB12" s="4242"/>
    </row>
    <row r="13" spans="1:119" x14ac:dyDescent="0.25">
      <c r="A13" s="4243" t="s">
        <v>1352</v>
      </c>
      <c r="B13">
        <v>1.76</v>
      </c>
      <c r="C13">
        <v>1.4</v>
      </c>
      <c r="D13">
        <v>1.42</v>
      </c>
      <c r="G13" s="4244">
        <v>2</v>
      </c>
      <c r="H13">
        <v>3</v>
      </c>
      <c r="I13">
        <v>3</v>
      </c>
      <c r="J13">
        <v>1</v>
      </c>
      <c r="K13">
        <v>0</v>
      </c>
      <c r="L13">
        <v>0</v>
      </c>
      <c r="M13">
        <v>5</v>
      </c>
      <c r="N13">
        <v>0</v>
      </c>
      <c r="O13" s="4245">
        <v>1</v>
      </c>
      <c r="P13">
        <v>1</v>
      </c>
      <c r="Q13">
        <v>0</v>
      </c>
      <c r="R13">
        <v>0</v>
      </c>
      <c r="S13">
        <v>0</v>
      </c>
      <c r="T13" s="4246">
        <v>1</v>
      </c>
      <c r="U13">
        <v>2</v>
      </c>
      <c r="V13">
        <v>2</v>
      </c>
      <c r="W13">
        <v>0</v>
      </c>
      <c r="X13">
        <v>0</v>
      </c>
      <c r="Y13">
        <v>0</v>
      </c>
      <c r="Z13">
        <v>7</v>
      </c>
      <c r="AA13">
        <v>0</v>
      </c>
      <c r="AB13" s="4247">
        <v>1</v>
      </c>
      <c r="AC13">
        <v>0</v>
      </c>
      <c r="AD13">
        <v>1</v>
      </c>
      <c r="AE13">
        <v>0</v>
      </c>
      <c r="AF13">
        <v>0</v>
      </c>
      <c r="AG13" s="4248">
        <v>1</v>
      </c>
      <c r="AH13">
        <v>3</v>
      </c>
      <c r="AI13">
        <v>1</v>
      </c>
      <c r="AJ13">
        <v>0</v>
      </c>
      <c r="AK13">
        <v>0</v>
      </c>
      <c r="AL13">
        <v>2</v>
      </c>
      <c r="AM13">
        <v>1</v>
      </c>
      <c r="AN13">
        <v>0</v>
      </c>
      <c r="AO13" s="4249">
        <v>0</v>
      </c>
      <c r="AP13">
        <v>0</v>
      </c>
      <c r="AQ13">
        <v>1</v>
      </c>
      <c r="AR13">
        <v>0</v>
      </c>
      <c r="AS13">
        <v>0</v>
      </c>
      <c r="AT13" s="4250"/>
      <c r="BB13" s="4251"/>
      <c r="BG13" s="4252"/>
      <c r="BO13" s="4253"/>
      <c r="BT13" s="4254"/>
      <c r="CB13" s="4255"/>
    </row>
    <row r="14" spans="1:119" x14ac:dyDescent="0.25">
      <c r="A14" s="44" t="s">
        <v>1353</v>
      </c>
      <c r="B14" s="44"/>
      <c r="C14" s="44"/>
      <c r="D14" s="44"/>
      <c r="E14" s="44"/>
      <c r="F14" s="44"/>
      <c r="G14" s="4256"/>
      <c r="O14" s="4257"/>
      <c r="T14" s="4258"/>
      <c r="AB14" s="4259"/>
      <c r="AG14" s="4260"/>
      <c r="AO14" s="4261"/>
      <c r="AT14" s="4262"/>
      <c r="BB14" s="4263"/>
      <c r="BG14" s="4264"/>
      <c r="BO14" s="4265"/>
      <c r="BT14" s="4266"/>
      <c r="CB14" s="4267"/>
    </row>
    <row r="15" spans="1:119" x14ac:dyDescent="0.25">
      <c r="A15" s="4268" t="s">
        <v>1354</v>
      </c>
      <c r="B15">
        <v>1.49</v>
      </c>
      <c r="C15">
        <v>1.38</v>
      </c>
      <c r="D15">
        <v>1.1200000000000001</v>
      </c>
      <c r="G15" s="4269">
        <v>1</v>
      </c>
      <c r="H15">
        <v>2</v>
      </c>
      <c r="I15">
        <v>2</v>
      </c>
      <c r="J15">
        <v>0</v>
      </c>
      <c r="K15">
        <v>0</v>
      </c>
      <c r="L15">
        <v>0</v>
      </c>
      <c r="M15">
        <v>3</v>
      </c>
      <c r="N15">
        <v>1</v>
      </c>
      <c r="O15" s="4270">
        <v>0</v>
      </c>
      <c r="P15">
        <v>0</v>
      </c>
      <c r="Q15">
        <v>0</v>
      </c>
      <c r="R15">
        <v>0</v>
      </c>
      <c r="S15">
        <v>0</v>
      </c>
      <c r="T15" s="4271">
        <v>1</v>
      </c>
      <c r="U15">
        <v>0</v>
      </c>
      <c r="V15">
        <v>0</v>
      </c>
      <c r="W15">
        <v>1</v>
      </c>
      <c r="X15">
        <v>0</v>
      </c>
      <c r="Y15">
        <v>0</v>
      </c>
      <c r="Z15">
        <v>1</v>
      </c>
      <c r="AA15">
        <v>1</v>
      </c>
      <c r="AB15" s="4272">
        <v>1</v>
      </c>
      <c r="AC15">
        <v>0</v>
      </c>
      <c r="AD15">
        <v>0</v>
      </c>
      <c r="AE15">
        <v>0</v>
      </c>
      <c r="AF15">
        <v>0</v>
      </c>
      <c r="AG15" s="4273">
        <v>1</v>
      </c>
      <c r="AH15">
        <v>1</v>
      </c>
      <c r="AI15">
        <v>2</v>
      </c>
      <c r="AJ15">
        <v>0</v>
      </c>
      <c r="AK15">
        <v>0</v>
      </c>
      <c r="AL15">
        <v>0</v>
      </c>
      <c r="AM15">
        <v>5</v>
      </c>
      <c r="AN15">
        <v>0</v>
      </c>
      <c r="AO15" s="4274">
        <v>0</v>
      </c>
      <c r="AP15">
        <v>1</v>
      </c>
      <c r="AQ15">
        <v>0</v>
      </c>
      <c r="AR15">
        <v>0</v>
      </c>
      <c r="AS15">
        <v>0</v>
      </c>
      <c r="AT15" s="4275"/>
      <c r="BB15" s="4276"/>
      <c r="BG15" s="4277"/>
      <c r="BO15" s="4278"/>
      <c r="BT15" s="4279"/>
      <c r="CB15" s="4280"/>
    </row>
    <row r="16" spans="1:119" x14ac:dyDescent="0.25">
      <c r="A16" s="4281" t="s">
        <v>1355</v>
      </c>
      <c r="B16">
        <v>1.38</v>
      </c>
      <c r="C16">
        <v>1.64</v>
      </c>
      <c r="D16">
        <v>1</v>
      </c>
      <c r="G16" s="4282">
        <v>1</v>
      </c>
      <c r="H16">
        <v>2</v>
      </c>
      <c r="I16">
        <v>2</v>
      </c>
      <c r="J16">
        <v>0</v>
      </c>
      <c r="K16">
        <v>0</v>
      </c>
      <c r="L16">
        <v>0</v>
      </c>
      <c r="M16">
        <v>2</v>
      </c>
      <c r="N16">
        <v>0</v>
      </c>
      <c r="O16" s="4283">
        <v>0</v>
      </c>
      <c r="P16">
        <v>0</v>
      </c>
      <c r="Q16">
        <v>0</v>
      </c>
      <c r="R16">
        <v>0</v>
      </c>
      <c r="S16">
        <v>0</v>
      </c>
      <c r="T16" s="4284">
        <v>0</v>
      </c>
      <c r="U16">
        <v>1</v>
      </c>
      <c r="V16">
        <v>2</v>
      </c>
      <c r="W16">
        <v>0</v>
      </c>
      <c r="X16">
        <v>0</v>
      </c>
      <c r="Y16">
        <v>0</v>
      </c>
      <c r="Z16">
        <v>3</v>
      </c>
      <c r="AA16">
        <v>0</v>
      </c>
      <c r="AB16" s="4285">
        <v>0</v>
      </c>
      <c r="AC16">
        <v>0</v>
      </c>
      <c r="AD16">
        <v>0</v>
      </c>
      <c r="AE16">
        <v>0</v>
      </c>
      <c r="AF16">
        <v>0</v>
      </c>
      <c r="AG16" s="4286">
        <v>1</v>
      </c>
      <c r="AH16">
        <v>4</v>
      </c>
      <c r="AI16">
        <v>0</v>
      </c>
      <c r="AJ16">
        <v>0</v>
      </c>
      <c r="AK16">
        <v>0</v>
      </c>
      <c r="AL16">
        <v>0</v>
      </c>
      <c r="AM16">
        <v>1</v>
      </c>
      <c r="AN16">
        <v>0</v>
      </c>
      <c r="AO16" s="4287">
        <v>0</v>
      </c>
      <c r="AP16">
        <v>0</v>
      </c>
      <c r="AQ16">
        <v>0</v>
      </c>
      <c r="AR16">
        <v>0</v>
      </c>
      <c r="AS16">
        <v>0</v>
      </c>
      <c r="AT16" s="4288"/>
      <c r="BB16" s="4289"/>
      <c r="BG16" s="4290"/>
      <c r="BO16" s="4291"/>
      <c r="BT16" s="4292"/>
      <c r="CB16" s="4293"/>
    </row>
    <row r="17" spans="1:113" x14ac:dyDescent="0.25">
      <c r="A17" s="40" t="s">
        <v>1357</v>
      </c>
      <c r="B17" s="40"/>
      <c r="C17" s="40"/>
      <c r="D17" s="40"/>
      <c r="E17" s="40"/>
      <c r="F17" s="40"/>
      <c r="G17" s="4294"/>
      <c r="O17" s="4295"/>
      <c r="T17" s="4296"/>
      <c r="AB17" s="4297"/>
      <c r="AG17" s="4298"/>
      <c r="AO17" s="4299"/>
      <c r="AT17" s="4300"/>
      <c r="BB17" s="4301"/>
      <c r="BG17" s="4302"/>
      <c r="BO17" s="4303"/>
      <c r="BT17" s="4304"/>
      <c r="CB17" s="4305"/>
      <c r="CK17" s="4150"/>
      <c r="CL17" s="4150"/>
      <c r="CM17" s="4150"/>
      <c r="CN17" s="4150"/>
      <c r="CO17" s="4150"/>
      <c r="CP17" s="4150"/>
      <c r="CQ17" s="4150"/>
      <c r="CR17" s="4150"/>
      <c r="CS17" s="4150"/>
      <c r="CT17" s="4150"/>
      <c r="CU17" s="4150"/>
      <c r="CV17" s="4150"/>
      <c r="CW17" s="4150"/>
      <c r="CX17" s="4150"/>
      <c r="CY17" s="4150"/>
      <c r="CZ17" s="4150"/>
      <c r="DA17" s="4150"/>
      <c r="DB17" s="4150"/>
      <c r="DC17" s="4150"/>
      <c r="DD17" s="4150"/>
      <c r="DE17" s="4150"/>
      <c r="DF17" s="4150"/>
      <c r="DG17" s="4150"/>
      <c r="DH17" s="4150"/>
      <c r="DI17" s="4150"/>
    </row>
    <row r="18" spans="1:113" x14ac:dyDescent="0.25">
      <c r="A18" s="4306" t="s">
        <v>1358</v>
      </c>
      <c r="B18">
        <v>1.1000000000000001</v>
      </c>
      <c r="C18">
        <v>1.66</v>
      </c>
      <c r="G18" s="4307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2</v>
      </c>
      <c r="N18">
        <v>0</v>
      </c>
      <c r="O18" s="4308">
        <v>0</v>
      </c>
      <c r="P18">
        <v>0</v>
      </c>
      <c r="Q18">
        <v>0</v>
      </c>
      <c r="R18">
        <v>0</v>
      </c>
      <c r="S18">
        <v>0</v>
      </c>
      <c r="T18" s="4309">
        <v>2</v>
      </c>
      <c r="U18">
        <v>0</v>
      </c>
      <c r="V18">
        <v>2</v>
      </c>
      <c r="W18">
        <v>1</v>
      </c>
      <c r="X18">
        <v>0</v>
      </c>
      <c r="Y18">
        <v>0</v>
      </c>
      <c r="Z18">
        <v>4</v>
      </c>
      <c r="AA18">
        <v>1</v>
      </c>
      <c r="AB18" s="4310">
        <v>1</v>
      </c>
      <c r="AC18">
        <v>0</v>
      </c>
      <c r="AD18">
        <v>0</v>
      </c>
      <c r="AE18">
        <v>0</v>
      </c>
      <c r="AF18">
        <v>0</v>
      </c>
      <c r="AG18" s="4311"/>
      <c r="AO18" s="4312"/>
      <c r="AT18" s="4313"/>
      <c r="BB18" s="4314"/>
      <c r="BG18" s="4315"/>
      <c r="BO18" s="4316"/>
      <c r="BT18" s="4317"/>
      <c r="CB18" s="4318"/>
      <c r="CK18" s="4150"/>
      <c r="CL18" s="4150"/>
      <c r="CM18" s="4150"/>
      <c r="CN18" s="4150"/>
      <c r="CO18" s="4150"/>
      <c r="CP18" s="4150"/>
      <c r="CQ18" s="4150"/>
      <c r="CR18" s="4150"/>
      <c r="CS18" s="4150"/>
      <c r="CT18" s="4150"/>
      <c r="CU18" s="4150"/>
      <c r="CV18" s="4150"/>
      <c r="CW18" s="4150"/>
      <c r="CX18" s="4150"/>
      <c r="CY18" s="4150"/>
      <c r="CZ18" s="4150"/>
      <c r="DA18" s="4150"/>
      <c r="DB18" s="4150"/>
      <c r="DC18" s="4150"/>
      <c r="DD18" s="4150"/>
      <c r="DE18" s="4150"/>
      <c r="DF18" s="4150"/>
      <c r="DG18" s="4150"/>
      <c r="DH18" s="4150"/>
      <c r="DI18" s="4150"/>
    </row>
    <row r="19" spans="1:113" x14ac:dyDescent="0.25">
      <c r="A19" s="4319" t="s">
        <v>1360</v>
      </c>
      <c r="B19">
        <v>1.1599999999999999</v>
      </c>
      <c r="C19">
        <v>1.05</v>
      </c>
      <c r="G19" s="4320">
        <v>3</v>
      </c>
      <c r="H19">
        <v>3</v>
      </c>
      <c r="I19">
        <v>0</v>
      </c>
      <c r="J19">
        <v>0</v>
      </c>
      <c r="K19">
        <v>0</v>
      </c>
      <c r="L19">
        <v>0</v>
      </c>
      <c r="M19">
        <v>3</v>
      </c>
      <c r="N19">
        <v>1</v>
      </c>
      <c r="O19" s="4321">
        <v>0</v>
      </c>
      <c r="P19">
        <v>0</v>
      </c>
      <c r="Q19">
        <v>0</v>
      </c>
      <c r="R19">
        <v>0</v>
      </c>
      <c r="S19">
        <v>0</v>
      </c>
      <c r="T19" s="4322">
        <v>0</v>
      </c>
      <c r="U19">
        <v>0</v>
      </c>
      <c r="V19">
        <v>1</v>
      </c>
      <c r="W19">
        <v>0</v>
      </c>
      <c r="X19">
        <v>0</v>
      </c>
      <c r="Y19">
        <v>0</v>
      </c>
      <c r="Z19">
        <v>5</v>
      </c>
      <c r="AA19">
        <v>1</v>
      </c>
      <c r="AB19" s="4323">
        <v>0</v>
      </c>
      <c r="AC19">
        <v>0</v>
      </c>
      <c r="AD19">
        <v>0</v>
      </c>
      <c r="AE19">
        <v>0</v>
      </c>
      <c r="AF19">
        <v>0</v>
      </c>
      <c r="AG19" s="4324"/>
      <c r="AO19" s="4325"/>
      <c r="AT19" s="4326"/>
      <c r="BB19" s="4327"/>
      <c r="BG19" s="4328"/>
      <c r="BO19" s="4329"/>
      <c r="BT19" s="4330"/>
      <c r="CB19" s="4331"/>
      <c r="CI19" t="s">
        <v>1370</v>
      </c>
      <c r="CK19" s="4150"/>
      <c r="CL19" s="4150"/>
      <c r="CM19" s="4150"/>
      <c r="CN19" s="4150"/>
      <c r="CO19" s="4150"/>
      <c r="CP19" s="4150"/>
      <c r="CQ19" s="4150"/>
      <c r="CR19" s="4150"/>
      <c r="CS19" s="4150"/>
      <c r="CT19" s="4150"/>
      <c r="CU19" s="4150"/>
      <c r="CV19" s="4150"/>
      <c r="CW19" s="4150"/>
      <c r="CX19" s="4150"/>
      <c r="CY19" s="4150"/>
      <c r="CZ19" s="4150"/>
      <c r="DA19" s="4150"/>
      <c r="DB19" s="4150"/>
      <c r="DC19" s="4150"/>
      <c r="DD19" s="4150"/>
      <c r="DE19" s="4150"/>
      <c r="DF19" s="4150"/>
      <c r="DG19" s="4150"/>
      <c r="DH19" s="4150"/>
      <c r="DI19" s="4150"/>
    </row>
    <row r="20" spans="1:113" x14ac:dyDescent="0.25">
      <c r="A20" s="4332" t="s">
        <v>838</v>
      </c>
      <c r="B20">
        <v>1.99</v>
      </c>
      <c r="C20">
        <v>1.2</v>
      </c>
      <c r="G20" s="4333">
        <v>1</v>
      </c>
      <c r="H20">
        <v>3</v>
      </c>
      <c r="I20">
        <v>2</v>
      </c>
      <c r="J20">
        <v>1</v>
      </c>
      <c r="K20">
        <v>0</v>
      </c>
      <c r="L20">
        <v>0</v>
      </c>
      <c r="M20">
        <v>1</v>
      </c>
      <c r="N20">
        <v>0</v>
      </c>
      <c r="O20" s="4334">
        <v>0</v>
      </c>
      <c r="P20">
        <v>0</v>
      </c>
      <c r="Q20">
        <v>0</v>
      </c>
      <c r="R20">
        <v>0</v>
      </c>
      <c r="S20">
        <v>0</v>
      </c>
      <c r="T20" s="4335">
        <v>0</v>
      </c>
      <c r="U20">
        <v>2</v>
      </c>
      <c r="V20">
        <v>0</v>
      </c>
      <c r="W20">
        <v>1</v>
      </c>
      <c r="X20">
        <v>0</v>
      </c>
      <c r="Y20">
        <v>0</v>
      </c>
      <c r="Z20">
        <v>3</v>
      </c>
      <c r="AA20">
        <v>1</v>
      </c>
      <c r="AB20" s="4336">
        <v>0</v>
      </c>
      <c r="AC20">
        <v>0</v>
      </c>
      <c r="AD20">
        <v>0</v>
      </c>
      <c r="AE20">
        <v>0</v>
      </c>
      <c r="AF20">
        <v>0</v>
      </c>
      <c r="AG20" s="4337"/>
      <c r="AO20" s="4338"/>
      <c r="AT20" s="4339"/>
      <c r="BB20" s="4340"/>
      <c r="BG20" s="4341"/>
      <c r="BO20" s="4342"/>
      <c r="BT20" s="4343"/>
      <c r="CB20" s="4344"/>
      <c r="CK20" s="4150"/>
      <c r="CL20" s="4150"/>
      <c r="CM20" s="4150"/>
      <c r="CN20" s="4150"/>
      <c r="CO20" s="4150"/>
      <c r="CP20" s="4150"/>
      <c r="CQ20" s="4150"/>
      <c r="CR20" s="4150"/>
      <c r="CS20" s="4150"/>
      <c r="CT20" s="4150"/>
      <c r="CU20" s="4150"/>
      <c r="CV20" s="4150"/>
      <c r="CW20" s="4150"/>
      <c r="CX20" s="4150"/>
      <c r="CY20" s="4150"/>
      <c r="CZ20" s="4150"/>
      <c r="DA20" s="4150"/>
      <c r="DB20" s="4150"/>
      <c r="DC20" s="4150"/>
      <c r="DD20" s="4150"/>
      <c r="DE20" s="4150"/>
      <c r="DF20" s="4150"/>
      <c r="DG20" s="4150"/>
      <c r="DH20" s="4150"/>
      <c r="DI20" s="4150"/>
    </row>
    <row r="21" spans="1:113" x14ac:dyDescent="0.25">
      <c r="A21" s="4345" t="s">
        <v>1362</v>
      </c>
      <c r="B21">
        <v>0.91</v>
      </c>
      <c r="C21">
        <v>0.99</v>
      </c>
      <c r="G21" s="4346">
        <v>0</v>
      </c>
      <c r="H21">
        <v>3</v>
      </c>
      <c r="I21">
        <v>0</v>
      </c>
      <c r="J21">
        <v>0</v>
      </c>
      <c r="K21">
        <v>0</v>
      </c>
      <c r="L21">
        <v>0</v>
      </c>
      <c r="M21">
        <v>3</v>
      </c>
      <c r="N21">
        <v>0</v>
      </c>
      <c r="O21" s="4347">
        <v>0</v>
      </c>
      <c r="P21">
        <v>0</v>
      </c>
      <c r="Q21">
        <v>0</v>
      </c>
      <c r="R21">
        <v>0</v>
      </c>
      <c r="S21">
        <v>0</v>
      </c>
      <c r="T21" s="4348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4</v>
      </c>
      <c r="AA21">
        <v>1</v>
      </c>
      <c r="AB21" s="4349">
        <v>0</v>
      </c>
      <c r="AC21">
        <v>1</v>
      </c>
      <c r="AD21">
        <v>0</v>
      </c>
      <c r="AE21">
        <v>0</v>
      </c>
      <c r="AF21">
        <v>0</v>
      </c>
      <c r="AG21" s="4350"/>
      <c r="AO21" s="4351"/>
      <c r="AT21" s="4352"/>
      <c r="BB21" s="4353"/>
      <c r="BG21" s="4354"/>
      <c r="BO21" s="4355"/>
      <c r="BT21" s="4356"/>
      <c r="CB21" s="4357"/>
      <c r="CK21" s="4150"/>
      <c r="CL21" s="4150"/>
      <c r="CM21" s="4150"/>
      <c r="CN21" s="4150"/>
      <c r="CO21" s="4150"/>
      <c r="CP21" s="4150"/>
      <c r="CQ21" s="4150"/>
      <c r="CR21" s="4150"/>
      <c r="CS21" s="4150"/>
      <c r="CT21" s="4150"/>
      <c r="CU21" s="4150"/>
      <c r="CV21" s="4150"/>
      <c r="CW21" s="4150"/>
      <c r="CX21" s="4150"/>
      <c r="CY21" s="4150"/>
      <c r="CZ21" s="4150"/>
      <c r="DA21" s="4150"/>
      <c r="DB21" s="4150"/>
      <c r="DC21" s="4150"/>
      <c r="DD21" s="4150"/>
      <c r="DE21" s="4150"/>
      <c r="DF21" s="4150"/>
      <c r="DG21" s="4150"/>
      <c r="DH21" s="4150"/>
      <c r="DI21" s="4150"/>
    </row>
    <row r="22" spans="1:113" x14ac:dyDescent="0.25">
      <c r="A22" s="4358" t="s">
        <v>1363</v>
      </c>
      <c r="B22">
        <v>1.61</v>
      </c>
      <c r="C22">
        <v>1.56</v>
      </c>
      <c r="G22" s="4359">
        <v>3</v>
      </c>
      <c r="H22">
        <v>2</v>
      </c>
      <c r="I22">
        <v>2</v>
      </c>
      <c r="J22">
        <v>0</v>
      </c>
      <c r="K22">
        <v>0</v>
      </c>
      <c r="L22">
        <v>0</v>
      </c>
      <c r="M22">
        <v>2</v>
      </c>
      <c r="N22">
        <v>0</v>
      </c>
      <c r="O22" s="4360">
        <v>0</v>
      </c>
      <c r="P22">
        <v>0</v>
      </c>
      <c r="Q22">
        <v>0</v>
      </c>
      <c r="R22">
        <v>0</v>
      </c>
      <c r="S22">
        <v>0</v>
      </c>
      <c r="T22" s="4361">
        <v>0</v>
      </c>
      <c r="U22">
        <v>1</v>
      </c>
      <c r="V22">
        <v>0</v>
      </c>
      <c r="W22">
        <v>1</v>
      </c>
      <c r="X22">
        <v>0</v>
      </c>
      <c r="Y22">
        <v>0</v>
      </c>
      <c r="Z22">
        <v>1</v>
      </c>
      <c r="AA22">
        <v>0</v>
      </c>
      <c r="AB22" s="4362">
        <v>0</v>
      </c>
      <c r="AC22">
        <v>0</v>
      </c>
      <c r="AD22">
        <v>0</v>
      </c>
      <c r="AE22">
        <v>0</v>
      </c>
      <c r="AF22">
        <v>0</v>
      </c>
      <c r="AG22" s="4363"/>
      <c r="AO22" s="4364"/>
      <c r="AT22" s="4365"/>
      <c r="BB22" s="4366"/>
      <c r="BG22" s="4367"/>
      <c r="BO22" s="4368"/>
      <c r="BT22" s="4369"/>
      <c r="CB22" s="4370"/>
      <c r="CK22" s="4150"/>
      <c r="CL22" s="4150"/>
      <c r="CM22" s="4150"/>
      <c r="CN22" s="4150"/>
      <c r="CO22" s="4150"/>
      <c r="CP22" s="4150"/>
      <c r="CQ22" s="4150"/>
      <c r="CR22" s="4150"/>
      <c r="CS22" s="4150"/>
      <c r="CT22" s="4150"/>
      <c r="CU22" s="4150"/>
      <c r="CV22" s="4150"/>
      <c r="CW22" s="4150"/>
      <c r="CX22" s="4150"/>
      <c r="CY22" s="4150"/>
      <c r="CZ22" s="4150"/>
      <c r="DA22" s="4150"/>
      <c r="DB22" s="4150"/>
      <c r="DC22" s="4150"/>
      <c r="DD22" s="4150"/>
      <c r="DE22" s="4150"/>
      <c r="DF22" s="4150"/>
      <c r="DG22" s="4150"/>
      <c r="DH22" s="4150"/>
      <c r="DI22" s="4150"/>
    </row>
    <row r="23" spans="1:113" x14ac:dyDescent="0.25">
      <c r="A23" s="4371" t="s">
        <v>727</v>
      </c>
      <c r="B23">
        <v>1.08</v>
      </c>
      <c r="C23">
        <v>1.55</v>
      </c>
      <c r="G23" s="4372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2</v>
      </c>
      <c r="N23">
        <v>2</v>
      </c>
      <c r="O23" s="4373">
        <v>0</v>
      </c>
      <c r="P23">
        <v>0</v>
      </c>
      <c r="Q23">
        <v>0</v>
      </c>
      <c r="R23">
        <v>0</v>
      </c>
      <c r="S23">
        <v>0</v>
      </c>
      <c r="T23" s="4374">
        <v>0</v>
      </c>
      <c r="U23">
        <v>2</v>
      </c>
      <c r="V23">
        <v>0</v>
      </c>
      <c r="W23">
        <v>0</v>
      </c>
      <c r="X23">
        <v>0</v>
      </c>
      <c r="Y23">
        <v>0</v>
      </c>
      <c r="Z23">
        <v>5</v>
      </c>
      <c r="AA23">
        <v>0</v>
      </c>
      <c r="AB23" s="4375">
        <v>1</v>
      </c>
      <c r="AC23">
        <v>0</v>
      </c>
      <c r="AD23">
        <v>0</v>
      </c>
      <c r="AE23">
        <v>0</v>
      </c>
      <c r="AF23">
        <v>0</v>
      </c>
      <c r="AG23" s="4376"/>
      <c r="AO23" s="4377"/>
      <c r="AT23" s="4378"/>
      <c r="BB23" s="4379"/>
      <c r="BG23" s="4380"/>
      <c r="BO23" s="4381"/>
      <c r="BT23" s="4382"/>
      <c r="CB23" s="4383"/>
      <c r="CK23" s="4150"/>
      <c r="CL23" s="4150"/>
      <c r="CM23" s="4150"/>
      <c r="CN23" s="4150"/>
      <c r="CO23" s="4150"/>
      <c r="CP23" s="4150"/>
      <c r="CQ23" s="4150"/>
      <c r="CR23" s="4150"/>
      <c r="CS23" s="4150"/>
      <c r="CT23" s="4150"/>
      <c r="CU23" s="4150"/>
      <c r="CV23" s="4150"/>
      <c r="CW23" s="4150"/>
      <c r="CX23" s="4150"/>
      <c r="CY23" s="4150"/>
      <c r="CZ23" s="4150"/>
      <c r="DA23" s="4150"/>
      <c r="DB23" s="4150"/>
      <c r="DC23" s="4150"/>
      <c r="DD23" s="4150"/>
      <c r="DE23" s="4150"/>
      <c r="DF23" s="4150"/>
      <c r="DG23" s="4150"/>
      <c r="DH23" s="4150"/>
      <c r="DI23" s="4150"/>
    </row>
    <row r="24" spans="1:113" x14ac:dyDescent="0.25">
      <c r="A24" s="619" t="s">
        <v>1347</v>
      </c>
      <c r="B24" s="619"/>
      <c r="C24" s="619"/>
      <c r="D24" s="619"/>
      <c r="E24" s="619"/>
      <c r="F24" s="619"/>
      <c r="G24" s="4384"/>
      <c r="O24" s="4385"/>
      <c r="T24" s="4386"/>
      <c r="AB24" s="4387"/>
      <c r="AG24" s="4388"/>
      <c r="AO24" s="4389"/>
      <c r="AT24" s="4390"/>
      <c r="BB24" s="4391"/>
      <c r="BG24" s="4392"/>
      <c r="BO24" s="4393"/>
      <c r="BT24" s="4394"/>
      <c r="CB24" s="4395"/>
      <c r="CK24" s="4150"/>
      <c r="CL24" s="4150"/>
      <c r="CM24" s="4150"/>
      <c r="CN24" s="4150"/>
      <c r="CO24" s="4150"/>
      <c r="CP24" s="4150"/>
      <c r="CQ24" s="4150"/>
      <c r="CR24" s="4150"/>
      <c r="CS24" s="4150"/>
      <c r="CT24" s="4150"/>
      <c r="CU24" s="4150"/>
      <c r="CV24" s="4150"/>
      <c r="CW24" s="4150"/>
      <c r="CX24" s="4150"/>
      <c r="CY24" s="4150"/>
      <c r="CZ24" s="4150"/>
      <c r="DA24" s="4150"/>
      <c r="DB24" s="4150"/>
      <c r="DC24" s="4150"/>
      <c r="DD24" s="4150"/>
      <c r="DE24" s="4150"/>
      <c r="DF24" s="4150"/>
      <c r="DG24" s="4150"/>
      <c r="DH24" s="4150"/>
      <c r="DI24" s="4150"/>
    </row>
    <row r="25" spans="1:113" x14ac:dyDescent="0.25">
      <c r="A25" s="4396" t="s">
        <v>1033</v>
      </c>
      <c r="B25">
        <v>0.32</v>
      </c>
      <c r="E25" s="4147">
        <v>1.19</v>
      </c>
      <c r="F25" s="4147">
        <v>0.73</v>
      </c>
      <c r="G25" s="4397">
        <v>0</v>
      </c>
      <c r="H25">
        <v>2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s="4398">
        <v>0</v>
      </c>
      <c r="P25">
        <v>0</v>
      </c>
      <c r="Q25">
        <v>0</v>
      </c>
      <c r="R25">
        <v>0</v>
      </c>
      <c r="S25">
        <v>0</v>
      </c>
      <c r="T25" s="4399"/>
      <c r="AB25" s="4400"/>
      <c r="AG25" s="4401"/>
      <c r="AO25" s="4402"/>
      <c r="AT25" s="4403">
        <v>0</v>
      </c>
      <c r="AU25">
        <v>1</v>
      </c>
      <c r="AV25">
        <v>1</v>
      </c>
      <c r="AW25">
        <v>1</v>
      </c>
      <c r="AX25">
        <v>0</v>
      </c>
      <c r="AY25">
        <v>0</v>
      </c>
      <c r="AZ25">
        <v>3</v>
      </c>
      <c r="BA25">
        <v>2</v>
      </c>
      <c r="BB25" s="4404">
        <v>0</v>
      </c>
      <c r="BC25">
        <v>0</v>
      </c>
      <c r="BD25">
        <v>0</v>
      </c>
      <c r="BE25">
        <v>0</v>
      </c>
      <c r="BF25">
        <v>0</v>
      </c>
      <c r="BG25" s="4405">
        <v>2</v>
      </c>
      <c r="BH25">
        <v>3</v>
      </c>
      <c r="BI25">
        <v>0</v>
      </c>
      <c r="BJ25">
        <v>0</v>
      </c>
      <c r="BK25">
        <v>0</v>
      </c>
      <c r="BL25">
        <v>0</v>
      </c>
      <c r="BM25">
        <v>3</v>
      </c>
      <c r="BN25">
        <v>0</v>
      </c>
      <c r="BO25" s="4406">
        <v>0</v>
      </c>
      <c r="BP25">
        <v>0</v>
      </c>
      <c r="BQ25">
        <v>0</v>
      </c>
      <c r="BR25">
        <v>0</v>
      </c>
      <c r="BS25">
        <v>0</v>
      </c>
      <c r="BT25" s="4407"/>
      <c r="CB25" s="4408"/>
      <c r="CI25" t="s">
        <v>1371</v>
      </c>
      <c r="CK25" s="4150"/>
      <c r="CL25" s="4150"/>
      <c r="CM25" s="4150"/>
      <c r="CN25" s="4150"/>
      <c r="CO25" s="4150"/>
      <c r="CP25" s="4150"/>
      <c r="CQ25" s="4150"/>
      <c r="CR25" s="4150"/>
      <c r="CS25" s="4150"/>
      <c r="CT25" s="4150"/>
      <c r="CU25" s="4150"/>
      <c r="CV25" s="4150"/>
      <c r="CW25" s="4150"/>
      <c r="CX25" s="4150"/>
      <c r="CY25" s="4150"/>
      <c r="CZ25" s="4150"/>
      <c r="DA25" s="4150"/>
      <c r="DB25" s="4150"/>
      <c r="DC25" s="4150"/>
      <c r="DD25" s="4150"/>
      <c r="DE25" s="4150"/>
      <c r="DF25" s="4150"/>
      <c r="DG25" s="4150"/>
      <c r="DH25" s="4150"/>
      <c r="DI25" s="4150"/>
    </row>
    <row r="26" spans="1:113" x14ac:dyDescent="0.25">
      <c r="B26" s="4070">
        <f t="shared" ref="B26:G26" si="16">AVERAGE(B3:B25)</f>
        <v>1.2294736842105263</v>
      </c>
      <c r="C26" s="4070">
        <f t="shared" si="16"/>
        <v>1.2366666666666666</v>
      </c>
      <c r="D26" s="4070">
        <f t="shared" si="16"/>
        <v>1.0900000000000001</v>
      </c>
      <c r="E26" s="4149">
        <f t="shared" si="16"/>
        <v>1.19</v>
      </c>
      <c r="F26" s="4149">
        <f t="shared" si="16"/>
        <v>0.73</v>
      </c>
      <c r="G26" s="4150">
        <f t="shared" si="16"/>
        <v>1</v>
      </c>
      <c r="H26" s="4150">
        <f t="shared" ref="H26:BS26" si="17">AVERAGE(H3:H25)</f>
        <v>2</v>
      </c>
      <c r="I26" s="4150">
        <f t="shared" si="17"/>
        <v>0.89473684210526316</v>
      </c>
      <c r="J26" s="4150">
        <f t="shared" si="17"/>
        <v>0.26315789473684209</v>
      </c>
      <c r="K26" s="4150">
        <f t="shared" si="17"/>
        <v>0</v>
      </c>
      <c r="L26" s="4150">
        <f t="shared" si="17"/>
        <v>0.26315789473684209</v>
      </c>
      <c r="M26" s="4150">
        <f t="shared" si="17"/>
        <v>2.1052631578947367</v>
      </c>
      <c r="N26" s="4150">
        <f t="shared" si="17"/>
        <v>0.57894736842105265</v>
      </c>
      <c r="O26" s="4150">
        <f t="shared" si="17"/>
        <v>0.10526315789473684</v>
      </c>
      <c r="P26" s="4150">
        <f t="shared" si="17"/>
        <v>5.2631578947368418E-2</v>
      </c>
      <c r="Q26" s="4150">
        <f t="shared" si="17"/>
        <v>0</v>
      </c>
      <c r="R26" s="4150">
        <f t="shared" si="17"/>
        <v>0</v>
      </c>
      <c r="S26" s="4150">
        <f t="shared" si="17"/>
        <v>0</v>
      </c>
      <c r="T26" s="4150">
        <f t="shared" si="17"/>
        <v>0.55555555555555558</v>
      </c>
      <c r="U26" s="4150">
        <f t="shared" si="17"/>
        <v>0.77777777777777779</v>
      </c>
      <c r="V26" s="4150">
        <f t="shared" si="17"/>
        <v>0.55555555555555558</v>
      </c>
      <c r="W26" s="4150">
        <f t="shared" si="17"/>
        <v>0.33333333333333331</v>
      </c>
      <c r="X26" s="4150">
        <f t="shared" si="17"/>
        <v>0</v>
      </c>
      <c r="Y26" s="4150">
        <f t="shared" si="17"/>
        <v>0</v>
      </c>
      <c r="Z26" s="4150">
        <f t="shared" si="17"/>
        <v>3.1666666666666665</v>
      </c>
      <c r="AA26" s="4150">
        <f t="shared" si="17"/>
        <v>0.3888888888888889</v>
      </c>
      <c r="AB26" s="4150">
        <f t="shared" si="17"/>
        <v>0.27777777777777779</v>
      </c>
      <c r="AC26" s="4150">
        <f t="shared" si="17"/>
        <v>5.5555555555555552E-2</v>
      </c>
      <c r="AD26" s="4150">
        <f t="shared" si="17"/>
        <v>5.5555555555555552E-2</v>
      </c>
      <c r="AE26" s="4150">
        <f t="shared" si="17"/>
        <v>0</v>
      </c>
      <c r="AF26" s="4150">
        <f t="shared" si="17"/>
        <v>0</v>
      </c>
      <c r="AG26" s="4150">
        <f t="shared" si="17"/>
        <v>0.625</v>
      </c>
      <c r="AH26" s="4150">
        <f t="shared" si="17"/>
        <v>2.375</v>
      </c>
      <c r="AI26" s="4150">
        <f t="shared" si="17"/>
        <v>1.25</v>
      </c>
      <c r="AJ26" s="4150">
        <f t="shared" si="17"/>
        <v>0</v>
      </c>
      <c r="AK26" s="4150">
        <f t="shared" si="17"/>
        <v>0</v>
      </c>
      <c r="AL26" s="4150">
        <f t="shared" si="17"/>
        <v>0.75</v>
      </c>
      <c r="AM26" s="4150">
        <f t="shared" si="17"/>
        <v>2.25</v>
      </c>
      <c r="AN26" s="4150">
        <f t="shared" si="17"/>
        <v>0.125</v>
      </c>
      <c r="AO26" s="4150">
        <f t="shared" si="17"/>
        <v>0</v>
      </c>
      <c r="AP26" s="4150">
        <f t="shared" si="17"/>
        <v>0.125</v>
      </c>
      <c r="AQ26" s="4150">
        <f t="shared" si="17"/>
        <v>0.125</v>
      </c>
      <c r="AR26" s="4150">
        <f t="shared" si="17"/>
        <v>0</v>
      </c>
      <c r="AS26" s="4150">
        <f t="shared" si="17"/>
        <v>0</v>
      </c>
      <c r="AT26" s="4150">
        <f t="shared" si="17"/>
        <v>0</v>
      </c>
      <c r="AU26" s="4150">
        <f t="shared" si="17"/>
        <v>1</v>
      </c>
      <c r="AV26" s="4150">
        <f t="shared" si="17"/>
        <v>1</v>
      </c>
      <c r="AW26" s="4150">
        <f t="shared" si="17"/>
        <v>1</v>
      </c>
      <c r="AX26" s="4150">
        <f t="shared" si="17"/>
        <v>0</v>
      </c>
      <c r="AY26" s="4150">
        <f t="shared" si="17"/>
        <v>0</v>
      </c>
      <c r="AZ26" s="4150">
        <f t="shared" si="17"/>
        <v>3</v>
      </c>
      <c r="BA26" s="4150">
        <f t="shared" si="17"/>
        <v>2</v>
      </c>
      <c r="BB26" s="4150">
        <f t="shared" si="17"/>
        <v>0</v>
      </c>
      <c r="BC26" s="4150">
        <f t="shared" si="17"/>
        <v>0</v>
      </c>
      <c r="BD26" s="4150">
        <f t="shared" si="17"/>
        <v>0</v>
      </c>
      <c r="BE26" s="4150">
        <f t="shared" si="17"/>
        <v>0</v>
      </c>
      <c r="BF26" s="4150">
        <f t="shared" si="17"/>
        <v>0</v>
      </c>
      <c r="BG26" s="4150">
        <f t="shared" si="17"/>
        <v>2</v>
      </c>
      <c r="BH26" s="4150">
        <f t="shared" si="17"/>
        <v>3</v>
      </c>
      <c r="BI26" s="4150">
        <f t="shared" si="17"/>
        <v>0</v>
      </c>
      <c r="BJ26" s="4150">
        <f t="shared" si="17"/>
        <v>0</v>
      </c>
      <c r="BK26" s="4150">
        <f t="shared" si="17"/>
        <v>0</v>
      </c>
      <c r="BL26" s="4150">
        <f t="shared" si="17"/>
        <v>0</v>
      </c>
      <c r="BM26" s="4150">
        <f t="shared" si="17"/>
        <v>3</v>
      </c>
      <c r="BN26" s="4150">
        <f t="shared" si="17"/>
        <v>0</v>
      </c>
      <c r="BO26" s="4150">
        <f t="shared" si="17"/>
        <v>0</v>
      </c>
      <c r="BP26" s="4150">
        <f t="shared" si="17"/>
        <v>0</v>
      </c>
      <c r="BQ26" s="4150">
        <f t="shared" si="17"/>
        <v>0</v>
      </c>
      <c r="BR26" s="4150">
        <f t="shared" si="17"/>
        <v>0</v>
      </c>
      <c r="BS26" s="4150">
        <f t="shared" si="17"/>
        <v>0</v>
      </c>
      <c r="CK26" s="4150"/>
      <c r="CL26" s="4150"/>
      <c r="CM26" s="4150"/>
      <c r="CN26" s="4150"/>
      <c r="CO26" s="4150"/>
      <c r="CP26" s="4150"/>
      <c r="CQ26" s="4150"/>
      <c r="CR26" s="4150"/>
      <c r="CS26" s="4150"/>
      <c r="CT26" s="4150"/>
      <c r="CU26" s="4150"/>
      <c r="CV26" s="4150"/>
      <c r="CW26" s="4150"/>
      <c r="CX26" s="4150"/>
      <c r="CY26" s="4150"/>
      <c r="CZ26" s="4150"/>
      <c r="DA26" s="4150"/>
      <c r="DB26" s="4150"/>
      <c r="DC26" s="4150"/>
      <c r="DD26" s="4150"/>
      <c r="DE26" s="4150"/>
      <c r="DF26" s="4150"/>
      <c r="DG26" s="4150"/>
      <c r="DH26" s="4150"/>
      <c r="DI26" s="4150"/>
    </row>
    <row r="27" spans="1:113" x14ac:dyDescent="0.25">
      <c r="CK27" s="4150"/>
      <c r="CL27" s="4150"/>
      <c r="CM27" s="4150"/>
      <c r="CN27" s="4150"/>
      <c r="CO27" s="4150"/>
      <c r="CP27" s="4150"/>
      <c r="CQ27" s="4150"/>
      <c r="CR27" s="4150"/>
      <c r="CS27" s="4150"/>
      <c r="CT27" s="4150"/>
      <c r="CU27" s="4150"/>
      <c r="CV27" s="4150"/>
      <c r="CW27" s="4150"/>
      <c r="CX27" s="4150"/>
      <c r="CY27" s="4150"/>
      <c r="CZ27" s="4150"/>
      <c r="DA27" s="4150"/>
      <c r="DB27" s="4150"/>
      <c r="DC27" s="4150"/>
      <c r="DD27" s="4150"/>
      <c r="DE27" s="4150"/>
      <c r="DF27" s="4150"/>
      <c r="DG27" s="4150"/>
      <c r="DH27" s="4150"/>
      <c r="DI27" s="4150"/>
    </row>
    <row r="28" spans="1:113" x14ac:dyDescent="0.25">
      <c r="CK28" s="4150"/>
      <c r="CL28" s="4150"/>
      <c r="CM28" s="4150"/>
      <c r="CN28" s="4150"/>
      <c r="CO28" s="4150"/>
      <c r="CP28" s="4150"/>
      <c r="CQ28" s="4150"/>
      <c r="CR28" s="4150"/>
      <c r="CS28" s="4150"/>
      <c r="CT28" s="4150"/>
      <c r="CU28" s="4150"/>
      <c r="CV28" s="4150"/>
      <c r="CW28" s="4150"/>
      <c r="CX28" s="4150"/>
      <c r="CY28" s="4150"/>
      <c r="CZ28" s="4150"/>
      <c r="DA28" s="4150"/>
      <c r="DB28" s="4150"/>
      <c r="DC28" s="4150"/>
      <c r="DD28" s="4150"/>
      <c r="DE28" s="4150"/>
      <c r="DF28" s="4150"/>
      <c r="DG28" s="4150"/>
      <c r="DH28" s="4150"/>
      <c r="DI28" s="4150"/>
    </row>
    <row r="29" spans="1:113" x14ac:dyDescent="0.25">
      <c r="CK29" s="4150"/>
      <c r="CL29" s="4150"/>
      <c r="CM29" s="4150"/>
      <c r="CN29" s="4150"/>
      <c r="CO29" s="4150"/>
      <c r="CP29" s="4150"/>
      <c r="CQ29" s="4150"/>
      <c r="CR29" s="4150"/>
      <c r="CS29" s="4150"/>
      <c r="CT29" s="4150"/>
      <c r="CU29" s="4150"/>
      <c r="CV29" s="4150"/>
      <c r="CW29" s="4150"/>
      <c r="CX29" s="4150"/>
      <c r="CY29" s="4150"/>
      <c r="CZ29" s="4150"/>
      <c r="DA29" s="4150"/>
      <c r="DB29" s="4150"/>
      <c r="DC29" s="4150"/>
      <c r="DD29" s="4150"/>
      <c r="DE29" s="4150"/>
      <c r="DF29" s="4150"/>
      <c r="DG29" s="4150"/>
      <c r="DH29" s="4150"/>
      <c r="DI29" s="4150"/>
    </row>
    <row r="30" spans="1:113" x14ac:dyDescent="0.25">
      <c r="CK30" s="4150"/>
      <c r="CL30" s="4150"/>
      <c r="CM30" s="4150"/>
      <c r="CN30" s="4150"/>
      <c r="CO30" s="4150"/>
      <c r="CP30" s="4150"/>
      <c r="CQ30" s="4150"/>
      <c r="CR30" s="4150"/>
      <c r="CS30" s="4150"/>
      <c r="CT30" s="4150"/>
      <c r="CU30" s="4150"/>
      <c r="CV30" s="4150"/>
      <c r="CW30" s="4150"/>
      <c r="CX30" s="4150"/>
      <c r="CY30" s="4150"/>
      <c r="CZ30" s="4150"/>
      <c r="DA30" s="4150"/>
      <c r="DB30" s="4150"/>
      <c r="DC30" s="4150"/>
      <c r="DD30" s="4150"/>
      <c r="DE30" s="4150"/>
      <c r="DF30" s="4150"/>
      <c r="DG30" s="4150"/>
      <c r="DH30" s="4150"/>
      <c r="DI30" s="4150"/>
    </row>
  </sheetData>
  <mergeCells count="18">
    <mergeCell ref="CV4:DA4"/>
    <mergeCell ref="DB4:DG4"/>
    <mergeCell ref="DH1:DM1"/>
    <mergeCell ref="CJ3:CO3"/>
    <mergeCell ref="CJ6:CO6"/>
    <mergeCell ref="CP6:CU6"/>
    <mergeCell ref="CV6:DA6"/>
    <mergeCell ref="DB6:DG6"/>
    <mergeCell ref="CJ1:CO1"/>
    <mergeCell ref="CP1:CU1"/>
    <mergeCell ref="CV1:DA1"/>
    <mergeCell ref="DB1:DG1"/>
    <mergeCell ref="CP3:CU3"/>
    <mergeCell ref="CV3:DA3"/>
    <mergeCell ref="DB3:DG3"/>
    <mergeCell ref="DH3:DM3"/>
    <mergeCell ref="CJ4:CO4"/>
    <mergeCell ref="CP4:CU4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3A790-1582-408A-82E4-3D912D5D55B0}">
  <dimension ref="A1:DO9"/>
  <sheetViews>
    <sheetView workbookViewId="0">
      <selection activeCell="A10" sqref="A10:XFD33"/>
    </sheetView>
  </sheetViews>
  <sheetFormatPr defaultRowHeight="15" x14ac:dyDescent="0.25"/>
  <cols>
    <col min="1" max="1" width="12.28515625" customWidth="1"/>
    <col min="5" max="5" width="14.140625" style="4147" customWidth="1"/>
    <col min="6" max="6" width="9.140625" style="4147"/>
    <col min="90" max="90" width="10.28515625" bestFit="1" customWidth="1"/>
  </cols>
  <sheetData>
    <row r="1" spans="1:119" x14ac:dyDescent="0.25">
      <c r="A1" s="3999"/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CL1" s="4500" t="s">
        <v>1383</v>
      </c>
      <c r="CM1" s="4500"/>
      <c r="CN1" s="4500"/>
      <c r="CO1" s="4500"/>
      <c r="CP1" s="4500" t="s">
        <v>1111</v>
      </c>
      <c r="CQ1" s="4500"/>
      <c r="CR1" s="4519" t="s">
        <v>1111</v>
      </c>
      <c r="CS1" s="4502"/>
      <c r="CT1" s="4502"/>
      <c r="CU1" s="4502"/>
      <c r="CV1" s="4502" t="s">
        <v>1382</v>
      </c>
      <c r="CW1" s="4502"/>
      <c r="CX1" s="4501" t="s">
        <v>1101</v>
      </c>
      <c r="CY1" s="4501"/>
      <c r="CZ1" s="4501"/>
      <c r="DA1" s="4501"/>
      <c r="DB1" s="4501"/>
      <c r="DC1" s="4501"/>
      <c r="DD1" s="4499" t="s">
        <v>1102</v>
      </c>
      <c r="DE1" s="4499"/>
      <c r="DF1" s="4499"/>
      <c r="DG1" s="4499"/>
      <c r="DH1" s="4499"/>
      <c r="DI1" s="4499"/>
      <c r="DJ1" s="4501" t="s">
        <v>1104</v>
      </c>
      <c r="DK1" s="4501"/>
      <c r="DL1" s="4501"/>
      <c r="DM1" s="4501"/>
      <c r="DN1" s="4501"/>
      <c r="DO1" s="4501"/>
    </row>
    <row r="2" spans="1:119" x14ac:dyDescent="0.25">
      <c r="A2" s="619" t="s">
        <v>1341</v>
      </c>
      <c r="B2" s="619"/>
      <c r="C2" s="619"/>
      <c r="D2" s="619"/>
      <c r="E2" s="619"/>
      <c r="F2" s="619"/>
      <c r="G2" s="4122"/>
      <c r="O2" s="4123"/>
      <c r="T2" s="4124"/>
      <c r="AB2" s="4125"/>
      <c r="AG2" s="4126"/>
      <c r="AO2" s="4127"/>
      <c r="AT2" s="4128"/>
      <c r="BB2" s="4129"/>
      <c r="BG2" s="4130"/>
      <c r="BO2" s="4131"/>
      <c r="BT2" s="4132"/>
      <c r="CB2" s="4133"/>
      <c r="CL2" s="1">
        <f>AVERAGE(B6)</f>
        <v>1.25</v>
      </c>
      <c r="CM2" s="1">
        <f t="shared" ref="CM2:CQ2" si="0">AVERAGE(C6)</f>
        <v>1.42</v>
      </c>
      <c r="CN2" s="1">
        <f t="shared" si="0"/>
        <v>0.99</v>
      </c>
      <c r="CO2" s="1" t="e">
        <f t="shared" si="0"/>
        <v>#DIV/0!</v>
      </c>
      <c r="CP2" s="1" t="e">
        <f t="shared" si="0"/>
        <v>#DIV/0!</v>
      </c>
      <c r="CQ2" s="1">
        <f t="shared" si="0"/>
        <v>2</v>
      </c>
      <c r="CR2" s="1">
        <f>AVERAGE(B3,D7)</f>
        <v>0.92500000000000004</v>
      </c>
      <c r="CS2" s="1" t="e">
        <f>AVERAGE(#REF!,C3)</f>
        <v>#REF!</v>
      </c>
      <c r="CT2" s="1" t="e">
        <f>AVERAGE(#REF!)</f>
        <v>#REF!</v>
      </c>
      <c r="CU2" s="1" t="e">
        <f>AVERAGE(#REF!)</f>
        <v>#REF!</v>
      </c>
      <c r="CV2" s="1" t="e">
        <f>AVERAGE(#REF!,B5)</f>
        <v>#REF!</v>
      </c>
      <c r="CW2" s="1" t="e">
        <f>AVERAGE(#REF!,C5)</f>
        <v>#REF!</v>
      </c>
      <c r="CX2" s="1" t="e">
        <f>AVERAGE(#REF!,D5)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</row>
    <row r="3" spans="1:119" x14ac:dyDescent="0.25">
      <c r="A3" s="4134" t="s">
        <v>324</v>
      </c>
      <c r="B3">
        <v>0.93</v>
      </c>
      <c r="C3">
        <v>1.34</v>
      </c>
      <c r="G3" s="4135">
        <v>4</v>
      </c>
      <c r="H3">
        <v>0</v>
      </c>
      <c r="I3">
        <v>1</v>
      </c>
      <c r="J3">
        <v>0</v>
      </c>
      <c r="K3">
        <v>0</v>
      </c>
      <c r="L3">
        <v>0</v>
      </c>
      <c r="M3">
        <v>5</v>
      </c>
      <c r="N3">
        <v>1</v>
      </c>
      <c r="O3" s="4136">
        <v>0</v>
      </c>
      <c r="P3">
        <v>0</v>
      </c>
      <c r="Q3">
        <v>0</v>
      </c>
      <c r="R3">
        <v>0</v>
      </c>
      <c r="S3">
        <v>0</v>
      </c>
      <c r="T3" s="4137">
        <v>1</v>
      </c>
      <c r="U3">
        <v>1</v>
      </c>
      <c r="V3">
        <v>1</v>
      </c>
      <c r="W3">
        <v>0</v>
      </c>
      <c r="X3">
        <v>0</v>
      </c>
      <c r="Y3">
        <v>0</v>
      </c>
      <c r="Z3">
        <v>3</v>
      </c>
      <c r="AA3">
        <v>0</v>
      </c>
      <c r="AB3" s="4138">
        <v>0</v>
      </c>
      <c r="AC3">
        <v>0</v>
      </c>
      <c r="AD3">
        <v>0</v>
      </c>
      <c r="AE3">
        <v>0</v>
      </c>
      <c r="AF3">
        <v>0</v>
      </c>
      <c r="AG3" s="4139"/>
      <c r="AO3" s="4140"/>
      <c r="AT3" s="4141"/>
      <c r="BB3" s="4142"/>
      <c r="BG3" s="4143"/>
      <c r="BO3" s="4144"/>
      <c r="BT3" s="4145"/>
      <c r="CB3" s="4146"/>
      <c r="CL3" s="4474">
        <f>_xlfn.AGGREGATE(1,6,CL2:CQ2)</f>
        <v>1.415</v>
      </c>
      <c r="CM3" s="4474"/>
      <c r="CN3" s="4474"/>
      <c r="CO3" s="4474"/>
      <c r="CP3" s="4474"/>
      <c r="CQ3" s="4474"/>
      <c r="CR3" s="4474">
        <f t="shared" ref="CR3" si="1">_xlfn.AGGREGATE(1,6,CR2:CW2)</f>
        <v>0.92500000000000004</v>
      </c>
      <c r="CS3" s="4474"/>
      <c r="CT3" s="4474"/>
      <c r="CU3" s="4474"/>
      <c r="CV3" s="4474"/>
      <c r="CW3" s="4474"/>
      <c r="CX3" s="4474" t="e">
        <f t="shared" ref="CX3" si="2">_xlfn.AGGREGATE(1,6,CX2:DC2)</f>
        <v>#DIV/0!</v>
      </c>
      <c r="CY3" s="4474"/>
      <c r="CZ3" s="4474"/>
      <c r="DA3" s="4474"/>
      <c r="DB3" s="4474"/>
      <c r="DC3" s="4474"/>
      <c r="DD3" s="4474" t="e">
        <f t="shared" ref="DD3" si="3">_xlfn.AGGREGATE(1,6,DD2:DI2)</f>
        <v>#DIV/0!</v>
      </c>
      <c r="DE3" s="4474"/>
      <c r="DF3" s="4474"/>
      <c r="DG3" s="4474"/>
      <c r="DH3" s="4474"/>
      <c r="DI3" s="4474"/>
      <c r="DJ3" s="4474" t="e">
        <f t="shared" ref="DJ3" si="4">_xlfn.AGGREGATE(1,6,DJ2:DO2)</f>
        <v>#DIV/0!</v>
      </c>
      <c r="DK3" s="4474"/>
      <c r="DL3" s="4474"/>
      <c r="DM3" s="4474"/>
      <c r="DN3" s="4474"/>
      <c r="DO3" s="4474"/>
    </row>
    <row r="4" spans="1:119" x14ac:dyDescent="0.25">
      <c r="A4" s="4457" t="s">
        <v>1372</v>
      </c>
      <c r="B4" s="4457"/>
      <c r="C4" s="4457"/>
      <c r="D4" s="4457"/>
      <c r="E4" s="4457"/>
      <c r="F4" s="4457"/>
      <c r="G4" s="4418"/>
      <c r="O4" s="4419"/>
      <c r="T4" s="4420"/>
      <c r="AB4" s="4421"/>
      <c r="AG4" s="4422"/>
      <c r="AO4" s="4423"/>
      <c r="AT4" s="4424"/>
      <c r="BB4" s="4425"/>
      <c r="BG4" s="4426"/>
      <c r="BO4" s="4427"/>
      <c r="BT4" s="4428"/>
      <c r="CB4" s="4429"/>
      <c r="CL4" s="4499" t="s">
        <v>1099</v>
      </c>
      <c r="CM4" s="4499"/>
      <c r="CN4" s="4499"/>
      <c r="CO4" s="4499"/>
      <c r="CP4" s="4499"/>
      <c r="CQ4" s="4499"/>
      <c r="CR4" s="4497" t="s">
        <v>994</v>
      </c>
      <c r="CS4" s="4497"/>
      <c r="CT4" s="4497"/>
      <c r="CU4" s="4497"/>
      <c r="CV4" s="4497"/>
      <c r="CW4" s="4497"/>
      <c r="CX4" s="4499" t="s">
        <v>1103</v>
      </c>
      <c r="CY4" s="4499"/>
      <c r="CZ4" s="4499"/>
      <c r="DA4" s="4499"/>
      <c r="DB4" s="4499"/>
      <c r="DC4" s="4499"/>
      <c r="DD4" s="4498" t="s">
        <v>1105</v>
      </c>
      <c r="DE4" s="4498"/>
      <c r="DF4" s="4498"/>
      <c r="DG4" s="4498"/>
      <c r="DH4" s="4498"/>
      <c r="DI4" s="4498"/>
    </row>
    <row r="5" spans="1:119" x14ac:dyDescent="0.25">
      <c r="A5" s="4430" t="s">
        <v>381</v>
      </c>
      <c r="B5">
        <v>1.03</v>
      </c>
      <c r="C5">
        <v>0.86</v>
      </c>
      <c r="D5">
        <v>1.3</v>
      </c>
      <c r="G5" s="4431">
        <v>1</v>
      </c>
      <c r="H5">
        <v>3</v>
      </c>
      <c r="I5">
        <v>1</v>
      </c>
      <c r="J5">
        <v>0</v>
      </c>
      <c r="K5">
        <v>0</v>
      </c>
      <c r="L5">
        <v>0</v>
      </c>
      <c r="M5">
        <v>1</v>
      </c>
      <c r="N5">
        <v>0</v>
      </c>
      <c r="O5" s="4432">
        <v>0</v>
      </c>
      <c r="P5">
        <v>0</v>
      </c>
      <c r="Q5">
        <v>0</v>
      </c>
      <c r="R5">
        <v>0</v>
      </c>
      <c r="S5">
        <v>0</v>
      </c>
      <c r="T5" s="4433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1</v>
      </c>
      <c r="AA5">
        <v>0</v>
      </c>
      <c r="AB5" s="4434">
        <v>0</v>
      </c>
      <c r="AC5">
        <v>1</v>
      </c>
      <c r="AD5">
        <v>0</v>
      </c>
      <c r="AE5">
        <v>0</v>
      </c>
      <c r="AF5">
        <v>0</v>
      </c>
      <c r="AG5" s="4435">
        <v>2</v>
      </c>
      <c r="AH5">
        <v>1</v>
      </c>
      <c r="AI5">
        <v>0</v>
      </c>
      <c r="AJ5">
        <v>2</v>
      </c>
      <c r="AK5">
        <v>0</v>
      </c>
      <c r="AL5">
        <v>0</v>
      </c>
      <c r="AM5">
        <v>2</v>
      </c>
      <c r="AN5">
        <v>1</v>
      </c>
      <c r="AO5" s="4436">
        <v>0</v>
      </c>
      <c r="AP5">
        <v>1</v>
      </c>
      <c r="AQ5">
        <v>0</v>
      </c>
      <c r="AR5">
        <v>0</v>
      </c>
      <c r="AS5">
        <v>0</v>
      </c>
      <c r="AT5" s="4437"/>
      <c r="BB5" s="4438"/>
      <c r="BG5" s="4439"/>
      <c r="BO5" s="4440"/>
      <c r="BT5" s="4441"/>
      <c r="CB5" s="4442"/>
      <c r="CL5" s="4149" t="e">
        <f>AVERAGE(#REF!)</f>
        <v>#REF!</v>
      </c>
      <c r="CM5" s="4149" t="e">
        <f>AVERAGE(#REF!)</f>
        <v>#REF!</v>
      </c>
      <c r="CN5" s="4149" t="e">
        <f>AVERAGE(#REF!)</f>
        <v>#REF!</v>
      </c>
      <c r="CO5" s="4149" t="e">
        <f>AVERAGE(#REF!)</f>
        <v>#REF!</v>
      </c>
      <c r="CP5" s="4149" t="e">
        <f>AVERAGE(#REF!)</f>
        <v>#REF!</v>
      </c>
      <c r="CQ5" s="4149" t="e">
        <f>AVERAGE(#REF!)</f>
        <v>#REF!</v>
      </c>
      <c r="CR5" s="4149" t="e">
        <f>AVERAGE(#REF!)</f>
        <v>#REF!</v>
      </c>
      <c r="CS5" s="4149" t="e">
        <f>AVERAGE(#REF!)</f>
        <v>#REF!</v>
      </c>
      <c r="CT5" s="4149" t="e">
        <f>AVERAGE(#REF!)</f>
        <v>#REF!</v>
      </c>
      <c r="CU5" s="4149" t="e">
        <f>AVERAGE(#REF!)</f>
        <v>#REF!</v>
      </c>
      <c r="CV5" s="4149" t="e">
        <f>AVERAGE(#REF!)</f>
        <v>#REF!</v>
      </c>
      <c r="CW5" s="4149" t="e">
        <f>AVERAGE(#REF!)</f>
        <v>#REF!</v>
      </c>
      <c r="CX5" s="4149" t="e">
        <f>AVERAGE(#REF!)</f>
        <v>#REF!</v>
      </c>
      <c r="CY5" s="4149" t="e">
        <f>AVERAGE(#REF!)</f>
        <v>#REF!</v>
      </c>
      <c r="CZ5" s="4149" t="e">
        <f>AVERAGE(#REF!)</f>
        <v>#REF!</v>
      </c>
      <c r="DA5" s="4149" t="e">
        <f>AVERAGE(#REF!)</f>
        <v>#REF!</v>
      </c>
      <c r="DB5" s="4149" t="e">
        <f>AVERAGE(#REF!)</f>
        <v>#REF!</v>
      </c>
      <c r="DC5" s="4149" t="e">
        <f>AVERAGE(#REF!)</f>
        <v>#REF!</v>
      </c>
      <c r="DD5" s="4149" t="e">
        <f>AVERAGE(#REF!)</f>
        <v>#REF!</v>
      </c>
      <c r="DE5" s="4149" t="e">
        <f>AVERAGE(#REF!)</f>
        <v>#REF!</v>
      </c>
      <c r="DF5" s="4149" t="e">
        <f>AVERAGE(#REF!)</f>
        <v>#REF!</v>
      </c>
      <c r="DG5" s="4149" t="e">
        <f>AVERAGE(#REF!)</f>
        <v>#REF!</v>
      </c>
      <c r="DH5" s="4149" t="e">
        <f>AVERAGE(#REF!)</f>
        <v>#REF!</v>
      </c>
      <c r="DI5" s="4149" t="e">
        <f>AVERAGE(#REF!)</f>
        <v>#REF!</v>
      </c>
    </row>
    <row r="6" spans="1:119" x14ac:dyDescent="0.25">
      <c r="A6" s="4443" t="s">
        <v>1386</v>
      </c>
      <c r="B6">
        <v>1.25</v>
      </c>
      <c r="C6">
        <v>1.42</v>
      </c>
      <c r="D6">
        <v>0.99</v>
      </c>
      <c r="G6" s="4444">
        <v>2</v>
      </c>
      <c r="H6">
        <v>1</v>
      </c>
      <c r="I6">
        <v>0</v>
      </c>
      <c r="J6">
        <v>0</v>
      </c>
      <c r="K6">
        <v>0</v>
      </c>
      <c r="L6">
        <v>1</v>
      </c>
      <c r="M6">
        <v>2</v>
      </c>
      <c r="N6">
        <v>0</v>
      </c>
      <c r="O6" s="4445">
        <v>0</v>
      </c>
      <c r="P6">
        <v>0</v>
      </c>
      <c r="Q6">
        <v>0</v>
      </c>
      <c r="R6">
        <v>0</v>
      </c>
      <c r="S6">
        <v>0</v>
      </c>
      <c r="T6" s="444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3</v>
      </c>
      <c r="AA6">
        <v>2</v>
      </c>
      <c r="AB6" s="4447">
        <v>0</v>
      </c>
      <c r="AC6">
        <v>0</v>
      </c>
      <c r="AD6">
        <v>0</v>
      </c>
      <c r="AE6">
        <v>0</v>
      </c>
      <c r="AF6">
        <v>0</v>
      </c>
      <c r="AG6" s="4448">
        <v>0</v>
      </c>
      <c r="AH6">
        <v>1</v>
      </c>
      <c r="AI6">
        <v>0</v>
      </c>
      <c r="AJ6">
        <v>0</v>
      </c>
      <c r="AK6">
        <v>0</v>
      </c>
      <c r="AL6">
        <v>0</v>
      </c>
      <c r="AM6">
        <v>0</v>
      </c>
      <c r="AN6">
        <v>1</v>
      </c>
      <c r="AO6" s="4449">
        <v>0</v>
      </c>
      <c r="AP6">
        <v>1</v>
      </c>
      <c r="AQ6">
        <v>0</v>
      </c>
      <c r="AR6">
        <v>0</v>
      </c>
      <c r="AS6">
        <v>0</v>
      </c>
      <c r="AT6" s="4450"/>
      <c r="BB6" s="4451"/>
      <c r="BG6" s="4452"/>
      <c r="BO6" s="4453"/>
      <c r="BT6" s="4454"/>
      <c r="CB6" s="4455"/>
      <c r="CL6" s="4474" t="e">
        <f>_xlfn.AGGREGATE(1,6,CL5:CQ5)</f>
        <v>#DIV/0!</v>
      </c>
      <c r="CM6" s="4474"/>
      <c r="CN6" s="4474"/>
      <c r="CO6" s="4474"/>
      <c r="CP6" s="4474"/>
      <c r="CQ6" s="4474"/>
      <c r="CR6" s="4474" t="e">
        <f>_xlfn.AGGREGATE(1,6,CR5:CW5)</f>
        <v>#DIV/0!</v>
      </c>
      <c r="CS6" s="4474"/>
      <c r="CT6" s="4474"/>
      <c r="CU6" s="4474"/>
      <c r="CV6" s="4474"/>
      <c r="CW6" s="4474"/>
      <c r="CX6" s="4474" t="e">
        <f>_xlfn.AGGREGATE(1,6,CX5:DC5)</f>
        <v>#DIV/0!</v>
      </c>
      <c r="CY6" s="4474"/>
      <c r="CZ6" s="4474"/>
      <c r="DA6" s="4474"/>
      <c r="DB6" s="4474"/>
      <c r="DC6" s="4474"/>
      <c r="DD6" s="4474" t="e">
        <f>_xlfn.AGGREGATE(1,6,DD5:DI5)</f>
        <v>#DIV/0!</v>
      </c>
      <c r="DE6" s="4474"/>
      <c r="DF6" s="4474"/>
      <c r="DG6" s="4474"/>
      <c r="DH6" s="4474"/>
      <c r="DI6" s="4474"/>
    </row>
    <row r="7" spans="1:119" x14ac:dyDescent="0.25">
      <c r="A7" s="4456" t="s">
        <v>327</v>
      </c>
      <c r="B7">
        <v>1.67</v>
      </c>
      <c r="C7">
        <v>1.1000000000000001</v>
      </c>
      <c r="D7">
        <v>0.92</v>
      </c>
      <c r="G7" s="4457">
        <v>0</v>
      </c>
      <c r="H7">
        <v>5</v>
      </c>
      <c r="I7">
        <v>2</v>
      </c>
      <c r="J7">
        <v>0</v>
      </c>
      <c r="K7">
        <v>0</v>
      </c>
      <c r="L7">
        <v>0</v>
      </c>
      <c r="M7">
        <v>4</v>
      </c>
      <c r="N7">
        <v>0</v>
      </c>
      <c r="O7" s="4458">
        <v>0</v>
      </c>
      <c r="P7">
        <v>0</v>
      </c>
      <c r="Q7">
        <v>0</v>
      </c>
      <c r="R7">
        <v>0</v>
      </c>
      <c r="S7">
        <v>0</v>
      </c>
      <c r="T7" s="4459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4</v>
      </c>
      <c r="AA7">
        <v>1</v>
      </c>
      <c r="AB7" s="4460">
        <v>0</v>
      </c>
      <c r="AC7">
        <v>1</v>
      </c>
      <c r="AD7">
        <v>0</v>
      </c>
      <c r="AE7">
        <v>0</v>
      </c>
      <c r="AF7">
        <v>0</v>
      </c>
      <c r="AG7" s="4461">
        <v>1</v>
      </c>
      <c r="AH7">
        <v>0</v>
      </c>
      <c r="AI7">
        <v>0</v>
      </c>
      <c r="AJ7">
        <v>0</v>
      </c>
      <c r="AK7">
        <v>0</v>
      </c>
      <c r="AL7">
        <v>0</v>
      </c>
      <c r="AM7">
        <v>2</v>
      </c>
      <c r="AN7">
        <v>3</v>
      </c>
      <c r="AO7" s="4462">
        <v>0</v>
      </c>
      <c r="AP7">
        <v>0</v>
      </c>
      <c r="AQ7">
        <v>0</v>
      </c>
      <c r="AR7">
        <v>0</v>
      </c>
      <c r="AS7">
        <v>0</v>
      </c>
      <c r="AT7" s="4463"/>
      <c r="BB7" s="4464"/>
      <c r="BG7" s="4465"/>
      <c r="BO7" s="4466"/>
      <c r="BT7" s="4467"/>
      <c r="CB7" s="4468"/>
    </row>
    <row r="8" spans="1:119" x14ac:dyDescent="0.25">
      <c r="A8" s="4457" t="s">
        <v>328</v>
      </c>
      <c r="B8">
        <v>1.28</v>
      </c>
      <c r="C8">
        <v>1.21</v>
      </c>
      <c r="D8">
        <v>1.04</v>
      </c>
      <c r="G8" s="4457">
        <v>2</v>
      </c>
      <c r="H8">
        <v>1</v>
      </c>
      <c r="I8">
        <v>2</v>
      </c>
      <c r="J8">
        <v>0</v>
      </c>
      <c r="K8">
        <v>0</v>
      </c>
      <c r="L8">
        <v>1</v>
      </c>
      <c r="M8">
        <v>5</v>
      </c>
      <c r="N8">
        <v>2</v>
      </c>
      <c r="O8" s="4468">
        <v>0</v>
      </c>
      <c r="P8">
        <v>0</v>
      </c>
      <c r="Q8">
        <v>0</v>
      </c>
      <c r="R8">
        <v>0</v>
      </c>
      <c r="S8">
        <v>0</v>
      </c>
      <c r="T8" s="4459">
        <v>1</v>
      </c>
      <c r="U8">
        <v>2</v>
      </c>
      <c r="V8">
        <v>0</v>
      </c>
      <c r="W8">
        <v>0</v>
      </c>
      <c r="X8">
        <v>0</v>
      </c>
      <c r="Y8">
        <v>0</v>
      </c>
      <c r="Z8">
        <v>3</v>
      </c>
      <c r="AA8">
        <v>0</v>
      </c>
      <c r="AB8" s="4468">
        <v>1</v>
      </c>
      <c r="AC8">
        <v>0</v>
      </c>
      <c r="AD8">
        <v>0</v>
      </c>
      <c r="AE8">
        <v>0</v>
      </c>
      <c r="AF8">
        <v>0</v>
      </c>
      <c r="AG8" s="4461">
        <v>0</v>
      </c>
      <c r="AH8">
        <v>1</v>
      </c>
      <c r="AI8">
        <v>2</v>
      </c>
      <c r="AJ8">
        <v>0</v>
      </c>
      <c r="AK8">
        <v>0</v>
      </c>
      <c r="AL8">
        <v>1</v>
      </c>
      <c r="AM8">
        <v>4</v>
      </c>
      <c r="AN8">
        <v>1</v>
      </c>
      <c r="AO8" s="4468">
        <v>0</v>
      </c>
      <c r="AP8">
        <v>0</v>
      </c>
      <c r="AQ8">
        <v>0</v>
      </c>
      <c r="AR8">
        <v>0</v>
      </c>
      <c r="AS8">
        <v>0</v>
      </c>
      <c r="AT8" s="4463"/>
      <c r="BB8" s="4468"/>
      <c r="BG8" s="4465"/>
      <c r="BO8" s="4468"/>
      <c r="BT8" s="4467"/>
      <c r="CB8" s="4468"/>
    </row>
    <row r="9" spans="1:119" x14ac:dyDescent="0.25">
      <c r="B9">
        <f>AVERAGE(B3:B8)</f>
        <v>1.232</v>
      </c>
      <c r="C9" s="4469">
        <f t="shared" ref="C9:D9" si="5">AVERAGE(C3:C8)</f>
        <v>1.1860000000000002</v>
      </c>
      <c r="D9" s="4469">
        <f t="shared" si="5"/>
        <v>1.0625</v>
      </c>
    </row>
  </sheetData>
  <mergeCells count="18">
    <mergeCell ref="DJ1:DO1"/>
    <mergeCell ref="CR4:CW4"/>
    <mergeCell ref="CL4:CQ4"/>
    <mergeCell ref="CX4:DC4"/>
    <mergeCell ref="DD4:DI4"/>
    <mergeCell ref="DJ3:DO3"/>
    <mergeCell ref="CL3:CQ3"/>
    <mergeCell ref="CR3:CW3"/>
    <mergeCell ref="CX3:DC3"/>
    <mergeCell ref="DD3:DI3"/>
    <mergeCell ref="CL6:CQ6"/>
    <mergeCell ref="CR6:CW6"/>
    <mergeCell ref="CX6:DC6"/>
    <mergeCell ref="DD6:DI6"/>
    <mergeCell ref="CL1:CQ1"/>
    <mergeCell ref="CR1:CW1"/>
    <mergeCell ref="CX1:DC1"/>
    <mergeCell ref="DD1:DI1"/>
  </mergeCell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DBED8-4C09-49AF-97E8-07C5353E85D6}">
  <dimension ref="A1:EA9"/>
  <sheetViews>
    <sheetView workbookViewId="0">
      <selection activeCell="H8" sqref="H8"/>
    </sheetView>
  </sheetViews>
  <sheetFormatPr defaultRowHeight="15" x14ac:dyDescent="0.25"/>
  <cols>
    <col min="5" max="6" width="9.140625" style="4149"/>
  </cols>
  <sheetData>
    <row r="1" spans="1:131" x14ac:dyDescent="0.25">
      <c r="A1" s="3999"/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CL1" s="4500" t="s">
        <v>1100</v>
      </c>
      <c r="CM1" s="4500"/>
      <c r="CN1" s="4500"/>
      <c r="CO1" s="4500"/>
      <c r="CP1" s="4500"/>
      <c r="CQ1" s="4500"/>
      <c r="CR1" s="4519" t="s">
        <v>1343</v>
      </c>
      <c r="CS1" s="4502"/>
      <c r="CT1" s="4502"/>
      <c r="CU1" s="4502"/>
      <c r="CV1" s="4502"/>
      <c r="CW1" s="4502"/>
      <c r="CX1" s="4501" t="s">
        <v>1101</v>
      </c>
      <c r="CY1" s="4501"/>
      <c r="CZ1" s="4501"/>
      <c r="DA1" s="4501"/>
      <c r="DB1" s="4501"/>
      <c r="DC1" s="4501"/>
      <c r="DD1" s="4499" t="s">
        <v>1102</v>
      </c>
      <c r="DE1" s="4499"/>
      <c r="DF1" s="4499"/>
      <c r="DG1" s="4499"/>
      <c r="DH1" s="4499"/>
      <c r="DI1" s="4499"/>
      <c r="DJ1" s="4501" t="s">
        <v>1104</v>
      </c>
      <c r="DK1" s="4501"/>
      <c r="DL1" s="4501"/>
      <c r="DM1" s="4501"/>
      <c r="DN1" s="4501"/>
      <c r="DO1" s="4501"/>
      <c r="DP1" s="3999"/>
      <c r="DQ1" s="3999"/>
      <c r="DR1" s="3999"/>
      <c r="DS1" s="3999"/>
      <c r="DT1" s="3999"/>
      <c r="DU1" s="3999"/>
      <c r="DV1" s="3999"/>
      <c r="DW1" s="3999"/>
      <c r="DX1" s="3999"/>
      <c r="DY1" s="3999"/>
      <c r="DZ1" s="3999"/>
      <c r="EA1" s="3999"/>
    </row>
    <row r="2" spans="1:131" x14ac:dyDescent="0.25"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 t="e">
        <f>AVERAGE(#REF!)</f>
        <v>#REF!</v>
      </c>
      <c r="CQ2" s="1" t="e">
        <f>AVERAGE(#REF!)</f>
        <v>#REF!</v>
      </c>
      <c r="CR2" s="1" t="e">
        <f>AVERAGE(B3)</f>
        <v>#DIV/0!</v>
      </c>
      <c r="CS2" s="1" t="e">
        <f>AVERAGE(C3)</f>
        <v>#DIV/0!</v>
      </c>
      <c r="CT2" s="1" t="e">
        <f>AVERAGE(D3)</f>
        <v>#DIV/0!</v>
      </c>
      <c r="CU2" s="1" t="e">
        <f t="shared" ref="CU2" si="0">AVERAGE(G3)</f>
        <v>#DIV/0!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3999"/>
      <c r="DQ2" s="3999"/>
      <c r="DR2" s="3999"/>
      <c r="DS2" s="3999"/>
      <c r="DT2" s="3999"/>
      <c r="DU2" s="3999"/>
      <c r="DV2" s="3999"/>
      <c r="DW2" s="3999"/>
      <c r="DX2" s="3999"/>
      <c r="DY2" s="3999"/>
      <c r="DZ2" s="3999"/>
      <c r="EA2" s="3999"/>
    </row>
    <row r="3" spans="1:131" x14ac:dyDescent="0.25">
      <c r="CL3" s="4474" t="e">
        <f>_xlfn.AGGREGATE(1,6,CL2:CQ2)</f>
        <v>#DIV/0!</v>
      </c>
      <c r="CM3" s="4474"/>
      <c r="CN3" s="4474"/>
      <c r="CO3" s="4474"/>
      <c r="CP3" s="4474"/>
      <c r="CQ3" s="4474"/>
      <c r="CR3" s="4474" t="e">
        <f t="shared" ref="CR3" si="1">_xlfn.AGGREGATE(1,6,CR2:CW2)</f>
        <v>#DIV/0!</v>
      </c>
      <c r="CS3" s="4474"/>
      <c r="CT3" s="4474"/>
      <c r="CU3" s="4474"/>
      <c r="CV3" s="4474"/>
      <c r="CW3" s="4474"/>
      <c r="CX3" s="4474" t="e">
        <f t="shared" ref="CX3" si="2">_xlfn.AGGREGATE(1,6,CX2:DC2)</f>
        <v>#DIV/0!</v>
      </c>
      <c r="CY3" s="4474"/>
      <c r="CZ3" s="4474"/>
      <c r="DA3" s="4474"/>
      <c r="DB3" s="4474"/>
      <c r="DC3" s="4474"/>
      <c r="DD3" s="4474" t="e">
        <f t="shared" ref="DD3" si="3">_xlfn.AGGREGATE(1,6,DD2:DI2)</f>
        <v>#DIV/0!</v>
      </c>
      <c r="DE3" s="4474"/>
      <c r="DF3" s="4474"/>
      <c r="DG3" s="4474"/>
      <c r="DH3" s="4474"/>
      <c r="DI3" s="4474"/>
      <c r="DJ3" s="4474" t="e">
        <f t="shared" ref="DJ3" si="4">_xlfn.AGGREGATE(1,6,DJ2:DO2)</f>
        <v>#DIV/0!</v>
      </c>
      <c r="DK3" s="4474"/>
      <c r="DL3" s="4474"/>
      <c r="DM3" s="4474"/>
      <c r="DN3" s="4474"/>
      <c r="DO3" s="4474"/>
      <c r="DP3" s="3999"/>
      <c r="DQ3" s="3999"/>
      <c r="DR3" s="3999"/>
      <c r="DS3" s="3999"/>
      <c r="DT3" s="3999"/>
      <c r="DU3" s="3999"/>
      <c r="DV3" s="3999"/>
      <c r="DW3" s="3999"/>
      <c r="DX3" s="3999"/>
      <c r="DY3" s="3999"/>
      <c r="DZ3" s="3999"/>
      <c r="EA3" s="3999"/>
    </row>
    <row r="4" spans="1:131" x14ac:dyDescent="0.25">
      <c r="CL4" s="4499" t="s">
        <v>1099</v>
      </c>
      <c r="CM4" s="4499"/>
      <c r="CN4" s="4499"/>
      <c r="CO4" s="4499"/>
      <c r="CP4" s="4499"/>
      <c r="CQ4" s="4499"/>
      <c r="CR4" s="4497" t="s">
        <v>994</v>
      </c>
      <c r="CS4" s="4497"/>
      <c r="CT4" s="4497"/>
      <c r="CU4" s="4497"/>
      <c r="CV4" s="4497"/>
      <c r="CW4" s="4497"/>
      <c r="CX4" s="4499" t="s">
        <v>1103</v>
      </c>
      <c r="CY4" s="4499"/>
      <c r="CZ4" s="4499"/>
      <c r="DA4" s="4499"/>
      <c r="DB4" s="4499"/>
      <c r="DC4" s="4499"/>
      <c r="DD4" s="4498" t="s">
        <v>1105</v>
      </c>
      <c r="DE4" s="4497"/>
      <c r="DF4" s="4497"/>
      <c r="DG4" s="4497"/>
      <c r="DH4" s="4497"/>
      <c r="DI4" s="4497"/>
      <c r="DV4" s="3999"/>
      <c r="DW4" s="3999"/>
      <c r="DX4" s="3999"/>
      <c r="DY4" s="3999"/>
      <c r="DZ4" s="3999"/>
      <c r="EA4" s="3999"/>
    </row>
    <row r="5" spans="1:131" x14ac:dyDescent="0.25">
      <c r="CL5" s="3999"/>
      <c r="CM5" s="3999"/>
      <c r="CN5" s="3999"/>
      <c r="CO5" s="3999"/>
      <c r="CP5" s="3999"/>
      <c r="CQ5" s="3999"/>
      <c r="CR5" s="3999"/>
      <c r="CS5" s="3999"/>
      <c r="CT5" s="3999"/>
      <c r="CU5" s="3999"/>
      <c r="CV5" s="3999"/>
      <c r="CW5" s="3999"/>
      <c r="CX5" s="3999"/>
      <c r="CY5" s="3999"/>
      <c r="CZ5" s="3999"/>
      <c r="DA5" s="3999"/>
      <c r="DB5" s="3999"/>
      <c r="DC5" s="3999"/>
      <c r="DD5" s="3999"/>
      <c r="DE5" s="3999"/>
      <c r="DF5" s="3999"/>
      <c r="DG5" s="3999"/>
      <c r="DH5" s="3999"/>
      <c r="DI5" s="3999"/>
      <c r="DJ5" s="3999"/>
      <c r="DK5" s="3999"/>
      <c r="DL5" s="3999"/>
      <c r="DM5" s="3999"/>
      <c r="DN5" s="3999"/>
      <c r="DO5" s="3999"/>
      <c r="DP5" s="3999"/>
      <c r="DQ5" s="3999"/>
      <c r="DR5" s="3999"/>
      <c r="DS5" s="3999"/>
      <c r="DT5" s="3999"/>
      <c r="DU5" s="3999"/>
      <c r="DV5" s="3999"/>
      <c r="DW5" s="3999"/>
      <c r="DX5" s="3999"/>
      <c r="DY5" s="3999"/>
      <c r="DZ5" s="3999"/>
      <c r="EA5" s="3999"/>
    </row>
    <row r="6" spans="1:131" x14ac:dyDescent="0.25">
      <c r="CL6" s="3999"/>
      <c r="CM6" s="3999"/>
      <c r="CN6" s="3999"/>
      <c r="CO6" s="3999"/>
      <c r="CP6" s="3999"/>
      <c r="CQ6" s="3999"/>
      <c r="CR6" s="3999"/>
      <c r="CS6" s="3999"/>
      <c r="CT6" s="3999"/>
      <c r="CU6" s="3999"/>
      <c r="CV6" s="3999"/>
      <c r="CW6" s="3999"/>
      <c r="CX6" s="3999"/>
      <c r="CY6" s="3999"/>
      <c r="CZ6" s="3999"/>
      <c r="DA6" s="3999"/>
      <c r="DB6" s="3999"/>
      <c r="DC6" s="3999"/>
      <c r="DD6" s="3999"/>
      <c r="DE6" s="3999"/>
      <c r="DF6" s="3999"/>
      <c r="DG6" s="3999"/>
      <c r="DH6" s="3999"/>
      <c r="DI6" s="3999"/>
      <c r="DJ6" s="3999"/>
      <c r="DK6" s="3999"/>
      <c r="DL6" s="3999"/>
      <c r="DM6" s="3999"/>
      <c r="DN6" s="3999"/>
      <c r="DO6" s="3999"/>
      <c r="DP6" s="3999"/>
      <c r="DQ6" s="3999"/>
      <c r="DR6" s="3999"/>
      <c r="DS6" s="3999"/>
      <c r="DT6" s="3999"/>
      <c r="DU6" s="3999"/>
      <c r="DV6" s="3999"/>
      <c r="DW6" s="3999"/>
      <c r="DX6" s="3999"/>
      <c r="DY6" s="3999"/>
      <c r="DZ6" s="3999"/>
      <c r="EA6" s="3999"/>
    </row>
    <row r="7" spans="1:131" x14ac:dyDescent="0.25">
      <c r="CL7" s="3999"/>
      <c r="CM7" s="3999"/>
      <c r="CN7" s="3999"/>
      <c r="CO7" s="3999"/>
      <c r="CP7" s="3999"/>
      <c r="CQ7" s="3999"/>
      <c r="CR7" s="3999"/>
      <c r="CS7" s="3999"/>
      <c r="CT7" s="3999"/>
      <c r="CU7" s="3999"/>
      <c r="CV7" s="3999"/>
      <c r="CW7" s="3999"/>
      <c r="CX7" s="3999"/>
      <c r="CY7" s="3999"/>
      <c r="CZ7" s="3999"/>
      <c r="DA7" s="3999"/>
      <c r="DB7" s="3999"/>
      <c r="DC7" s="3999"/>
      <c r="DD7" s="3999"/>
      <c r="DE7" s="3999"/>
      <c r="DF7" s="3999"/>
      <c r="DG7" s="3999"/>
      <c r="DH7" s="3999"/>
      <c r="DI7" s="3999"/>
      <c r="DJ7" s="3999"/>
      <c r="DK7" s="3999"/>
      <c r="DL7" s="3999"/>
      <c r="DM7" s="3999"/>
      <c r="DN7" s="3999"/>
      <c r="DO7" s="3999"/>
      <c r="DP7" s="3999"/>
      <c r="DQ7" s="3999"/>
      <c r="DR7" s="3999"/>
      <c r="DS7" s="3999"/>
      <c r="DT7" s="3999"/>
      <c r="DU7" s="3999"/>
      <c r="DV7" s="3999"/>
      <c r="DW7" s="3999"/>
      <c r="DX7" s="3999"/>
      <c r="DY7" s="3999"/>
      <c r="DZ7" s="3999"/>
      <c r="EA7" s="3999"/>
    </row>
    <row r="8" spans="1:131" x14ac:dyDescent="0.25">
      <c r="CL8" s="3999"/>
      <c r="CM8" s="3999"/>
      <c r="CN8" s="3999"/>
      <c r="CO8" s="3999"/>
      <c r="CP8" s="3999"/>
      <c r="CQ8" s="3999"/>
      <c r="CR8" s="3999"/>
      <c r="CS8" s="3999"/>
      <c r="CT8" s="3999"/>
      <c r="CU8" s="3999"/>
      <c r="CV8" s="3999"/>
      <c r="CW8" s="3999"/>
      <c r="CX8" s="3999"/>
      <c r="CY8" s="3999"/>
      <c r="CZ8" s="3999"/>
      <c r="DA8" s="3999"/>
      <c r="DB8" s="3999"/>
      <c r="DC8" s="3999"/>
      <c r="DD8" s="3999"/>
      <c r="DE8" s="3999"/>
      <c r="DF8" s="3999"/>
      <c r="DG8" s="3999"/>
      <c r="DH8" s="3999"/>
      <c r="DI8" s="3999"/>
      <c r="DJ8" s="3999"/>
      <c r="DK8" s="3999"/>
      <c r="DL8" s="3999"/>
      <c r="DM8" s="3999"/>
      <c r="DN8" s="3999"/>
      <c r="DO8" s="3999"/>
      <c r="DP8" s="3999"/>
      <c r="DQ8" s="3999"/>
      <c r="DR8" s="3999"/>
      <c r="DS8" s="3999"/>
      <c r="DT8" s="3999"/>
      <c r="DU8" s="3999"/>
      <c r="DV8" s="3999"/>
      <c r="DW8" s="3999"/>
      <c r="DX8" s="3999"/>
      <c r="DY8" s="3999"/>
      <c r="DZ8" s="3999"/>
      <c r="EA8" s="3999"/>
    </row>
    <row r="9" spans="1:131" x14ac:dyDescent="0.25">
      <c r="CR9" s="3999"/>
      <c r="CS9" s="3999"/>
      <c r="CT9" s="3999"/>
      <c r="CU9" s="3999"/>
      <c r="CV9" s="3999"/>
      <c r="CW9" s="3999"/>
      <c r="DJ9" s="3999"/>
      <c r="DK9" s="3999"/>
      <c r="DL9" s="3999"/>
      <c r="DM9" s="3999"/>
      <c r="DN9" s="3999"/>
      <c r="DO9" s="3999"/>
    </row>
  </sheetData>
  <mergeCells count="14">
    <mergeCell ref="CL4:CQ4"/>
    <mergeCell ref="CR4:CW4"/>
    <mergeCell ref="CX4:DC4"/>
    <mergeCell ref="DD4:DI4"/>
    <mergeCell ref="CL3:CQ3"/>
    <mergeCell ref="CR3:CW3"/>
    <mergeCell ref="CX3:DC3"/>
    <mergeCell ref="DD3:DI3"/>
    <mergeCell ref="DJ3:DO3"/>
    <mergeCell ref="CL1:CQ1"/>
    <mergeCell ref="CR1:CW1"/>
    <mergeCell ref="CX1:DC1"/>
    <mergeCell ref="DD1:DI1"/>
    <mergeCell ref="DJ1:DO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52A2A-D235-4797-911B-CD413A0E30C7}">
  <dimension ref="A1:CC14"/>
  <sheetViews>
    <sheetView tabSelected="1" workbookViewId="0">
      <selection activeCell="F18" sqref="F18"/>
    </sheetView>
  </sheetViews>
  <sheetFormatPr defaultRowHeight="15" x14ac:dyDescent="0.25"/>
  <cols>
    <col min="1" max="1" width="12" customWidth="1"/>
    <col min="2" max="2" width="10" customWidth="1"/>
    <col min="3" max="3" width="11.85546875" customWidth="1"/>
    <col min="10" max="10" width="10.28515625" bestFit="1" customWidth="1"/>
  </cols>
  <sheetData>
    <row r="1" spans="1:81" x14ac:dyDescent="0.25">
      <c r="B1" s="1" t="s">
        <v>84</v>
      </c>
      <c r="C1" s="1" t="s">
        <v>1</v>
      </c>
      <c r="D1" s="1" t="s">
        <v>183</v>
      </c>
      <c r="E1" s="4148" t="s">
        <v>1344</v>
      </c>
      <c r="J1" s="3999"/>
    </row>
    <row r="2" spans="1:81" x14ac:dyDescent="0.25">
      <c r="A2" s="619" t="s">
        <v>1345</v>
      </c>
      <c r="B2" s="619"/>
      <c r="C2" s="619"/>
      <c r="D2" s="619"/>
      <c r="E2" s="619"/>
    </row>
    <row r="3" spans="1:81" x14ac:dyDescent="0.25">
      <c r="A3" s="4151" t="s">
        <v>1346</v>
      </c>
      <c r="B3">
        <v>0.86</v>
      </c>
      <c r="C3">
        <v>1.42</v>
      </c>
      <c r="H3" s="4491" t="s">
        <v>1381</v>
      </c>
      <c r="I3" s="4491"/>
      <c r="J3" s="4491"/>
      <c r="K3" s="4491"/>
      <c r="L3" s="4493" t="s">
        <v>1380</v>
      </c>
      <c r="M3" s="4493"/>
      <c r="N3" s="4493"/>
      <c r="O3" s="4493"/>
      <c r="P3" s="4498" t="s">
        <v>1378</v>
      </c>
      <c r="Q3" s="4498"/>
      <c r="R3" s="4498"/>
      <c r="S3" s="4498"/>
      <c r="T3" s="4499" t="s">
        <v>1376</v>
      </c>
      <c r="U3" s="4499"/>
      <c r="V3" s="4499"/>
      <c r="W3" s="4499"/>
      <c r="X3" s="4499" t="s">
        <v>1385</v>
      </c>
      <c r="Y3" s="4499"/>
      <c r="Z3" s="4499"/>
      <c r="AA3" s="4499"/>
      <c r="AB3" s="4495" t="s">
        <v>1374</v>
      </c>
      <c r="AC3" s="4495"/>
      <c r="AD3" s="4495"/>
      <c r="AE3" s="4495"/>
      <c r="AF3" s="4495" t="s">
        <v>1384</v>
      </c>
      <c r="AG3" s="4495"/>
      <c r="AH3" s="4495"/>
      <c r="AI3" s="4495"/>
      <c r="AJ3" s="3999"/>
      <c r="AK3" s="3999"/>
      <c r="AL3" s="3999"/>
      <c r="AM3" s="3999"/>
      <c r="AN3" s="3999"/>
      <c r="AO3" s="3999"/>
      <c r="AP3" s="3999"/>
      <c r="AQ3" s="3999"/>
      <c r="AR3" s="3999"/>
      <c r="AS3" s="3999"/>
    </row>
    <row r="4" spans="1:81" x14ac:dyDescent="0.25">
      <c r="A4" s="44" t="s">
        <v>1347</v>
      </c>
      <c r="B4" s="44"/>
      <c r="C4" s="44"/>
      <c r="D4" s="44"/>
      <c r="E4" s="44"/>
      <c r="H4" s="1">
        <f>AVERAGE(B13)</f>
        <v>0.7</v>
      </c>
      <c r="I4" s="1">
        <f t="shared" ref="I4:K4" si="0">AVERAGE(C13)</f>
        <v>1.1499999999999999</v>
      </c>
      <c r="J4" s="1" t="e">
        <f t="shared" si="0"/>
        <v>#DIV/0!</v>
      </c>
      <c r="K4" s="1" t="e">
        <f t="shared" si="0"/>
        <v>#DIV/0!</v>
      </c>
      <c r="L4" s="1">
        <f>AVERAGE(B11,B12)</f>
        <v>1.37</v>
      </c>
      <c r="M4" s="1">
        <f t="shared" ref="M4:O4" si="1">AVERAGE(C11,C12)</f>
        <v>1.23</v>
      </c>
      <c r="N4" s="1" t="e">
        <f t="shared" si="1"/>
        <v>#DIV/0!</v>
      </c>
      <c r="O4" s="1" t="e">
        <f t="shared" si="1"/>
        <v>#DIV/0!</v>
      </c>
      <c r="P4" s="1">
        <f>AVERAGE(B3,B10)</f>
        <v>0.86499999999999999</v>
      </c>
      <c r="Q4" s="1">
        <f t="shared" ref="Q4:S4" si="2">AVERAGE(C3,C10)</f>
        <v>1.38</v>
      </c>
      <c r="R4" s="1" t="e">
        <f t="shared" si="2"/>
        <v>#DIV/0!</v>
      </c>
      <c r="S4" s="1" t="e">
        <f t="shared" si="2"/>
        <v>#DIV/0!</v>
      </c>
      <c r="T4" s="1">
        <f>AVERAGE(B9)</f>
        <v>0.86</v>
      </c>
      <c r="U4" s="1">
        <f t="shared" ref="U4:W4" si="3">AVERAGE(C9)</f>
        <v>0.95</v>
      </c>
      <c r="V4" s="1" t="e">
        <f t="shared" si="3"/>
        <v>#DIV/0!</v>
      </c>
      <c r="W4" s="1" t="e">
        <f t="shared" si="3"/>
        <v>#DIV/0!</v>
      </c>
      <c r="X4" s="1">
        <f>AVERAGE(B5,B8)</f>
        <v>1.6</v>
      </c>
      <c r="Y4" s="1" t="e">
        <f>AVERAGE(C5,C8)</f>
        <v>#DIV/0!</v>
      </c>
      <c r="Z4" s="1" t="e">
        <f>AVERAGE(D5)</f>
        <v>#DIV/0!</v>
      </c>
      <c r="AA4" s="1">
        <f>AVERAGE(E5)</f>
        <v>1.35</v>
      </c>
      <c r="AB4">
        <f>AVERAGE(B7)</f>
        <v>1.33</v>
      </c>
      <c r="AC4" s="4469">
        <f t="shared" ref="AC4:AE4" si="4">AVERAGE(C7)</f>
        <v>0.65</v>
      </c>
      <c r="AD4" s="4469" t="e">
        <f t="shared" si="4"/>
        <v>#DIV/0!</v>
      </c>
      <c r="AE4" s="4469" t="e">
        <f t="shared" si="4"/>
        <v>#DIV/0!</v>
      </c>
      <c r="AF4" s="4469">
        <f>AVERAGE(B8)</f>
        <v>0.26</v>
      </c>
      <c r="AG4" s="4469">
        <f t="shared" ref="AG4:AI4" si="5">AVERAGE(C8)</f>
        <v>0.65</v>
      </c>
      <c r="AH4" s="4469" t="e">
        <f t="shared" si="5"/>
        <v>#DIV/0!</v>
      </c>
      <c r="AI4" s="4469" t="e">
        <f t="shared" si="5"/>
        <v>#DIV/0!</v>
      </c>
      <c r="AJ4" s="3999"/>
      <c r="AK4" s="3999"/>
      <c r="AL4" s="3999"/>
      <c r="AM4" s="3999"/>
      <c r="AN4" s="3999"/>
      <c r="AO4" s="3999"/>
      <c r="AP4" s="3999"/>
      <c r="AQ4" s="3999"/>
      <c r="AR4" s="3999"/>
      <c r="AS4" s="3999"/>
    </row>
    <row r="5" spans="1:81" x14ac:dyDescent="0.25">
      <c r="A5" s="4152" t="s">
        <v>1348</v>
      </c>
      <c r="B5">
        <v>1.6</v>
      </c>
      <c r="E5">
        <v>1.35</v>
      </c>
      <c r="H5" s="4490" t="e">
        <f>AVERAGE(H4:K4)</f>
        <v>#DIV/0!</v>
      </c>
      <c r="I5" s="4490"/>
      <c r="J5" s="4490"/>
      <c r="K5" s="4490"/>
      <c r="L5" s="4490" t="e">
        <f>AVERAGE(L4:O4)</f>
        <v>#DIV/0!</v>
      </c>
      <c r="M5" s="4490"/>
      <c r="N5" s="4490"/>
      <c r="O5" s="4490"/>
      <c r="P5" s="4490" t="e">
        <f>AVERAGE(P4:S4)</f>
        <v>#DIV/0!</v>
      </c>
      <c r="Q5" s="4490"/>
      <c r="R5" s="4490"/>
      <c r="S5" s="4490"/>
      <c r="T5" s="4490" t="e">
        <f>AVERAGE(T4:W4)</f>
        <v>#DIV/0!</v>
      </c>
      <c r="U5" s="4490"/>
      <c r="V5" s="4490"/>
      <c r="W5" s="4490"/>
      <c r="X5" s="4490" t="e">
        <f>AVERAGE(X4:AA4)</f>
        <v>#DIV/0!</v>
      </c>
      <c r="Y5" s="4490"/>
      <c r="Z5" s="4490"/>
      <c r="AA5" s="4490"/>
      <c r="AB5" s="4490" t="e">
        <f t="shared" ref="AB5" si="6">AVERAGE(AB4:AE4)</f>
        <v>#DIV/0!</v>
      </c>
      <c r="AC5" s="4490"/>
      <c r="AD5" s="4490"/>
      <c r="AE5" s="4490"/>
      <c r="AF5" s="4490" t="e">
        <f>AVERAGE(AF4:AI4)</f>
        <v>#DIV/0!</v>
      </c>
      <c r="AG5" s="4490"/>
      <c r="AH5" s="4490"/>
      <c r="AI5" s="4490"/>
      <c r="AJ5" s="4409"/>
      <c r="AK5" s="4409"/>
      <c r="AL5" s="4409"/>
      <c r="AM5" s="4409"/>
      <c r="AN5" s="4409"/>
      <c r="AO5" s="4409"/>
      <c r="AP5" s="4409"/>
      <c r="AQ5" s="4409"/>
      <c r="AR5" s="4409"/>
      <c r="AS5" s="4409"/>
      <c r="AT5" s="4409"/>
      <c r="AU5" s="4409"/>
      <c r="AV5" s="4409"/>
      <c r="AW5" s="4409"/>
      <c r="AX5" s="4409"/>
      <c r="AY5" s="4409"/>
      <c r="AZ5" s="4409"/>
      <c r="BA5" s="4409"/>
      <c r="BB5" s="4409"/>
      <c r="BC5" s="4409"/>
      <c r="BG5" s="4409"/>
      <c r="BH5" s="4409"/>
      <c r="BI5" s="4409"/>
      <c r="BJ5" s="4409"/>
      <c r="BK5" s="4409"/>
      <c r="BL5" s="4409"/>
      <c r="BM5" s="4409"/>
      <c r="BN5" s="4409"/>
      <c r="BO5" s="4409"/>
      <c r="BP5" s="4409"/>
      <c r="BQ5" s="4409"/>
      <c r="BR5" s="4409"/>
      <c r="BS5" s="4409"/>
      <c r="BT5" s="4409"/>
      <c r="BU5" s="4409"/>
      <c r="BV5" s="4409"/>
      <c r="BW5" s="4409"/>
      <c r="BX5" s="4409"/>
      <c r="BY5" s="4409"/>
      <c r="BZ5" s="4409"/>
      <c r="CA5" s="4409"/>
      <c r="CB5" s="4409"/>
      <c r="CC5" s="4409"/>
    </row>
    <row r="6" spans="1:81" x14ac:dyDescent="0.25">
      <c r="A6" s="4459" t="s">
        <v>1372</v>
      </c>
      <c r="B6" s="4459"/>
      <c r="C6" s="4459"/>
      <c r="D6" s="4459"/>
      <c r="E6" s="4459"/>
      <c r="H6" s="4409"/>
      <c r="I6" s="4409"/>
      <c r="J6" s="4409"/>
      <c r="K6" s="4409"/>
      <c r="L6" s="4409"/>
      <c r="M6" s="4409"/>
      <c r="N6" s="4409"/>
      <c r="O6" s="4409"/>
      <c r="P6" s="4409"/>
      <c r="Q6" s="4409"/>
      <c r="R6" s="4409"/>
      <c r="S6" s="4409"/>
      <c r="T6" s="4409"/>
      <c r="U6" s="4409"/>
      <c r="V6" s="4409"/>
      <c r="W6" s="4409"/>
      <c r="X6" s="4409"/>
      <c r="Y6" s="4409"/>
      <c r="Z6" s="4409"/>
      <c r="AA6" s="4409"/>
      <c r="AB6" s="4409"/>
      <c r="AC6" s="4409"/>
      <c r="AD6" s="4409"/>
      <c r="AE6" s="4409"/>
      <c r="AF6" s="4409"/>
      <c r="AG6" s="4409"/>
      <c r="AH6" s="4409"/>
      <c r="AI6" s="4409"/>
      <c r="AJ6" s="4409"/>
      <c r="AK6" s="4409"/>
      <c r="AL6" s="4409"/>
      <c r="AM6" s="4409"/>
      <c r="AN6" s="4409"/>
      <c r="AO6" s="4409"/>
      <c r="AP6" s="4409"/>
      <c r="AQ6" s="4409"/>
      <c r="AR6" s="4409"/>
      <c r="AS6" s="4409"/>
      <c r="AT6" s="4409"/>
      <c r="AU6" s="4409"/>
      <c r="AV6" s="4409"/>
      <c r="AW6" s="4409"/>
      <c r="AX6" s="4409"/>
      <c r="AY6" s="4409"/>
      <c r="AZ6" s="4409"/>
      <c r="BA6" s="4409"/>
      <c r="BB6" s="4409"/>
      <c r="BC6" s="4409"/>
      <c r="BD6" s="4409"/>
      <c r="BE6" s="4409"/>
      <c r="BG6" s="4409"/>
      <c r="BH6" s="4409"/>
      <c r="BI6" s="4409"/>
      <c r="BJ6" s="4409"/>
      <c r="BK6" s="4409"/>
      <c r="BL6" s="4409"/>
      <c r="BM6" s="4409"/>
      <c r="BN6" s="4409"/>
      <c r="BO6" s="4409"/>
      <c r="BP6" s="4409"/>
      <c r="BQ6" s="4409"/>
      <c r="BR6" s="4409"/>
      <c r="BS6" s="4409"/>
      <c r="BT6" s="4409"/>
      <c r="BU6" s="4409"/>
      <c r="BV6" s="4409"/>
      <c r="BW6" s="4409"/>
      <c r="BX6" s="4409"/>
      <c r="BY6" s="4409"/>
      <c r="BZ6" s="4409"/>
      <c r="CA6" s="4409"/>
      <c r="CB6" s="4409"/>
      <c r="CC6" s="4409"/>
    </row>
    <row r="7" spans="1:81" x14ac:dyDescent="0.25">
      <c r="A7" s="4411" t="s">
        <v>1373</v>
      </c>
      <c r="B7">
        <v>1.33</v>
      </c>
      <c r="C7">
        <v>0.65</v>
      </c>
    </row>
    <row r="8" spans="1:81" x14ac:dyDescent="0.25">
      <c r="A8" s="4412" t="s">
        <v>1375</v>
      </c>
      <c r="B8">
        <v>0.26</v>
      </c>
      <c r="C8">
        <v>0.65</v>
      </c>
    </row>
    <row r="9" spans="1:81" x14ac:dyDescent="0.25">
      <c r="A9" s="4413" t="s">
        <v>1350</v>
      </c>
      <c r="B9">
        <v>0.86</v>
      </c>
      <c r="C9">
        <v>0.95</v>
      </c>
    </row>
    <row r="10" spans="1:81" x14ac:dyDescent="0.25">
      <c r="A10" s="4414" t="s">
        <v>1377</v>
      </c>
      <c r="B10">
        <v>0.87</v>
      </c>
      <c r="C10">
        <v>1.34</v>
      </c>
    </row>
    <row r="11" spans="1:81" x14ac:dyDescent="0.25">
      <c r="A11" s="4415" t="s">
        <v>330</v>
      </c>
      <c r="B11">
        <v>1.1299999999999999</v>
      </c>
      <c r="C11">
        <v>1.2</v>
      </c>
    </row>
    <row r="12" spans="1:81" x14ac:dyDescent="0.25">
      <c r="A12" s="4416" t="s">
        <v>1379</v>
      </c>
      <c r="B12">
        <v>1.61</v>
      </c>
      <c r="C12">
        <v>1.26</v>
      </c>
    </row>
    <row r="13" spans="1:81" x14ac:dyDescent="0.25">
      <c r="A13" s="4417" t="s">
        <v>388</v>
      </c>
      <c r="B13">
        <v>0.7</v>
      </c>
      <c r="C13">
        <v>1.1499999999999999</v>
      </c>
    </row>
    <row r="14" spans="1:81" x14ac:dyDescent="0.25">
      <c r="B14">
        <f>AVERAGE(B3:B13)</f>
        <v>1.0244444444444443</v>
      </c>
      <c r="C14" s="4150">
        <f t="shared" ref="C14:E14" si="7">AVERAGE(C3:C13)</f>
        <v>1.0774999999999999</v>
      </c>
      <c r="D14" s="4150" t="e">
        <f t="shared" si="7"/>
        <v>#DIV/0!</v>
      </c>
      <c r="E14" s="4150">
        <f t="shared" si="7"/>
        <v>1.35</v>
      </c>
    </row>
  </sheetData>
  <mergeCells count="14">
    <mergeCell ref="AB3:AE3"/>
    <mergeCell ref="AB5:AE5"/>
    <mergeCell ref="AF5:AI5"/>
    <mergeCell ref="AF3:AI3"/>
    <mergeCell ref="P5:S5"/>
    <mergeCell ref="L5:O5"/>
    <mergeCell ref="H5:K5"/>
    <mergeCell ref="T5:W5"/>
    <mergeCell ref="X5:AA5"/>
    <mergeCell ref="H3:K3"/>
    <mergeCell ref="L3:O3"/>
    <mergeCell ref="P3:S3"/>
    <mergeCell ref="T3:W3"/>
    <mergeCell ref="X3:AA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19</vt:i4>
      </vt:variant>
    </vt:vector>
  </HeadingPairs>
  <TitlesOfParts>
    <vt:vector size="19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  <vt:lpstr>2026 mm</vt:lpstr>
      <vt:lpstr>Premier 2026</vt:lpstr>
      <vt:lpstr>Faceit 2026</vt:lpstr>
      <vt:lpstr>2х2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2026-02-24T11:31:08Z</dcterms:modified>
</cp:coreProperties>
</file>