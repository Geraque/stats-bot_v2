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AF8DF9EB-24D6-4B15-9E20-3B35BF9504E1}" xr6:coauthVersionLast="45" xr6:coauthVersionMax="47" xr10:uidLastSave="{00000000-0000-0000-0000-000000000000}"/>
  <bookViews>
    <workbookView xWindow="-120" yWindow="-120" windowWidth="29040" windowHeight="15720" firstSheet="4" activeTab="14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B2" i="14" l="1"/>
  <c r="DC2" i="14"/>
  <c r="DD2" i="14"/>
  <c r="DE2" i="14"/>
  <c r="DF2" i="14"/>
  <c r="DG2" i="14"/>
  <c r="AN5" i="12" l="1"/>
  <c r="AJ5" i="12"/>
  <c r="AF5" i="12"/>
  <c r="AB5" i="12"/>
  <c r="X5" i="12"/>
  <c r="T5" i="12"/>
  <c r="P5" i="12"/>
  <c r="L5" i="12"/>
  <c r="H5" i="12"/>
  <c r="CJ5" i="14"/>
  <c r="L4" i="12"/>
  <c r="H4" i="12"/>
  <c r="I4" i="12"/>
  <c r="J4" i="12"/>
  <c r="K4" i="12"/>
  <c r="B107" i="13" l="1"/>
  <c r="DB3" i="14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AC4" i="12"/>
  <c r="AD4" i="12"/>
  <c r="AE4" i="12"/>
  <c r="AB4" i="12"/>
  <c r="EF3" i="14" l="1"/>
  <c r="DC5" i="14"/>
  <c r="DD5" i="14"/>
  <c r="DE5" i="14"/>
  <c r="DF5" i="14"/>
  <c r="DG5" i="14"/>
  <c r="DB5" i="14"/>
  <c r="DB6" i="14" s="1"/>
  <c r="DO5" i="14"/>
  <c r="DP5" i="14"/>
  <c r="DQ5" i="14"/>
  <c r="DR5" i="14"/>
  <c r="DS5" i="14"/>
  <c r="DN5" i="14"/>
  <c r="CK5" i="14"/>
  <c r="CL5" i="14"/>
  <c r="CM5" i="14"/>
  <c r="CN5" i="14"/>
  <c r="CO5" i="14"/>
  <c r="CK2" i="14"/>
  <c r="CL2" i="14"/>
  <c r="CM2" i="14"/>
  <c r="CN2" i="14"/>
  <c r="CO2" i="14"/>
  <c r="CJ2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Z3" i="14" s="1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6" i="14" s="1"/>
  <c r="DH2" i="14"/>
  <c r="DH3" i="14" s="1"/>
  <c r="CW5" i="14"/>
  <c r="CX5" i="14"/>
  <c r="CY5" i="14"/>
  <c r="CZ5" i="14"/>
  <c r="DA5" i="14"/>
  <c r="CV5" i="14"/>
  <c r="CW2" i="14"/>
  <c r="CX2" i="14"/>
  <c r="CY2" i="14"/>
  <c r="CZ2" i="14"/>
  <c r="DA2" i="14"/>
  <c r="CV2" i="14"/>
  <c r="CV3" i="14" s="1"/>
  <c r="CQ2" i="14"/>
  <c r="CR2" i="14"/>
  <c r="CS2" i="14"/>
  <c r="CT2" i="14"/>
  <c r="CU2" i="14"/>
  <c r="CP2" i="14"/>
  <c r="CP3" i="14" s="1"/>
  <c r="CQ5" i="14"/>
  <c r="CR5" i="14"/>
  <c r="CS5" i="14"/>
  <c r="CT5" i="14"/>
  <c r="CU5" i="14"/>
  <c r="CP5" i="14"/>
  <c r="M4" i="12"/>
  <c r="DT6" i="14" l="1"/>
  <c r="CV6" i="14"/>
  <c r="CP6" i="14"/>
  <c r="DC5" i="13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Y4" i="12" l="1"/>
  <c r="Z4" i="12"/>
  <c r="AA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E240" i="12"/>
  <c r="D240" i="12"/>
  <c r="C240" i="12"/>
  <c r="B240" i="12"/>
  <c r="CG286" i="14"/>
  <c r="CF286" i="14"/>
  <c r="CE286" i="14"/>
  <c r="CD286" i="14"/>
  <c r="CC286" i="14"/>
  <c r="CB286" i="14"/>
  <c r="CA286" i="14"/>
  <c r="BZ286" i="14"/>
  <c r="BY286" i="14"/>
  <c r="BX286" i="14"/>
  <c r="BW286" i="14"/>
  <c r="BV286" i="14"/>
  <c r="BU286" i="14"/>
  <c r="BT286" i="14"/>
  <c r="BS286" i="14"/>
  <c r="BR286" i="14"/>
  <c r="BQ286" i="14"/>
  <c r="BP286" i="14"/>
  <c r="BO286" i="14"/>
  <c r="BN286" i="14"/>
  <c r="BM286" i="14"/>
  <c r="BL286" i="14"/>
  <c r="BK286" i="14"/>
  <c r="BJ286" i="14"/>
  <c r="BI286" i="14"/>
  <c r="BH286" i="14"/>
  <c r="BG286" i="14"/>
  <c r="BF286" i="14"/>
  <c r="BE286" i="14"/>
  <c r="BD286" i="14"/>
  <c r="BC286" i="14"/>
  <c r="BB286" i="14"/>
  <c r="BA286" i="14"/>
  <c r="AZ286" i="14"/>
  <c r="AY286" i="14"/>
  <c r="AX286" i="14"/>
  <c r="AW286" i="14"/>
  <c r="AV286" i="14"/>
  <c r="AU286" i="14"/>
  <c r="AT286" i="14"/>
  <c r="AS286" i="14"/>
  <c r="AR286" i="14"/>
  <c r="AQ286" i="14"/>
  <c r="AP286" i="14"/>
  <c r="AO286" i="14"/>
  <c r="AN286" i="14"/>
  <c r="AM286" i="14"/>
  <c r="AL286" i="14"/>
  <c r="AK286" i="14"/>
  <c r="AJ286" i="14"/>
  <c r="AI286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B286" i="14"/>
</calcChain>
</file>

<file path=xl/sharedStrings.xml><?xml version="1.0" encoding="utf-8"?>
<sst xmlns="http://schemas.openxmlformats.org/spreadsheetml/2006/main" count="2429" uniqueCount="1273">
  <si>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</si>
  <si>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</si>
  <si>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</si>
  <si>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</si>
  <si>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</si>
  <si>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</si>
  <si>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</si>
  <si>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</si>
  <si>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</si>
  <si>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</si>
  <si>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</si>
  <si>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</si>
  <si>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</si>
  <si>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</si>
  <si>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</si>
  <si>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</si>
  <si>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</si>
  <si>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</si>
  <si>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</si>
  <si>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</si>
  <si>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</si>
  <si>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</si>
  <si>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</si>
  <si>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</si>
  <si>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</si>
  <si>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</si>
  <si>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</si>
  <si>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</si>
  <si>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</si>
  <si>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</si>
  <si>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</si>
  <si>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</si>
  <si>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</si>
  <si>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</si>
  <si>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</si>
  <si>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</si>
  <si>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</si>
  <si>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</si>
  <si>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</si>
  <si>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</si>
  <si>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</si>
  <si>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</si>
  <si>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</si>
  <si>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</si>
  <si>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</si>
  <si>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</si>
  <si>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</si>
  <si>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</si>
  <si>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</si>
  <si>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</si>
  <si>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</si>
  <si>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</si>
  <si>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</si>
  <si>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</si>
  <si>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</si>
  <si>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</si>
  <si>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</si>
  <si>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</si>
  <si>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</si>
  <si>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</si>
  <si>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</si>
  <si>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</si>
  <si>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</si>
  <si>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</si>
  <si>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</si>
  <si>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</si>
  <si>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</si>
  <si>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</si>
  <si>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</si>
  <si>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</si>
  <si>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</si>
  <si>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</si>
  <si>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</si>
  <si>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</si>
  <si>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</si>
  <si>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</si>
  <si>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</si>
  <si>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</si>
  <si>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</si>
  <si>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</si>
  <si>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</si>
  <si>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</si>
  <si>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</si>
  <si>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</si>
  <si>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</si>
  <si>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</si>
  <si>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</si>
  <si>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</si>
  <si>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</si>
  <si>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</si>
  <si>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</si>
  <si>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</si>
  <si>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</si>
  <si>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</si>
  <si>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</si>
  <si>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</si>
  <si>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</si>
  <si>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</si>
  <si>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</si>
  <si>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</si>
  <si>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</si>
  <si>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</si>
  <si>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</si>
  <si>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</si>
  <si>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</si>
  <si>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</si>
  <si>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</si>
  <si>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</si>
  <si>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</si>
  <si>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</si>
  <si>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</si>
  <si>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</si>
  <si>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</si>
  <si>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</si>
  <si>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</si>
  <si>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</si>
  <si>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</si>
  <si>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</si>
  <si>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</si>
  <si>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</si>
  <si>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</si>
  <si>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</si>
  <si>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</si>
  <si>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</si>
  <si>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</si>
  <si>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</si>
  <si>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</si>
  <si>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</si>
  <si>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</si>
  <si>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</si>
  <si>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</si>
  <si>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</si>
  <si>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</si>
  <si>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</si>
  <si>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</si>
  <si>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</si>
  <si>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</si>
  <si>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</si>
  <si>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</si>
  <si>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</si>
  <si>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</si>
  <si>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</si>
  <si>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</si>
  <si>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</si>
  <si>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</si>
  <si>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</si>
  <si>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</si>
  <si>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</si>
  <si>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</si>
  <si>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</si>
  <si>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</si>
  <si>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</si>
  <si>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</si>
  <si>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</si>
  <si>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</si>
  <si>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</si>
  <si>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</si>
  <si>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</si>
  <si>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</si>
  <si>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</si>
  <si>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</si>
  <si>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</si>
  <si>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</si>
  <si>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</si>
  <si>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</si>
  <si>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</si>
  <si>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</si>
  <si>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</si>
  <si>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</si>
  <si>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</si>
  <si>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</si>
  <si>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</si>
  <si>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</si>
  <si>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</si>
  <si>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</si>
  <si>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</si>
  <si>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</si>
  <si>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</si>
  <si>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</si>
  <si>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</si>
  <si>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</si>
  <si>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</si>
  <si>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</si>
  <si>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</si>
  <si>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</si>
  <si>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</si>
  <si>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</si>
  <si>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</si>
  <si>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</si>
  <si>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</si>
  <si>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</si>
  <si>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</si>
  <si>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</si>
  <si>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</si>
  <si>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</si>
  <si>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</si>
  <si>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</si>
  <si>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</si>
  <si>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</si>
  <si>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</si>
  <si>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</si>
  <si>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</si>
  <si>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</si>
  <si>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</si>
  <si>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</si>
  <si>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</si>
  <si>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</si>
  <si>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</si>
  <si>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</si>
  <si>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</si>
  <si>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</si>
  <si>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</si>
  <si>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</si>
  <si>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</si>
  <si>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</si>
  <si>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</si>
  <si>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</si>
  <si>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</si>
  <si>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</si>
  <si>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</si>
  <si>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</si>
  <si>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</si>
  <si>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</si>
  <si>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</si>
  <si>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</si>
  <si>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</si>
  <si>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</si>
  <si>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</si>
  <si>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</si>
  <si>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</si>
  <si>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</si>
  <si>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</si>
  <si>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</si>
  <si>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</si>
  <si>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</si>
  <si>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</si>
  <si>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</si>
  <si>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</si>
  <si>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</si>
  <si>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</si>
  <si>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</si>
  <si>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</si>
  <si>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</si>
  <si>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</si>
  <si>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</si>
  <si>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</si>
  <si>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</si>
  <si>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</si>
  <si>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</si>
  <si>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</si>
  <si>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</si>
  <si>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</si>
  <si>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</si>
  <si>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</si>
  <si>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</si>
  <si>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</si>
  <si>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</si>
  <si>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</si>
  <si>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</si>
  <si>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</si>
  <si>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</si>
  <si>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</si>
  <si>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</si>
  <si>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</si>
  <si>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</si>
  <si>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</si>
  <si>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</si>
  <si>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</si>
  <si>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</si>
  <si>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</si>
  <si>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</si>
  <si>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</si>
  <si>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</si>
  <si>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</si>
  <si>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</si>
  <si>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</si>
  <si>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</si>
  <si>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</si>
  <si>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</si>
  <si>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</si>
  <si>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</si>
  <si>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</si>
  <si>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</si>
  <si>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</si>
  <si>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</si>
  <si>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</si>
  <si>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</si>
  <si>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</si>
  <si>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</si>
  <si>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</si>
  <si>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</si>
  <si>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</si>
  <si>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</si>
  <si>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</si>
  <si>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</si>
  <si>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</si>
  <si>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</si>
  <si>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</si>
  <si>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</si>
  <si>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</si>
  <si>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</si>
  <si>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</si>
  <si>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</si>
  <si>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</si>
  <si>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</si>
  <si>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</si>
  <si>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</si>
  <si>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</si>
  <si>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</si>
  <si>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</si>
  <si>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</si>
  <si>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</si>
  <si>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</si>
  <si>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</si>
  <si>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</si>
  <si>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</si>
  <si>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</si>
  <si>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</si>
  <si>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</si>
  <si>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</si>
  <si>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</si>
  <si>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</si>
  <si>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</si>
  <si>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</si>
  <si>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</si>
  <si>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</si>
  <si>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</si>
  <si>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</si>
  <si>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</si>
  <si>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</si>
  <si>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</si>
  <si>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</si>
  <si>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</si>
  <si>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</si>
  <si>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</si>
  <si>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</si>
  <si>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</si>
  <si>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</si>
  <si>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</si>
  <si>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</si>
  <si>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</si>
  <si>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</si>
  <si>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</si>
  <si>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</si>
  <si>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</si>
  <si>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</si>
  <si>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</si>
  <si>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</si>
  <si>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</si>
  <si>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</si>
  <si>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</si>
  <si>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</si>
  <si>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</si>
  <si>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</si>
  <si>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</si>
  <si>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</si>
  <si>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</si>
  <si>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</si>
  <si>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</si>
  <si>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</si>
  <si>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</si>
  <si>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</si>
  <si>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</si>
  <si>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</si>
  <si>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</si>
  <si>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</si>
  <si>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</si>
  <si>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</si>
  <si>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</si>
  <si>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</si>
  <si>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</si>
  <si>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</si>
  <si>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</si>
  <si>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</si>
  <si>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</si>
  <si>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</si>
  <si>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</si>
  <si>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</si>
  <si>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</si>
  <si>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</si>
  <si>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</si>
  <si>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</si>
  <si>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</si>
  <si>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</si>
  <si>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</si>
  <si>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</si>
  <si>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</si>
  <si>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</si>
  <si>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</si>
  <si>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</si>
  <si>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</si>
  <si>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</si>
  <si>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</si>
  <si>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</si>
  <si>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</si>
  <si>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</si>
  <si>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</si>
  <si>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</si>
  <si>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</si>
  <si>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</si>
  <si>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</si>
  <si>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</si>
  <si>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</si>
  <si>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</si>
  <si>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</si>
  <si>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</si>
  <si>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</si>
  <si>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</si>
  <si>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</si>
  <si>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</si>
  <si>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</si>
  <si>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</si>
  <si>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</si>
  <si>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</si>
  <si>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</si>
  <si>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</si>
  <si>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</si>
  <si>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</si>
  <si>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</si>
  <si>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</si>
  <si>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</si>
  <si>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</si>
  <si>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</si>
  <si>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</si>
  <si>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</si>
  <si>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</si>
  <si>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</si>
  <si>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</si>
  <si>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</si>
  <si>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</si>
  <si>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</si>
  <si>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</si>
  <si>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</si>
  <si>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</si>
  <si>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</si>
  <si>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</si>
  <si>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</si>
  <si>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</si>
  <si>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</si>
  <si>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</si>
  <si>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</si>
  <si>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</si>
  <si>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</si>
  <si>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</si>
  <si>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</si>
  <si>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</si>
  <si>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</si>
  <si>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</si>
  <si>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</si>
  <si>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</si>
  <si>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</si>
  <si>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</si>
  <si>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</si>
  <si>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</si>
  <si>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</si>
  <si>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</si>
  <si>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</si>
  <si>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</si>
  <si>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</si>
  <si>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</si>
  <si>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</si>
  <si>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</si>
  <si>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</si>
  <si>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</si>
  <si>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</si>
  <si>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</si>
  <si>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</si>
  <si>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</si>
  <si>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</si>
  <si>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</si>
  <si>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</si>
  <si>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</si>
  <si>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</si>
  <si>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</si>
  <si>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</si>
  <si>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</si>
  <si>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</si>
  <si>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</si>
  <si>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</si>
  <si>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</si>
  <si>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</si>
  <si>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</si>
  <si>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</si>
  <si>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</si>
  <si>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</si>
  <si>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</si>
  <si>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</si>
  <si>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</si>
  <si>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</si>
  <si>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</si>
  <si>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</si>
  <si>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</si>
  <si>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</si>
  <si>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</si>
  <si>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</si>
  <si>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</si>
  <si>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</si>
  <si>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</si>
  <si>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</si>
  <si>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</si>
  <si>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</si>
  <si>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</si>
  <si>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</si>
  <si>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</si>
  <si>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</si>
  <si>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</si>
  <si>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</si>
  <si>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</si>
  <si>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</si>
  <si>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</si>
  <si>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</si>
  <si>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</si>
  <si>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</si>
  <si>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</si>
  <si>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</si>
  <si>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</si>
  <si>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</si>
  <si>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</si>
  <si>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</si>
  <si>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</si>
  <si>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</si>
  <si>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</si>
  <si>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</si>
  <si>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</si>
  <si>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</si>
  <si>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</si>
  <si>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</si>
  <si>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</si>
  <si>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</si>
  <si>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</si>
  <si>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</si>
  <si>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</si>
  <si>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</si>
  <si>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</si>
  <si>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</si>
  <si>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</si>
  <si>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</si>
  <si>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</si>
  <si>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</si>
  <si>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</si>
  <si>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</si>
  <si>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</si>
  <si>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</si>
  <si>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</si>
  <si>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</si>
  <si>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</si>
  <si>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</si>
  <si>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</si>
  <si>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</si>
  <si>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</si>
  <si>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</si>
  <si>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</si>
  <si>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</si>
  <si>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</si>
  <si>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</si>
  <si>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</si>
  <si>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</si>
  <si>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</si>
  <si>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</si>
  <si>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</si>
  <si>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</si>
  <si>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</si>
  <si>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</si>
  <si>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</si>
  <si>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</si>
  <si>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</si>
  <si>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</si>
  <si>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</si>
  <si>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</si>
  <si>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</si>
  <si>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</si>
  <si>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</si>
  <si>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</si>
  <si>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</si>
  <si>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</si>
  <si>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</si>
  <si>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</si>
  <si>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</si>
  <si>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</si>
  <si>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</si>
  <si>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</si>
  <si>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</si>
  <si>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</si>
  <si>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</si>
  <si>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</si>
  <si>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</si>
  <si>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</si>
  <si>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</si>
  <si>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</si>
  <si>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</si>
  <si>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</si>
  <si>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</si>
  <si>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</si>
  <si>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</si>
  <si>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</si>
  <si>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</si>
  <si>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</si>
  <si>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</si>
  <si>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</si>
  <si>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</si>
  <si>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</si>
  <si>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</si>
  <si>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</si>
  <si>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</si>
  <si>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</si>
  <si>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</si>
  <si>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</si>
  <si>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</si>
  <si>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</si>
  <si>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</si>
  <si>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</si>
  <si>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</si>
  <si>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</si>
  <si>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</si>
  <si>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</si>
  <si>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</si>
  <si>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</si>
  <si>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</si>
  <si>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</si>
  <si>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</si>
  <si>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</si>
  <si>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</si>
  <si>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</si>
  <si>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</si>
  <si>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</si>
  <si>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</si>
  <si>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</si>
  <si>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</si>
  <si>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</si>
  <si>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</si>
  <si>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</si>
  <si>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</si>
  <si>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</si>
  <si>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</si>
  <si>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</si>
  <si>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</si>
  <si>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</si>
  <si>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</si>
  <si>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</si>
  <si>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</si>
  <si>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</si>
  <si>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</si>
  <si>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</si>
  <si>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</si>
  <si>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</si>
  <si>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</si>
  <si>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</si>
  <si>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</si>
  <si>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</si>
  <si>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</si>
  <si>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</si>
  <si>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</si>
  <si>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</si>
  <si>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</si>
  <si>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</si>
  <si>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</si>
  <si>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</si>
  <si>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</si>
  <si>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</si>
  <si>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</si>
  <si>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</si>
  <si>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</si>
  <si>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</si>
  <si>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</si>
  <si>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</si>
  <si>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</si>
  <si>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</si>
  <si>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</si>
  <si>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</si>
  <si>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</si>
  <si>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</si>
  <si>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</si>
  <si>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</si>
  <si>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</si>
  <si>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</si>
  <si>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</si>
  <si>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</si>
  <si>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</si>
  <si>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</si>
  <si>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</si>
  <si>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</si>
  <si>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</si>
  <si>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</si>
  <si>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</si>
  <si>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</si>
  <si>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</si>
  <si>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</si>
  <si>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</si>
  <si>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</si>
  <si>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</si>
  <si>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</si>
  <si>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</si>
  <si>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</si>
  <si>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</si>
  <si>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</si>
  <si>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</si>
  <si>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</si>
  <si>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</si>
  <si>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</si>
  <si>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</si>
  <si>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</si>
  <si>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</si>
  <si>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</si>
  <si>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</si>
  <si>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</si>
  <si>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</si>
  <si>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</si>
  <si>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</si>
  <si>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</si>
  <si>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</si>
  <si>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</si>
  <si>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</si>
  <si>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</si>
  <si>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</si>
  <si>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</si>
  <si>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</si>
  <si>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</si>
  <si>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</si>
  <si>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</si>
  <si>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</si>
  <si>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</si>
  <si>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</si>
  <si>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</si>
  <si>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</si>
  <si>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</si>
  <si>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</si>
  <si>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</si>
  <si>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</si>
  <si>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</si>
  <si>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</si>
  <si>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</si>
  <si>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</si>
  <si>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</si>
  <si>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</si>
  <si>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</si>
  <si>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</si>
  <si>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</si>
  <si>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</si>
  <si>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</si>
  <si>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</si>
  <si>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</si>
  <si>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</si>
  <si>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</si>
  <si>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</si>
  <si>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</si>
  <si>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</si>
  <si>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</si>
  <si>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</si>
  <si>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</si>
  <si>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</si>
  <si>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</si>
  <si>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</si>
  <si>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</si>
  <si>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</si>
  <si>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</si>
  <si>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</si>
  <si>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</si>
  <si>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</si>
  <si>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</si>
  <si>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</si>
  <si>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</si>
  <si>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</si>
  <si>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</si>
  <si>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</si>
  <si>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</si>
  <si>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</si>
  <si>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</si>
  <si>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</si>
  <si>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</si>
  <si>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</si>
  <si>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</si>
  <si>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</si>
  <si>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</si>
  <si>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</si>
  <si>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</si>
  <si>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</si>
  <si>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</si>
  <si>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</si>
  <si>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</si>
  <si>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</si>
  <si>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</si>
  <si>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</si>
  <si>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</si>
  <si>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</si>
  <si>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</si>
  <si>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</si>
  <si>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</si>
  <si>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</si>
  <si>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</si>
  <si>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</si>
  <si>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</si>
  <si>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</si>
  <si>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</si>
  <si>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</si>
  <si>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</si>
  <si>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</si>
  <si>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</si>
  <si>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</si>
  <si>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</si>
  <si>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</si>
  <si>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</si>
  <si>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</si>
  <si>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</si>
  <si>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</si>
  <si>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</si>
  <si>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</si>
  <si>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</si>
  <si>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</si>
  <si>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</si>
  <si>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</si>
  <si>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</si>
  <si>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</si>
  <si>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</si>
  <si>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</si>
  <si>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</si>
  <si>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</si>
  <si>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</si>
  <si>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</si>
  <si>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</si>
  <si>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</si>
  <si>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</si>
  <si>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</si>
  <si>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</si>
  <si>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</si>
  <si>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</si>
  <si>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</si>
  <si>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</si>
  <si>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</si>
  <si>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</si>
  <si>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</si>
  <si>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</si>
  <si>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</si>
  <si>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</si>
  <si>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</si>
  <si>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</si>
  <si>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</si>
  <si>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</si>
  <si>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</si>
  <si>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</si>
  <si>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</si>
  <si>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</si>
  <si>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</si>
  <si>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</si>
  <si>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</si>
  <si>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</si>
  <si>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</si>
  <si>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</si>
  <si>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</si>
  <si>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</si>
  <si>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</si>
  <si>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</si>
  <si>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</si>
  <si>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</si>
  <si>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</si>
  <si>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</si>
  <si>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</si>
  <si>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</si>
  <si>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</si>
  <si>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</si>
  <si>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</si>
  <si>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</si>
  <si>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</si>
  <si>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</si>
  <si>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</si>
  <si>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</si>
  <si>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</si>
  <si>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</si>
  <si>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</si>
  <si>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</si>
  <si>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</si>
  <si>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</si>
  <si>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</si>
  <si>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</si>
  <si>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</si>
  <si>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</si>
  <si>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</si>
  <si>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</si>
  <si>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</si>
  <si>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</si>
  <si>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</si>
  <si>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</si>
  <si>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</si>
  <si>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</si>
  <si>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</si>
  <si>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</si>
  <si>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</si>
  <si>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</si>
  <si>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</si>
  <si>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</si>
  <si>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</si>
  <si>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</si>
  <si>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</si>
  <si>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</si>
  <si>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</si>
  <si>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</si>
  <si>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</si>
  <si>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</si>
  <si>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</si>
  <si>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</si>
  <si>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</si>
  <si>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</si>
  <si>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</si>
  <si>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</si>
  <si>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</si>
  <si>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</si>
  <si>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</si>
  <si>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</si>
  <si>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</si>
  <si>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</si>
  <si>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</si>
  <si>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</si>
  <si>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</si>
  <si>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</si>
  <si>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</si>
  <si>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</si>
  <si>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</si>
  <si>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</si>
  <si>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</si>
  <si>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</si>
  <si>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</si>
  <si>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</si>
  <si>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</si>
  <si>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</si>
  <si>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</si>
  <si>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</si>
  <si>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</si>
  <si>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</si>
  <si>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</si>
  <si>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</si>
  <si>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</si>
  <si>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</si>
  <si>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</si>
  <si>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</si>
  <si>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</si>
  <si>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</si>
  <si>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</si>
  <si>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</si>
  <si>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</si>
  <si>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</si>
  <si>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</si>
  <si>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</si>
  <si>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</si>
  <si>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</si>
  <si>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</si>
  <si>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</si>
  <si>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</si>
  <si>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</si>
  <si>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</si>
  <si>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</si>
  <si>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</si>
  <si>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</si>
  <si>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</si>
  <si>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</si>
  <si>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</si>
  <si>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</si>
  <si>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</si>
  <si>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</si>
  <si>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</si>
  <si>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</si>
  <si>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</si>
  <si>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</si>
  <si>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</si>
  <si>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</si>
  <si>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</si>
  <si>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</si>
  <si>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</si>
  <si>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</si>
  <si>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</si>
  <si>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</si>
  <si>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</si>
  <si>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</si>
  <si>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</si>
  <si>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</si>
  <si>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</si>
  <si>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</si>
  <si>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</si>
  <si>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</si>
  <si>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</si>
  <si>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</si>
  <si>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</si>
  <si>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</si>
  <si>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</si>
  <si>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</si>
  <si>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</si>
  <si>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</si>
  <si>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</si>
  <si>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</si>
  <si>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</si>
  <si>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</si>
  <si>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</si>
  <si>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</si>
  <si>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</si>
  <si>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</si>
  <si>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</si>
  <si>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</si>
  <si>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</si>
  <si>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</si>
  <si>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</si>
  <si>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</si>
  <si>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</si>
  <si>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</si>
  <si>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</si>
  <si>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</si>
  <si>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</si>
  <si>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</si>
  <si>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</si>
  <si>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</si>
  <si>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</si>
  <si>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</si>
  <si>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</si>
  <si>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</si>
  <si>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</si>
  <si>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</si>
  <si>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</si>
  <si>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</si>
  <si>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</si>
  <si>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</si>
  <si>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</si>
  <si>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</si>
  <si>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</si>
  <si>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</si>
  <si>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</si>
  <si>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</si>
  <si>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</si>
  <si>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</si>
  <si>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</si>
  <si>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</si>
  <si>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</si>
  <si>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</si>
  <si>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</si>
  <si>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</si>
  <si>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</si>
  <si>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</si>
  <si>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</si>
  <si>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</si>
  <si>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</si>
  <si>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</si>
  <si>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</si>
  <si>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</si>
  <si>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</si>
  <si>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</si>
  <si>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</si>
  <si>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</si>
  <si>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</si>
  <si>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</si>
  <si>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</si>
  <si>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</si>
  <si>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</si>
  <si>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</si>
  <si>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</si>
  <si>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</si>
  <si>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</si>
  <si>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</si>
  <si>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</si>
  <si>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</si>
  <si>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</si>
  <si>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</si>
  <si>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</si>
  <si>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</si>
  <si>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</si>
  <si>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</si>
  <si>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</si>
  <si>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</si>
  <si>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</si>
  <si>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</si>
  <si>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</si>
  <si>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</si>
  <si>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</si>
  <si>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</si>
  <si>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</si>
  <si>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</si>
  <si>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</si>
  <si>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</si>
  <si>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</si>
  <si>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</si>
  <si>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</si>
  <si>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</si>
  <si>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</si>
  <si>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</si>
  <si>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</si>
  <si>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</si>
  <si>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</si>
  <si>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</si>
  <si>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</si>
  <si>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</si>
  <si>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</si>
  <si>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</si>
  <si>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</si>
  <si>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</si>
  <si>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</si>
  <si>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</si>
  <si>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</si>
  <si>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</si>
  <si>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</si>
  <si>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</si>
  <si>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</si>
  <si>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</si>
  <si>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</si>
  <si>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</si>
  <si>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</si>
  <si>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</si>
  <si>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</si>
  <si>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</si>
  <si>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</si>
  <si>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</si>
  <si>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</si>
  <si>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</si>
  <si>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</si>
  <si>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</si>
  <si>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</si>
  <si>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</si>
  <si>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</si>
  <si>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</si>
  <si>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</si>
  <si>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</si>
  <si>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</si>
  <si>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</si>
  <si>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</si>
  <si>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</si>
  <si>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</si>
  <si>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</si>
  <si>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</si>
  <si>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</si>
  <si>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</si>
  <si>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</si>
  <si>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</si>
  <si>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</si>
  <si>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</si>
  <si>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</si>
  <si>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</si>
  <si>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</si>
  <si>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</si>
  <si>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</si>
  <si>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</si>
  <si>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</si>
  <si>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</si>
  <si>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</si>
  <si>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</si>
  <si>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</si>
  <si>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</si>
  <si>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</si>
  <si>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</si>
  <si>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</si>
  <si>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</si>
  <si>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</si>
  <si>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</si>
  <si>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</si>
  <si>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</si>
  <si>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</si>
  <si>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</si>
  <si>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</si>
  <si>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</si>
  <si>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</si>
  <si>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</si>
  <si>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</si>
  <si>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</si>
  <si>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</si>
  <si>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</si>
  <si>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</si>
  <si>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</si>
  <si>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</si>
  <si>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</si>
  <si>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</si>
  <si>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</si>
  <si>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</si>
  <si>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</si>
  <si>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</si>
  <si>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</si>
  <si>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</si>
  <si>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</si>
  <si>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</si>
  <si>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</si>
  <si>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</si>
  <si>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</si>
  <si>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</si>
  <si>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</si>
  <si>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</si>
  <si>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</si>
  <si>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</si>
  <si>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</si>
  <si>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</si>
  <si>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</si>
  <si>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</si>
  <si>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</si>
  <si>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</si>
  <si>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</si>
  <si>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</si>
  <si>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</si>
  <si>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</si>
  <si>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</si>
  <si>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</si>
  <si>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</si>
  <si>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</si>
  <si>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</si>
  <si>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</si>
  <si>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</si>
  <si>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</si>
  <si>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</si>
  <si>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</si>
  <si>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</si>
  <si>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</si>
  <si>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</si>
  <si>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</si>
  <si>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</si>
  <si>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</si>
  <si>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</si>
  <si>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</si>
  <si>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</si>
  <si>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</si>
  <si>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</si>
  <si>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</si>
  <si>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</si>
  <si>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</si>
  <si>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</si>
  <si>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</si>
  <si>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</si>
  <si>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</si>
  <si>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</si>
  <si>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</si>
  <si>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</si>
  <si>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</si>
  <si>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</si>
  <si>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</si>
  <si>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</si>
  <si>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</si>
  <si>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</si>
  <si>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</si>
  <si>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OFFICE (19/16/4)</t>
  </si>
  <si>
    <t>79 map (train)</t>
  </si>
  <si>
    <t>TRAIN (2/3/0)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</si>
  <si>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</si>
  <si>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</si>
  <si>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</si>
  <si>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</si>
  <si>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</si>
  <si>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</si>
  <si>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nuke (44)</t>
  </si>
  <si>
    <t>196 map (inf)</t>
  </si>
  <si>
    <t>197 map (inf)</t>
  </si>
  <si>
    <t>198 map (roof)</t>
  </si>
  <si>
    <t>rooftop (2)</t>
  </si>
  <si>
    <t>199 map (vert)</t>
  </si>
  <si>
    <t>vertigo (28)</t>
  </si>
  <si>
    <t>12.11.2025</t>
  </si>
  <si>
    <t>200 map (inf)</t>
  </si>
  <si>
    <t>inferno (53)</t>
  </si>
  <si>
    <t>201 map (over)</t>
  </si>
  <si>
    <t>OVERPASS (30)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</si>
  <si>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</si>
  <si>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</si>
  <si>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</si>
  <si>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</si>
  <si>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</si>
  <si>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</si>
  <si>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</si>
  <si>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</si>
  <si>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ANCIENT (9/4/3)</t>
  </si>
  <si>
    <t>225 map (dust)</t>
  </si>
  <si>
    <t>DUST (21/14/2)</t>
  </si>
  <si>
    <t>226 map (mir)</t>
  </si>
  <si>
    <t>MIRAGE (14/13/2)</t>
  </si>
  <si>
    <t>227 map (inf)</t>
  </si>
  <si>
    <t>INFERNO (8/3/0)</t>
  </si>
  <si>
    <t>228 map (nuke)</t>
  </si>
  <si>
    <t>NUKE (7/7/1)</t>
  </si>
  <si>
    <t>229 map (anu)</t>
  </si>
  <si>
    <t>ANUBIS (12/8/1)</t>
  </si>
  <si>
    <t>230 map (over)</t>
  </si>
  <si>
    <t>OVERPASS (4/4/0)</t>
  </si>
  <si>
    <t>231 map (vert)</t>
  </si>
  <si>
    <t>VERTIGO (9/6/1)</t>
  </si>
  <si>
    <t>232 map (train)</t>
  </si>
  <si>
    <t>TRAIN (8/5/2)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</si>
</sst>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1" fillId="14" borderId="0" applyNumberFormat="0" applyBorder="0" applyAlignment="0" applyProtection="0"/>
    <xf numFmtId="0" fontId="7" fillId="17" borderId="2" applyNumberFormat="0" applyFont="0" applyAlignment="0" applyProtection="0"/>
    <xf numFmtId="0" fontId="22" fillId="15" borderId="0" applyNumberFormat="0" applyBorder="0" applyAlignment="0" applyProtection="0"/>
    <xf numFmtId="0" fontId="23" fillId="16" borderId="0" applyNumberFormat="0" applyBorder="0" applyAlignment="0" applyProtection="0"/>
  </cellStyleXfs>
  <cellXfs count="3257">
    <xf numFmtId="0" fontId="0" fillId="0" borderId="0" xfId="0"/>
    <xf numFmtId="0" fontId="7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3" borderId="1" xfId="0" applyFont="1" applyFill="1" applyBorder="1"/>
    <xf numFmtId="0" fontId="9" fillId="3" borderId="2" xfId="0" applyFont="1" applyFill="1" applyBorder="1"/>
    <xf numFmtId="0" fontId="10" fillId="4" borderId="1" xfId="0" applyFont="1" applyFill="1" applyBorder="1"/>
    <xf numFmtId="0" fontId="10" fillId="4" borderId="2" xfId="0" applyFont="1" applyFill="1" applyBorder="1"/>
    <xf numFmtId="0" fontId="11" fillId="5" borderId="1" xfId="0" applyFont="1" applyFill="1" applyBorder="1"/>
    <xf numFmtId="0" fontId="11" fillId="5" borderId="2" xfId="0" applyFont="1" applyFill="1" applyBorder="1"/>
    <xf numFmtId="0" fontId="12" fillId="6" borderId="1" xfId="0" applyFont="1" applyFill="1" applyBorder="1"/>
    <xf numFmtId="0" fontId="12" fillId="6" borderId="2" xfId="0" applyFont="1" applyFill="1" applyBorder="1"/>
    <xf numFmtId="14" fontId="8" fillId="2" borderId="1" xfId="0" applyNumberFormat="1" applyFont="1" applyFill="1" applyBorder="1"/>
    <xf numFmtId="0" fontId="12" fillId="7" borderId="2" xfId="0" applyFont="1" applyFill="1" applyBorder="1"/>
    <xf numFmtId="14" fontId="10" fillId="4" borderId="1" xfId="0" applyNumberFormat="1" applyFont="1" applyFill="1" applyBorder="1"/>
    <xf numFmtId="14" fontId="9" fillId="3" borderId="1" xfId="0" applyNumberFormat="1" applyFont="1" applyFill="1" applyBorder="1"/>
    <xf numFmtId="2" fontId="12" fillId="0" borderId="0" xfId="0" applyNumberFormat="1" applyFont="1"/>
    <xf numFmtId="14" fontId="12" fillId="0" borderId="0" xfId="0" applyNumberFormat="1" applyFont="1"/>
    <xf numFmtId="14" fontId="11" fillId="8" borderId="1" xfId="0" applyNumberFormat="1" applyFont="1" applyFill="1" applyBorder="1"/>
    <xf numFmtId="0" fontId="11" fillId="8" borderId="1" xfId="0" applyFont="1" applyFill="1" applyBorder="1"/>
    <xf numFmtId="49" fontId="12" fillId="0" borderId="0" xfId="0" applyNumberFormat="1" applyFont="1"/>
    <xf numFmtId="49" fontId="9" fillId="3" borderId="1" xfId="0" applyNumberFormat="1" applyFont="1" applyFill="1" applyBorder="1"/>
    <xf numFmtId="49" fontId="8" fillId="2" borderId="1" xfId="0" applyNumberFormat="1" applyFont="1" applyFill="1" applyBorder="1"/>
    <xf numFmtId="49" fontId="10" fillId="4" borderId="1" xfId="0" applyNumberFormat="1" applyFont="1" applyFill="1" applyBorder="1"/>
    <xf numFmtId="0" fontId="12" fillId="0" borderId="0" xfId="0" applyFont="1"/>
    <xf numFmtId="2" fontId="8" fillId="2" borderId="1" xfId="0" applyNumberFormat="1" applyFont="1" applyFill="1" applyBorder="1"/>
    <xf numFmtId="2" fontId="9" fillId="3" borderId="1" xfId="0" applyNumberFormat="1" applyFont="1" applyFill="1" applyBorder="1"/>
    <xf numFmtId="2" fontId="10" fillId="4" borderId="1" xfId="0" applyNumberFormat="1" applyFont="1" applyFill="1" applyBorder="1"/>
    <xf numFmtId="2" fontId="11" fillId="5" borderId="1" xfId="0" applyNumberFormat="1" applyFont="1" applyFill="1" applyBorder="1"/>
    <xf numFmtId="2" fontId="12" fillId="9" borderId="1" xfId="0" applyNumberFormat="1" applyFont="1" applyFill="1" applyBorder="1"/>
    <xf numFmtId="0" fontId="14" fillId="10" borderId="16" xfId="0" applyFont="1" applyFill="1" applyBorder="1"/>
    <xf numFmtId="0" fontId="12" fillId="11" borderId="1" xfId="0" applyFont="1" applyFill="1" applyBorder="1"/>
    <xf numFmtId="0" fontId="15" fillId="0" borderId="17" xfId="0" applyFont="1" applyBorder="1"/>
    <xf numFmtId="0" fontId="16" fillId="10" borderId="18" xfId="0" applyFont="1" applyFill="1" applyBorder="1"/>
    <xf numFmtId="164" fontId="9" fillId="3" borderId="1" xfId="0" applyNumberFormat="1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4" borderId="0" xfId="0" applyFont="1" applyFill="1"/>
    <xf numFmtId="0" fontId="17" fillId="2" borderId="0" xfId="0" applyFont="1" applyFill="1"/>
    <xf numFmtId="164" fontId="17" fillId="4" borderId="0" xfId="0" applyNumberFormat="1" applyFont="1" applyFill="1"/>
    <xf numFmtId="164" fontId="18" fillId="3" borderId="0" xfId="0" applyNumberFormat="1" applyFont="1" applyFill="1"/>
    <xf numFmtId="0" fontId="18" fillId="3" borderId="0" xfId="0" applyFont="1" applyFill="1"/>
    <xf numFmtId="0" fontId="17" fillId="3" borderId="0" xfId="0" applyFont="1" applyFill="1"/>
    <xf numFmtId="0" fontId="11" fillId="5" borderId="0" xfId="0" applyFont="1" applyFill="1"/>
    <xf numFmtId="164" fontId="17" fillId="2" borderId="0" xfId="0" applyNumberFormat="1" applyFont="1" applyFill="1"/>
    <xf numFmtId="0" fontId="9" fillId="2" borderId="1" xfId="0" applyFont="1" applyFill="1" applyBorder="1"/>
    <xf numFmtId="0" fontId="19" fillId="5" borderId="1" xfId="0" applyFont="1" applyFill="1" applyBorder="1"/>
    <xf numFmtId="0" fontId="8" fillId="2" borderId="0" xfId="0" applyFont="1" applyFill="1"/>
    <xf numFmtId="0" fontId="17" fillId="12" borderId="0" xfId="0" applyFont="1" applyFill="1"/>
    <xf numFmtId="0" fontId="17" fillId="12" borderId="2" xfId="0" applyFont="1" applyFill="1" applyBorder="1"/>
    <xf numFmtId="164" fontId="17" fillId="3" borderId="0" xfId="0" applyNumberFormat="1" applyFont="1" applyFill="1"/>
    <xf numFmtId="0" fontId="9" fillId="3" borderId="16" xfId="0" applyFont="1" applyFill="1" applyBorder="1"/>
    <xf numFmtId="0" fontId="17" fillId="7" borderId="2" xfId="0" applyFont="1" applyFill="1" applyBorder="1"/>
    <xf numFmtId="0" fontId="9" fillId="3" borderId="0" xfId="0" applyFont="1" applyFill="1"/>
    <xf numFmtId="0" fontId="8" fillId="2" borderId="0" xfId="0" applyFont="1" applyFill="1" applyAlignment="1">
      <alignment horizontal="right"/>
    </xf>
    <xf numFmtId="0" fontId="17" fillId="7" borderId="22" xfId="0" applyFont="1" applyFill="1" applyBorder="1" applyAlignment="1">
      <alignment horizontal="right"/>
    </xf>
    <xf numFmtId="0" fontId="9" fillId="3" borderId="0" xfId="0" applyFont="1" applyFill="1" applyAlignment="1">
      <alignment horizontal="right"/>
    </xf>
    <xf numFmtId="0" fontId="19" fillId="13" borderId="0" xfId="0" applyFont="1" applyFill="1"/>
    <xf numFmtId="0" fontId="10" fillId="4" borderId="0" xfId="0" applyFont="1" applyFill="1"/>
    <xf numFmtId="0" fontId="17" fillId="6" borderId="0" xfId="0" applyFont="1" applyFill="1"/>
    <xf numFmtId="0" fontId="17" fillId="7" borderId="22" xfId="0" applyFont="1" applyFill="1" applyBorder="1"/>
    <xf numFmtId="0" fontId="10" fillId="4" borderId="0" xfId="0" applyFont="1" applyFill="1" applyAlignment="1">
      <alignment horizontal="right"/>
    </xf>
    <xf numFmtId="0" fontId="17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1" fillId="14" borderId="0" xfId="1" applyAlignment="1"/>
    <xf numFmtId="0" fontId="17" fillId="17" borderId="2" xfId="2" applyFont="1" applyAlignment="1"/>
    <xf numFmtId="0" fontId="22" fillId="15" borderId="0" xfId="3" applyAlignment="1"/>
    <xf numFmtId="0" fontId="6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5" fillId="21" borderId="24" xfId="0" applyFont="1" applyFill="1" applyBorder="1" applyAlignment="1">
      <alignment wrapText="1"/>
    </xf>
    <xf numFmtId="0" fontId="5" fillId="22" borderId="24" xfId="0" applyFont="1" applyFill="1" applyBorder="1" applyAlignment="1">
      <alignment wrapText="1"/>
    </xf>
    <xf numFmtId="0" fontId="5" fillId="23" borderId="24" xfId="0" applyFont="1" applyFill="1" applyBorder="1" applyAlignment="1">
      <alignment wrapText="1"/>
    </xf>
    <xf numFmtId="14" fontId="5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3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3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3" fillId="16" borderId="0" xfId="0" applyFont="1" applyFill="1"/>
    <xf numFmtId="0" fontId="3" fillId="15" borderId="0" xfId="0" applyFont="1" applyFill="1"/>
    <xf numFmtId="0" fontId="3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8" fillId="2" borderId="3" xfId="0" applyFont="1" applyFill="1" applyBorder="1" applyAlignment="1">
      <alignment horizontal="center"/>
    </xf>
    <xf numFmtId="0" fontId="13" fillId="0" borderId="4" xfId="0" applyFont="1" applyBorder="1"/>
    <xf numFmtId="0" fontId="9" fillId="3" borderId="3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3" fillId="0" borderId="5" xfId="0" applyFont="1" applyBorder="1"/>
    <xf numFmtId="0" fontId="12" fillId="7" borderId="6" xfId="0" applyFont="1" applyFill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4" fillId="10" borderId="9" xfId="0" applyFont="1" applyFill="1" applyBorder="1" applyAlignment="1">
      <alignment horizontal="center"/>
    </xf>
    <xf numFmtId="0" fontId="13" fillId="0" borderId="10" xfId="0" applyFont="1" applyBorder="1"/>
    <xf numFmtId="0" fontId="13" fillId="0" borderId="11" xfId="0" applyFont="1" applyBorder="1"/>
    <xf numFmtId="0" fontId="12" fillId="11" borderId="12" xfId="0" applyFont="1" applyFill="1" applyBorder="1" applyAlignment="1">
      <alignment horizontal="center"/>
    </xf>
    <xf numFmtId="0" fontId="13" fillId="0" borderId="13" xfId="0" applyFont="1" applyBorder="1"/>
    <xf numFmtId="0" fontId="13" fillId="0" borderId="14" xfId="0" applyFont="1" applyBorder="1"/>
    <xf numFmtId="0" fontId="8" fillId="2" borderId="15" xfId="0" applyFont="1" applyFill="1" applyBorder="1" applyAlignment="1">
      <alignment horizontal="center"/>
    </xf>
    <xf numFmtId="0" fontId="16" fillId="10" borderId="19" xfId="0" applyFont="1" applyFill="1" applyBorder="1" applyAlignment="1">
      <alignment horizontal="center"/>
    </xf>
    <xf numFmtId="0" fontId="13" fillId="0" borderId="20" xfId="0" applyFont="1" applyBorder="1"/>
    <xf numFmtId="0" fontId="13" fillId="0" borderId="21" xfId="0" applyFont="1" applyBorder="1"/>
    <xf numFmtId="0" fontId="0" fillId="0" borderId="0" xfId="0" applyAlignment="1">
      <alignment horizontal="center"/>
    </xf>
    <xf numFmtId="0" fontId="20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21" fillId="14" borderId="0" xfId="1" applyAlignment="1">
      <alignment horizontal="center"/>
    </xf>
    <xf numFmtId="0" fontId="23" fillId="16" borderId="0" xfId="4" applyAlignment="1">
      <alignment horizontal="center"/>
    </xf>
    <xf numFmtId="0" fontId="20" fillId="2" borderId="0" xfId="0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23" fillId="23" borderId="25" xfId="0" applyFont="1" applyFill="1" applyBorder="1" applyAlignment="1">
      <alignment horizontal="center" wrapText="1"/>
    </xf>
    <xf numFmtId="0" fontId="23" fillId="23" borderId="26" xfId="0" applyFont="1" applyFill="1" applyBorder="1" applyAlignment="1">
      <alignment horizontal="center" wrapText="1"/>
    </xf>
    <xf numFmtId="0" fontId="23" fillId="23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3" fillId="24" borderId="26" xfId="0" applyFont="1" applyFill="1" applyBorder="1" applyAlignment="1">
      <alignment horizontal="center" wrapText="1"/>
    </xf>
    <xf numFmtId="0" fontId="3" fillId="24" borderId="27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3" fillId="22" borderId="26" xfId="0" applyFont="1" applyFill="1" applyBorder="1" applyAlignment="1">
      <alignment horizontal="center" wrapText="1"/>
    </xf>
    <xf numFmtId="0" fontId="3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3" borderId="25" xfId="0" applyFont="1" applyFill="1" applyBorder="1" applyAlignment="1">
      <alignment horizontal="center" wrapText="1"/>
    </xf>
    <xf numFmtId="0" fontId="3" fillId="23" borderId="26" xfId="0" applyFont="1" applyFill="1" applyBorder="1" applyAlignment="1">
      <alignment horizontal="center" wrapText="1"/>
    </xf>
    <xf numFmtId="0" fontId="3" fillId="23" borderId="27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213" t="s">
        <v>0</v>
      </c>
      <c r="C1" s="3214"/>
      <c r="D1" s="3215" t="s">
        <v>1</v>
      </c>
      <c r="E1" s="3214"/>
      <c r="F1" s="3216" t="s">
        <v>177</v>
      </c>
      <c r="G1" s="3214"/>
      <c r="H1" s="3213" t="s">
        <v>174</v>
      </c>
      <c r="I1" s="3214"/>
      <c r="J1" s="3215" t="s">
        <v>175</v>
      </c>
      <c r="K1" s="3214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217" t="str">
        <f>"Mirage"&amp;" "&amp;H5/SUM(H5:I5)*100</f>
        <v>Mirage 25</v>
      </c>
      <c r="I3" s="3218"/>
      <c r="J3" s="3217" t="str">
        <f>"Inferno"&amp;" "&amp;ROUND(J5/SUM(J5:K5)*100,0)</f>
        <v>Inferno 40</v>
      </c>
      <c r="K3" s="3218"/>
      <c r="L3" s="3217" t="str">
        <f>"Overpass"&amp;" "&amp;ROUND(L5/SUM(L5:M5)*100,0)</f>
        <v>Overpass 67</v>
      </c>
      <c r="M3" s="3218"/>
      <c r="N3" s="3217" t="str">
        <f>"Vertigo"&amp;" "&amp;ROUND(N5/SUM(N5:O5)*100,0)</f>
        <v>Vertigo 80</v>
      </c>
      <c r="O3" s="3218"/>
      <c r="P3" s="3217" t="str">
        <f>"Ancient"&amp;" "&amp;ROUND(P5/SUM(P5:Q5)*100,0)</f>
        <v>Ancient 50</v>
      </c>
      <c r="Q3" s="3218"/>
      <c r="R3" s="3217" t="str">
        <f>"Anubis"&amp;" "&amp;ROUND(R5/SUM(R5:S5)*100,0)</f>
        <v>Anubis 67</v>
      </c>
      <c r="S3" s="3218"/>
      <c r="T3" s="3217" t="str">
        <f>"Dust II"&amp;" "&amp;ROUND(T5/SUM(T5:U5)*100,0)</f>
        <v>Dust II 100</v>
      </c>
      <c r="U3" s="3218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217" t="s">
        <v>206</v>
      </c>
      <c r="I7" s="3218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217" t="s">
        <v>373</v>
      </c>
      <c r="G3" s="3218"/>
      <c r="H3" s="3218"/>
      <c r="I3" s="3217" t="s">
        <v>374</v>
      </c>
      <c r="J3" s="3218"/>
      <c r="K3" s="3218"/>
      <c r="L3" s="3217" t="s">
        <v>375</v>
      </c>
      <c r="M3" s="3218"/>
      <c r="N3" s="3218"/>
      <c r="O3" s="3217" t="s">
        <v>376</v>
      </c>
      <c r="P3" s="3218"/>
      <c r="Q3" s="3218"/>
      <c r="R3" s="3217" t="s">
        <v>377</v>
      </c>
      <c r="S3" s="3218"/>
      <c r="T3" s="3217" t="s">
        <v>378</v>
      </c>
      <c r="U3" s="3218"/>
      <c r="V3" s="3217" t="s">
        <v>379</v>
      </c>
      <c r="W3" s="3218"/>
      <c r="X3" s="3218"/>
      <c r="Y3" s="3217" t="s">
        <v>380</v>
      </c>
      <c r="Z3" s="3218"/>
      <c r="AA3" s="3218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213" t="s">
        <v>641</v>
      </c>
      <c r="B1" s="3219"/>
      <c r="C1" s="3219"/>
      <c r="D1" s="3214"/>
      <c r="E1" s="3215" t="s">
        <v>642</v>
      </c>
      <c r="F1" s="3219"/>
      <c r="G1" s="3219"/>
      <c r="H1" s="3219"/>
      <c r="I1" s="3219"/>
      <c r="J1" s="3214"/>
      <c r="K1" s="3216" t="s">
        <v>643</v>
      </c>
      <c r="L1" s="3219"/>
      <c r="M1" s="3219"/>
      <c r="N1" s="3214"/>
      <c r="O1" s="3220" t="s">
        <v>644</v>
      </c>
      <c r="P1" s="3221"/>
      <c r="Q1" s="3221"/>
      <c r="R1" s="3221"/>
      <c r="S1" s="3222"/>
      <c r="T1" s="3223" t="s">
        <v>645</v>
      </c>
      <c r="U1" s="3224"/>
      <c r="V1" s="3224"/>
      <c r="W1" s="3224"/>
      <c r="X1" s="3225"/>
      <c r="Y1" s="3226" t="s">
        <v>646</v>
      </c>
      <c r="Z1" s="3227"/>
      <c r="AA1" s="3227"/>
      <c r="AB1" s="3228"/>
      <c r="AC1" s="3229" t="s">
        <v>647</v>
      </c>
      <c r="AD1" s="3219"/>
      <c r="AE1" s="3219"/>
      <c r="AF1" s="3219"/>
      <c r="AG1" s="3214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217" t="s">
        <v>651</v>
      </c>
      <c r="B8" s="3218"/>
      <c r="C8" s="3218"/>
      <c r="D8" s="3218"/>
      <c r="E8" s="3218"/>
      <c r="F8" s="3218"/>
      <c r="G8" s="3218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230" t="s">
        <v>710</v>
      </c>
      <c r="C20" s="3231"/>
      <c r="D20" s="3231"/>
      <c r="E20" s="3231"/>
      <c r="F20" s="3231"/>
      <c r="G20" s="3231"/>
      <c r="H20" s="3232"/>
    </row>
    <row r="21" spans="1:13" ht="15.75" customHeight="1" x14ac:dyDescent="0.25"/>
    <row r="22" spans="1:13" ht="15.75" customHeight="1" x14ac:dyDescent="0.25">
      <c r="A22" s="3230" t="s">
        <v>711</v>
      </c>
      <c r="B22" s="3231"/>
      <c r="C22" s="3232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40"/>
  <sheetViews>
    <sheetView workbookViewId="0">
      <pane ySplit="1" topLeftCell="A210" activePane="bottomLeft" state="frozen"/>
      <selection pane="bottomLeft" activeCell="M241" sqref="M241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234" t="s">
        <v>1245</v>
      </c>
      <c r="I3" s="3218"/>
      <c r="J3" s="3218"/>
      <c r="K3" s="3218"/>
      <c r="L3" s="3235" t="s">
        <v>1236</v>
      </c>
      <c r="M3" s="3218"/>
      <c r="N3" s="3218"/>
      <c r="O3" s="3218"/>
      <c r="P3" s="3236" t="s">
        <v>944</v>
      </c>
      <c r="Q3" s="3218"/>
      <c r="R3" s="3218"/>
      <c r="S3" s="3218"/>
      <c r="T3" s="3236" t="s">
        <v>941</v>
      </c>
      <c r="U3" s="3218"/>
      <c r="V3" s="3218"/>
      <c r="W3" s="3218"/>
      <c r="X3" s="3237" t="s">
        <v>1247</v>
      </c>
      <c r="Y3" s="3218"/>
      <c r="Z3" s="3218"/>
      <c r="AA3" s="3218"/>
      <c r="AB3" s="3238" t="s">
        <v>1242</v>
      </c>
      <c r="AC3" s="3218"/>
      <c r="AD3" s="3218"/>
      <c r="AE3" s="3218"/>
      <c r="AF3" s="3240" t="s">
        <v>1029</v>
      </c>
      <c r="AG3" s="3240"/>
      <c r="AH3" s="3240"/>
      <c r="AI3" s="3240"/>
      <c r="AJ3" s="3240" t="s">
        <v>1030</v>
      </c>
      <c r="AK3" s="3240"/>
      <c r="AL3" s="3240"/>
      <c r="AM3" s="3240"/>
      <c r="AN3" s="3239" t="s">
        <v>1240</v>
      </c>
      <c r="AO3" s="3239"/>
      <c r="AP3" s="3239"/>
      <c r="AQ3" s="3239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AVERAGE(B6,B8,B10,B11,B13,B14,B16,B17,B23,B30,B42,B50,B53,B55,B60,B66,B70,B77,B79,B84,B97,B101,B106,B109,B115,B119,B126,B134,B136,B138,B145,B149,B167,B171,B173,B174,B184,B190,B193,B194,B201,B207,B208,B210,B212,B215,B217,B221,B227,B229,B233,B234,B238)</f>
        <v>1.0494339622641509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AVERAGE(C6,C8,C10,C11,C13,C14,C16,C17,C23,C30,C42,C50,C53,C55,C60,C66,C70,C77,C79,C84,C97,C101,C106,C109,C115,C119,C126,C134,C136,C138,C145,C149,C167,C171,C173,C174,C184,C190,C193,C194,C201,C207,C208,C210,C212,C215,C217,C221,C227,C229,C233,C234,C238)</f>
        <v>0.99520000000000008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AVERAGE(B3,B5,B18,B27,B28,B32,B34,B36,B44,B56,B61,B63,B69,B75,B88,B96,B99,B105,B111,B116,B117,B128,B133,B139,B144,B147,B158,B162,B163,B164,B165,B166,B172,B177,B183,B195,B200,B202,B203,B206,B214,B218,B225,B232)</f>
        <v>1.1204545454545454</v>
      </c>
      <c r="M4" s="1">
        <f>AVERAGE(C3,C5,C18,C27,C28,C32,C34,C36,C44,C56,C61,C63,C69,C75,C88,C96,C99,C105,C111,C116,C117,C128,C133,C139,C144,C147,C158,C162,C163,C164,C165,C166,C172,C177,C183,C195,C200,C202,C203,C206,C214,C218,C225,C232)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AVERAGE(B21,B24,B39,B40,B47,B49,B51,B52,B65,B80,B82,B92,B93,B112,B130,B140,B148,B150,B153,B154,B155,B157,B161,B181,B196,B204,B222,B223,B231,B239)</f>
        <v>1.1296428571428572</v>
      </c>
      <c r="Y4" s="1">
        <f t="shared" ref="Y4:AA4" si="2">AVERAGE(C21,C24,C39,C40,C47,C49,C51,C52,C65,C80,C82,C92,C93,C112,C130,C140,C148,C150,C153,C154,C155,C157,C161,C181,C196,C204,C222,C223,C231,C239)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AVERAGE(B9,B15,B25,B26,B37,B38,B45,B48,B59,B64,B73,B78,B86,B94,B95,B98,B113,B121,B123,B131,B142,B156,B160,B170,B175,B185,B191,B236)</f>
        <v>1.021851851851852</v>
      </c>
      <c r="AC4" s="1">
        <f t="shared" ref="AC4:AE4" si="3">AVERAGE(C9,C15,C25,C26,C37,C38,C45,C48,C59,C64,C73,C78,C86,C94,C95,C98,C113,C121,C123,C131,C142,C156,C160,C170,C175,C185,C191,C236)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5">AVERAGE(C226,C235)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233">
        <f>AVERAGE(H4:I4)</f>
        <v>1.0223169811320756</v>
      </c>
      <c r="I5" s="3233"/>
      <c r="J5" s="3233"/>
      <c r="K5" s="3233"/>
      <c r="L5" s="3233">
        <f>AVERAGE(L4:M4)</f>
        <v>1.073688811188811</v>
      </c>
      <c r="M5" s="3233"/>
      <c r="N5" s="3233"/>
      <c r="O5" s="3233"/>
      <c r="P5" s="3233">
        <f>AVERAGE(P4:Q4)</f>
        <v>0.92159926470588238</v>
      </c>
      <c r="Q5" s="3233"/>
      <c r="R5" s="3233"/>
      <c r="S5" s="3233"/>
      <c r="T5" s="3233">
        <f>AVERAGE(T4:U4)</f>
        <v>1.1372058823529412</v>
      </c>
      <c r="U5" s="3233"/>
      <c r="V5" s="3233"/>
      <c r="W5" s="3233"/>
      <c r="X5" s="3233">
        <f>AVERAGE(X4:Y4)</f>
        <v>1.1561177248677248</v>
      </c>
      <c r="Y5" s="3233"/>
      <c r="Z5" s="3233"/>
      <c r="AA5" s="3233"/>
      <c r="AB5" s="3233">
        <f>AVERAGE(AB4:AC4)</f>
        <v>0.97432592592592604</v>
      </c>
      <c r="AC5" s="3233"/>
      <c r="AD5" s="3233"/>
      <c r="AE5" s="3233"/>
      <c r="AF5" s="3233">
        <f>AVERAGE(AF4:AG4)</f>
        <v>0.74166666666666659</v>
      </c>
      <c r="AG5" s="3233"/>
      <c r="AH5" s="3233"/>
      <c r="AI5" s="3233"/>
      <c r="AJ5" s="3233">
        <f>AVERAGE(AJ4:AK4)</f>
        <v>0.75</v>
      </c>
      <c r="AK5" s="3233"/>
      <c r="AL5" s="3233"/>
      <c r="AM5" s="3233"/>
      <c r="AN5" s="3233">
        <f>AVERAGE(AN4:AO4)</f>
        <v>1.4249999999999998</v>
      </c>
      <c r="AO5" s="3233"/>
      <c r="AP5" s="3233"/>
      <c r="AQ5" s="3233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1169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1170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1234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1235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1237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1238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1239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1241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1243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1244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1246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ht="15.75" customHeight="1" x14ac:dyDescent="0.25">
      <c r="A240" s="35"/>
      <c r="B240" s="36">
        <f>AVERAGE(B3:B239)</f>
        <v>1.0785572139303479</v>
      </c>
      <c r="C240" s="36">
        <f>AVERAGE(C3:C239)</f>
        <v>1.0226203208556148</v>
      </c>
      <c r="D240" s="36">
        <f t="shared" ref="D240:E240" si="6">AVERAGE(D3:D239)</f>
        <v>0.86599999999999999</v>
      </c>
      <c r="E240" s="36">
        <f t="shared" si="6"/>
        <v>0.77888888888888896</v>
      </c>
      <c r="F240" s="36"/>
      <c r="G240" s="35"/>
      <c r="H240" s="2985"/>
      <c r="I240" s="2985"/>
      <c r="J240" s="2985"/>
      <c r="K240" s="2985"/>
      <c r="L240" s="2985"/>
      <c r="M240" s="2985"/>
      <c r="N240" s="2985"/>
      <c r="O240" s="2985"/>
      <c r="P240" s="2985"/>
      <c r="Q240" s="2985"/>
      <c r="R240" s="2985"/>
      <c r="S240" s="2985"/>
      <c r="T240" s="2985"/>
      <c r="U240" s="2985"/>
      <c r="V240" s="2985"/>
      <c r="W240" s="2985"/>
      <c r="X240" s="2985"/>
      <c r="Y240" s="2985"/>
      <c r="Z240" s="2985"/>
      <c r="AA240" s="2985"/>
      <c r="AB240" s="2985"/>
      <c r="AC240" s="2985"/>
      <c r="AD240" s="2985"/>
      <c r="AE240" s="2985"/>
      <c r="AF240" s="2985"/>
      <c r="AG240" s="2985"/>
      <c r="AH240" s="2985"/>
      <c r="AI240" s="2985"/>
      <c r="AJ240" s="2985"/>
      <c r="AK240" s="2985"/>
      <c r="AL240" s="2985"/>
      <c r="AM240" s="2985"/>
      <c r="AN240" s="2985"/>
      <c r="AO240" s="2985"/>
      <c r="AP240" s="2985"/>
      <c r="AQ240" s="2985"/>
      <c r="AR240" s="2985"/>
      <c r="AS240" s="2985"/>
      <c r="AT240" s="2985"/>
      <c r="AU240" s="2985"/>
      <c r="AV240" s="2985"/>
      <c r="AW240" s="2985"/>
      <c r="AX240" s="2985"/>
      <c r="AY240" s="2985"/>
      <c r="AZ240" s="2985"/>
      <c r="BA240" s="2985"/>
      <c r="BB240" s="2985"/>
      <c r="BC240" s="2985"/>
      <c r="BD240" s="2985"/>
      <c r="BE240" s="2985"/>
      <c r="BF240" s="2985"/>
      <c r="BG240" s="2985"/>
      <c r="BH240" s="2985"/>
      <c r="BI240" s="2985"/>
      <c r="BJ240" s="2985"/>
      <c r="BK240" s="2985"/>
      <c r="BL240" s="2985"/>
      <c r="BM240" s="2985"/>
      <c r="BN240" s="2985"/>
      <c r="BO240" s="2985"/>
      <c r="BP240" s="2985"/>
      <c r="BQ240" s="2985"/>
      <c r="BR240" s="2985"/>
      <c r="BS240" s="2985"/>
      <c r="BT240" s="2985"/>
      <c r="BU240" s="2985"/>
      <c r="BV240" s="2985"/>
      <c r="BW240" s="2985"/>
      <c r="BX240" s="2985"/>
      <c r="BY240" s="2985"/>
      <c r="BZ240" s="2985"/>
      <c r="CA240" s="2985"/>
      <c r="CB240" s="2985"/>
      <c r="CC240" s="2985"/>
      <c r="CD240" s="2985"/>
      <c r="CE240" s="2985"/>
      <c r="CF240" s="2985"/>
      <c r="CG240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7"/>
  <sheetViews>
    <sheetView workbookViewId="0">
      <pane ySplit="1" topLeftCell="A78" activePane="bottomLeft" state="frozen"/>
      <selection pane="bottomLeft" activeCell="N111" sqref="N11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241" t="s">
        <v>1219</v>
      </c>
      <c r="CK1" s="3241"/>
      <c r="CL1" s="3241"/>
      <c r="CM1" s="3241"/>
      <c r="CN1" s="3241"/>
      <c r="CO1" s="3241"/>
      <c r="CP1" s="3236" t="s">
        <v>1221</v>
      </c>
      <c r="CQ1" s="3236"/>
      <c r="CR1" s="3236"/>
      <c r="CS1" s="3236"/>
      <c r="CT1" s="3236"/>
      <c r="CU1" s="3236"/>
      <c r="CV1" s="3238" t="s">
        <v>1212</v>
      </c>
      <c r="CW1" s="3238"/>
      <c r="CX1" s="3238"/>
      <c r="CY1" s="3238"/>
      <c r="CZ1" s="3238"/>
      <c r="DA1" s="3238"/>
      <c r="DB1" s="3242" t="s">
        <v>1229</v>
      </c>
      <c r="DC1" s="3242"/>
      <c r="DD1" s="3242"/>
      <c r="DE1" s="3242"/>
      <c r="DF1" s="3242"/>
      <c r="DG1" s="3242"/>
      <c r="DH1" s="3238" t="s">
        <v>1066</v>
      </c>
      <c r="DI1" s="3238"/>
      <c r="DJ1" s="3238"/>
      <c r="DK1" s="3238"/>
      <c r="DL1" s="3238"/>
      <c r="DM1" s="3238"/>
      <c r="DN1" s="3236" t="s">
        <v>997</v>
      </c>
      <c r="DO1" s="3236"/>
      <c r="DP1" s="3236"/>
      <c r="DQ1" s="3236"/>
      <c r="DR1" s="3236"/>
      <c r="DS1" s="3236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AVERAGE(B13,B41,B56,B93,B106)</f>
        <v>1.2325000000000002</v>
      </c>
      <c r="DC2" s="1">
        <f t="shared" ref="DC2:DE2" si="3">AVERAGE(C13,C41,C56,C93,C106)</f>
        <v>1.0550000000000002</v>
      </c>
      <c r="DD2" s="1">
        <f t="shared" si="3"/>
        <v>0.97000000000000008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217">
        <f>_xlfn.AGGREGATE(1,6,CJ2:CO2)</f>
        <v>1.0372058823529411</v>
      </c>
      <c r="CK3" s="3217"/>
      <c r="CL3" s="3217"/>
      <c r="CM3" s="3217"/>
      <c r="CN3" s="3217"/>
      <c r="CO3" s="3217"/>
      <c r="CP3" s="3217">
        <f t="shared" ref="CP3" si="6">_xlfn.AGGREGATE(1,6,CP2:CU2)</f>
        <v>1.0807253086419752</v>
      </c>
      <c r="CQ3" s="3217"/>
      <c r="CR3" s="3217"/>
      <c r="CS3" s="3217"/>
      <c r="CT3" s="3217"/>
      <c r="CU3" s="3217"/>
      <c r="CV3" s="3217">
        <f t="shared" ref="CV3" si="7">_xlfn.AGGREGATE(1,6,CV2:DA2)</f>
        <v>1.1217460317460317</v>
      </c>
      <c r="CW3" s="3217"/>
      <c r="CX3" s="3217"/>
      <c r="CY3" s="3217"/>
      <c r="CZ3" s="3217"/>
      <c r="DA3" s="3217"/>
      <c r="DB3" s="3217">
        <f t="shared" ref="DB3" si="8">_xlfn.AGGREGATE(1,6,DB2:DG2)</f>
        <v>1.0858333333333337</v>
      </c>
      <c r="DC3" s="3217"/>
      <c r="DD3" s="3217"/>
      <c r="DE3" s="3217"/>
      <c r="DF3" s="3217"/>
      <c r="DG3" s="3217"/>
      <c r="DH3" s="3217">
        <f t="shared" ref="DH3" si="9">_xlfn.AGGREGATE(1,6,DH2:DM2)</f>
        <v>0.97333333333333327</v>
      </c>
      <c r="DI3" s="3217"/>
      <c r="DJ3" s="3217"/>
      <c r="DK3" s="3217"/>
      <c r="DL3" s="3217"/>
      <c r="DM3" s="3217"/>
      <c r="DN3" s="3217" t="e">
        <f t="shared" ref="DN3" si="10">_xlfn.AGGREGATE(1,6,DN2:DS2)</f>
        <v>#DIV/0!</v>
      </c>
      <c r="DO3" s="3217"/>
      <c r="DP3" s="3217"/>
      <c r="DQ3" s="3217"/>
      <c r="DR3" s="3217"/>
      <c r="DS3" s="3217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238" t="s">
        <v>1168</v>
      </c>
      <c r="CK4" s="3238"/>
      <c r="CL4" s="3238"/>
      <c r="CM4" s="3238"/>
      <c r="CN4" s="3238"/>
      <c r="CO4" s="3238"/>
      <c r="CP4" s="3235" t="s">
        <v>993</v>
      </c>
      <c r="CQ4" s="3235"/>
      <c r="CR4" s="3235"/>
      <c r="CS4" s="3235"/>
      <c r="CT4" s="3235"/>
      <c r="CU4" s="3235"/>
      <c r="CV4" s="3236" t="s">
        <v>994</v>
      </c>
      <c r="CW4" s="3236"/>
      <c r="CX4" s="3236"/>
      <c r="CY4" s="3236"/>
      <c r="CZ4" s="3236"/>
      <c r="DA4" s="3236"/>
      <c r="DB4" s="3238" t="s">
        <v>995</v>
      </c>
      <c r="DC4" s="3238"/>
      <c r="DD4" s="3238"/>
      <c r="DE4" s="3238"/>
      <c r="DF4" s="3238"/>
      <c r="DG4" s="3238"/>
      <c r="DH4" s="3236" t="s">
        <v>996</v>
      </c>
      <c r="DI4" s="3236"/>
      <c r="DJ4" s="3236"/>
      <c r="DK4" s="3236"/>
      <c r="DL4" s="3236"/>
      <c r="DM4" s="3236"/>
      <c r="DN4" s="3242" t="s">
        <v>1194</v>
      </c>
      <c r="DO4" s="3242"/>
      <c r="DP4" s="3242"/>
      <c r="DQ4" s="3242"/>
      <c r="DR4" s="3242"/>
      <c r="DS4" s="3242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217">
        <f>_xlfn.AGGREGATE(1,6,CJ5:CO5)</f>
        <v>1.085</v>
      </c>
      <c r="CK6" s="3217"/>
      <c r="CL6" s="3217"/>
      <c r="CM6" s="3217"/>
      <c r="CN6" s="3217"/>
      <c r="CO6" s="3217"/>
      <c r="CP6" s="3217" t="e">
        <f t="shared" ref="CP6" si="17">_xlfn.AGGREGATE(1,6,CP5:CU5)</f>
        <v>#DIV/0!</v>
      </c>
      <c r="CQ6" s="3217"/>
      <c r="CR6" s="3217"/>
      <c r="CS6" s="3217"/>
      <c r="CT6" s="3217"/>
      <c r="CU6" s="3217"/>
      <c r="CV6" s="3217" t="e">
        <f t="shared" ref="CV6" si="18">_xlfn.AGGREGATE(1,6,CV5:DA5)</f>
        <v>#DIV/0!</v>
      </c>
      <c r="CW6" s="3217"/>
      <c r="CX6" s="3217"/>
      <c r="CY6" s="3217"/>
      <c r="CZ6" s="3217"/>
      <c r="DA6" s="3217"/>
      <c r="DB6" s="3217">
        <f t="shared" ref="DB6" si="19">_xlfn.AGGREGATE(1,6,DB5:DG5)</f>
        <v>1.0416666666666667</v>
      </c>
      <c r="DC6" s="3217"/>
      <c r="DD6" s="3217"/>
      <c r="DE6" s="3217"/>
      <c r="DF6" s="3217"/>
      <c r="DG6" s="3217"/>
      <c r="DH6" s="3217" t="e">
        <f t="shared" ref="DH6" si="20">_xlfn.AGGREGATE(1,6,DH5:DM5)</f>
        <v>#DIV/0!</v>
      </c>
      <c r="DI6" s="3217"/>
      <c r="DJ6" s="3217"/>
      <c r="DK6" s="3217"/>
      <c r="DL6" s="3217"/>
      <c r="DM6" s="3217"/>
      <c r="DN6" s="3217">
        <f t="shared" ref="DN6" si="21">_xlfn.AGGREGATE(1,6,DN5:DS5)</f>
        <v>1.0547685185185187</v>
      </c>
      <c r="DO6" s="3217"/>
      <c r="DP6" s="3217"/>
      <c r="DQ6" s="3217"/>
      <c r="DR6" s="3217"/>
      <c r="DS6" s="3217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1169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1193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1195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1196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1197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1198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1199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1206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1209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1210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1211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1214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1215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1216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1217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1218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1220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1225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1228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B107" s="1">
        <f>AVERAGE(B3:B106)</f>
        <v>1.1589873417721519</v>
      </c>
      <c r="C107" s="1">
        <f t="shared" ref="C107:E107" si="22">AVERAGE(C3:C106)</f>
        <v>1.0694936708860765</v>
      </c>
      <c r="D107" s="1">
        <f>AVERAGE(D3:D106)</f>
        <v>1.0201785714285714</v>
      </c>
      <c r="E107" s="1" t="e">
        <f t="shared" si="22"/>
        <v>#DIV/0!</v>
      </c>
      <c r="F107" s="2">
        <f>AVERAGE(F3:F106)</f>
        <v>0.64556962025316456</v>
      </c>
      <c r="G107" s="2">
        <f>AVERAGE(G3:G106)</f>
        <v>2.6708860759493671</v>
      </c>
      <c r="H107" s="2">
        <f t="shared" ref="H107:AP107" si="23">AVERAGE(H3:H106)</f>
        <v>0.98734177215189878</v>
      </c>
      <c r="I107" s="2">
        <f t="shared" si="23"/>
        <v>0.13924050632911392</v>
      </c>
      <c r="J107" s="2">
        <f t="shared" si="23"/>
        <v>2.5316455696202531E-2</v>
      </c>
      <c r="K107" s="2">
        <f t="shared" si="23"/>
        <v>0.12658227848101267</v>
      </c>
      <c r="L107" s="2">
        <f t="shared" si="23"/>
        <v>2.3670886075949369</v>
      </c>
      <c r="M107" s="2">
        <f t="shared" si="23"/>
        <v>0.58227848101265822</v>
      </c>
      <c r="N107" s="2">
        <f t="shared" si="23"/>
        <v>0.26582278481012656</v>
      </c>
      <c r="O107" s="2">
        <f t="shared" si="23"/>
        <v>3.7974683544303799E-2</v>
      </c>
      <c r="P107" s="2">
        <f t="shared" si="23"/>
        <v>2.5316455696202531E-2</v>
      </c>
      <c r="Q107" s="2">
        <f t="shared" si="23"/>
        <v>0</v>
      </c>
      <c r="R107" s="2">
        <f t="shared" si="23"/>
        <v>0</v>
      </c>
      <c r="S107" s="2">
        <f t="shared" si="23"/>
        <v>0.41772151898734178</v>
      </c>
      <c r="T107" s="2">
        <f t="shared" si="23"/>
        <v>0.91139240506329111</v>
      </c>
      <c r="U107" s="2">
        <f t="shared" si="23"/>
        <v>0.67088607594936711</v>
      </c>
      <c r="V107" s="2">
        <f t="shared" si="23"/>
        <v>0.13924050632911392</v>
      </c>
      <c r="W107" s="2">
        <f t="shared" si="23"/>
        <v>5.0632911392405063E-2</v>
      </c>
      <c r="X107" s="2">
        <f t="shared" si="23"/>
        <v>0.26582278481012656</v>
      </c>
      <c r="Y107" s="2">
        <f t="shared" si="23"/>
        <v>3.1898734177215191</v>
      </c>
      <c r="Z107" s="2">
        <f t="shared" si="23"/>
        <v>0.50632911392405067</v>
      </c>
      <c r="AA107" s="2">
        <f t="shared" si="23"/>
        <v>0.27848101265822783</v>
      </c>
      <c r="AB107" s="2">
        <f t="shared" si="23"/>
        <v>0.189873417721519</v>
      </c>
      <c r="AC107" s="2">
        <f t="shared" si="23"/>
        <v>7.5949367088607597E-2</v>
      </c>
      <c r="AD107" s="2">
        <f t="shared" si="23"/>
        <v>1.2658227848101266E-2</v>
      </c>
      <c r="AE107" s="2">
        <f t="shared" si="23"/>
        <v>0</v>
      </c>
      <c r="AF107" s="2">
        <f t="shared" si="23"/>
        <v>1.0892857142857142</v>
      </c>
      <c r="AG107" s="2">
        <f t="shared" si="23"/>
        <v>1.6071428571428572</v>
      </c>
      <c r="AH107" s="2">
        <f t="shared" si="23"/>
        <v>0.6071428571428571</v>
      </c>
      <c r="AI107" s="2">
        <f t="shared" si="23"/>
        <v>0.17857142857142858</v>
      </c>
      <c r="AJ107" s="2">
        <f t="shared" si="23"/>
        <v>1.7857142857142856E-2</v>
      </c>
      <c r="AK107" s="2">
        <f t="shared" si="23"/>
        <v>0.2857142857142857</v>
      </c>
      <c r="AL107" s="2">
        <f t="shared" si="23"/>
        <v>2.5714285714285716</v>
      </c>
      <c r="AM107" s="2">
        <f t="shared" si="23"/>
        <v>0.4107142857142857</v>
      </c>
      <c r="AN107" s="2">
        <f t="shared" si="23"/>
        <v>0.39285714285714285</v>
      </c>
      <c r="AO107" s="2">
        <f t="shared" si="23"/>
        <v>0.14285714285714285</v>
      </c>
      <c r="AP107" s="2">
        <f t="shared" si="23"/>
        <v>5.3571428571428568E-2</v>
      </c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47"/>
      <c r="CF107" s="344"/>
      <c r="CG107" s="344"/>
      <c r="CH107" s="344"/>
      <c r="CI107" s="344"/>
      <c r="CJ107" s="344"/>
      <c r="CK107" s="344"/>
      <c r="CL107" s="344"/>
      <c r="CM107" s="344"/>
      <c r="CN107" s="344"/>
      <c r="CO107" s="344"/>
      <c r="CP107" s="344"/>
      <c r="CQ107" s="344"/>
      <c r="CR107" s="344"/>
      <c r="CS107" s="344"/>
      <c r="CT107" s="344"/>
      <c r="CU107" s="344"/>
      <c r="CV107" s="344"/>
      <c r="CW107" s="344"/>
      <c r="CX107" s="344"/>
      <c r="CY107" s="344"/>
      <c r="CZ107" s="344"/>
      <c r="DA107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286"/>
  <sheetViews>
    <sheetView workbookViewId="0">
      <pane ySplit="1" topLeftCell="A251" activePane="bottomLeft" state="frozen"/>
      <selection pane="bottomLeft" activeCell="N278" sqref="N278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249" t="s">
        <v>1258</v>
      </c>
      <c r="CK1" s="3250"/>
      <c r="CL1" s="3250"/>
      <c r="CM1" s="3250"/>
      <c r="CN1" s="3250"/>
      <c r="CO1" s="3251"/>
      <c r="CP1" s="3246" t="s">
        <v>1260</v>
      </c>
      <c r="CQ1" s="3247"/>
      <c r="CR1" s="3247"/>
      <c r="CS1" s="3247"/>
      <c r="CT1" s="3247"/>
      <c r="CU1" s="3248"/>
      <c r="CV1" s="3249" t="s">
        <v>1262</v>
      </c>
      <c r="CW1" s="3250"/>
      <c r="CX1" s="3250"/>
      <c r="CY1" s="3250"/>
      <c r="CZ1" s="3250"/>
      <c r="DA1" s="3251"/>
      <c r="DB1" s="3253" t="s">
        <v>1272</v>
      </c>
      <c r="DC1" s="3250"/>
      <c r="DD1" s="3250"/>
      <c r="DE1" s="3250"/>
      <c r="DF1" s="3250"/>
      <c r="DG1" s="3251"/>
      <c r="DH1" s="3254" t="s">
        <v>1264</v>
      </c>
      <c r="DI1" s="3255"/>
      <c r="DJ1" s="3255"/>
      <c r="DK1" s="3255"/>
      <c r="DL1" s="3255"/>
      <c r="DM1" s="3256"/>
      <c r="DN1" s="3246" t="s">
        <v>991</v>
      </c>
      <c r="DO1" s="3247"/>
      <c r="DP1" s="3247"/>
      <c r="DQ1" s="3247"/>
      <c r="DR1" s="3247"/>
      <c r="DS1" s="3248"/>
      <c r="DT1" s="3246" t="s">
        <v>992</v>
      </c>
      <c r="DU1" s="3247"/>
      <c r="DV1" s="3247"/>
      <c r="DW1" s="3247"/>
      <c r="DX1" s="3247"/>
      <c r="DY1" s="3248"/>
      <c r="DZ1" s="3243" t="s">
        <v>1122</v>
      </c>
      <c r="EA1" s="3244"/>
      <c r="EB1" s="3244"/>
      <c r="EC1" s="3244"/>
      <c r="ED1" s="3244"/>
      <c r="EE1" s="3245"/>
      <c r="EF1" s="3243" t="s">
        <v>1181</v>
      </c>
      <c r="EG1" s="3244"/>
      <c r="EH1" s="3244"/>
      <c r="EI1" s="3244"/>
      <c r="EJ1" s="3244"/>
      <c r="EK1" s="3245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AVERAGE(B3,B11,B19,B26,B42,B44,B52,B55,B61,B69,B76,B84,B85,B88,B94,B109,B118,B125,B129,B149,B151,B145,B157,B175,B179,B195,B204,B212,B218,B224,B229,B238,B244,B264,B267,B273,B278)</f>
        <v>1.1580555555555554</v>
      </c>
      <c r="CK2" s="1">
        <f>AVERAGE(C3,C11,C19,C26,C42,C44,C52,C55,C61,C69,C76,C84,C85,C88,C94,C109,C118,C125,C129,C149,C151,C145,C157,C175,C179,C195,C204,C212,C218,C224,C229,C238,C244,C264,C267,C273,C278)</f>
        <v>1.2081818181818182</v>
      </c>
      <c r="CL2" s="1">
        <f>AVERAGE(D3,D11,D19,D26,D42,D44,D52,D55,D61,D69,D76,D84,D85,D88,D94,D109,D118,D125,D129,D149,D151,D145,D157,D175,D179,D195,D204,D212,D218,D224,D229,D238,D244,D264,D267)</f>
        <v>1.2495238095238095</v>
      </c>
      <c r="CM2" s="1">
        <f>AVERAGE(E3,E11,E19,E26,E42,E44,E52,E55,E61,E69,E76,E84,E85,E88,E94,E109,E118,E125,E129,E149,E151,E145,E157,E175,E179,E195,E204,E212,E218,E224,E229,E238,E244,E264,E267)</f>
        <v>0.48000000000000004</v>
      </c>
      <c r="CN2" s="1">
        <f>AVERAGE(F3,F11,F19,F26,F42,F44,F52,F55,F61,F69,F76,F84,F85,F88,F94,F109,F118,F125,F129,F149,F151,F145,F157,F175,F179,F195,F204,F212,F218,F224,F229,F238,F244,F264,F267)</f>
        <v>1.58</v>
      </c>
      <c r="CO2" s="1">
        <f>AVERAGE(G3,G11,G19,G26,G42,G44,G52,G55,G61,G69,G76,G84,G85,G88,G94,G109,G118,G125,G129,G149,G151,G145,G157,G175,G179,G195,G204,G212,G218,G224,G229,G238,G244,G264,G267)</f>
        <v>0.87000000000000011</v>
      </c>
      <c r="CP2" s="1">
        <f>AVERAGE(B10,B17,B28,B33,B40,B50,B53,B64,B70,B77,B86,B90,B96,B102,B105,B111,B115,B123,B130,B140,B148,B167,B184,B192,B199,B217,B232,B274,B279)</f>
        <v>1.1303571428571431</v>
      </c>
      <c r="CQ2" s="1">
        <f>AVERAGE(C10,C17,C28,C33,C40,C50,C53,C64,C70,C77,C86,C90,C96,C102,C105,C111,C115,C123,C130,C140,C148,C167,C184,C192,C199,C217,C232,C274,C279)</f>
        <v>1.0714814814814815</v>
      </c>
      <c r="CR2" s="1">
        <f>AVERAGE(D10,D17,D28,D33,D40,D50,D53,D64,D70,D77,D86,D90,D96,D102,D105,D111,D115,D123,D130,D140,D148,D167,D184,D192,D199,D217,D232,D274)</f>
        <v>1.2266666666666668</v>
      </c>
      <c r="CS2" s="1">
        <f>AVERAGE(E10,E17,E28,E33,E40,E50,E53,E64,E70,E77,E86,E90,E96,E102,E105,E111,E115,E123,E130,E140,E148,E167,E184,E192,E199,E217,E232,E274)</f>
        <v>0.85000000000000009</v>
      </c>
      <c r="CT2" s="1">
        <f>AVERAGE(F10,F17,F28,F33,F40,F50,F53,F64,F70,F77,F86,F90,F96,F102,F105,F111,F115,F123,F130,F140,F148,F167,F184,F192,F199,F217,F232,F274)</f>
        <v>1.145</v>
      </c>
      <c r="CU2" s="1">
        <f>AVERAGE(G10,G17,G28,G33,G40,G50,G53,G64,G70,G77,G86,G90,G96,G102,G105,G111,G115,G123,G130,G140,G148,G167,G184,G192,G199,G217,G232,G274)</f>
        <v>1.115</v>
      </c>
      <c r="CV2" s="1">
        <f>AVERAGE(B14,B22,B48,B63,B95,B100,B104,B144,B182,B223,B280)</f>
        <v>1.1500000000000001</v>
      </c>
      <c r="CW2" s="1">
        <f t="shared" ref="CW2:DA2" si="0">AVERAGE(C14,C22,C48,C63,C95,C100,C104,C144,C182,C223,C280)</f>
        <v>1.2309999999999999</v>
      </c>
      <c r="CX2" s="1">
        <f t="shared" si="0"/>
        <v>0.87888888888888894</v>
      </c>
      <c r="CY2" s="1" t="e">
        <f t="shared" si="0"/>
        <v>#DIV/0!</v>
      </c>
      <c r="CZ2" s="1" t="e">
        <f t="shared" si="0"/>
        <v>#DIV/0!</v>
      </c>
      <c r="DA2" s="1" t="e">
        <f t="shared" si="0"/>
        <v>#DIV/0!</v>
      </c>
      <c r="DB2" s="1">
        <f>AVERAGE(B12,B16,B62,B81,B120,B137,B155,B170,B180,B190,B191,B194,B196,B271,B285)</f>
        <v>1.0685714285714287</v>
      </c>
      <c r="DC2" s="1">
        <f t="shared" ref="DC2:DG2" si="1">AVERAGE(C12,C16,C62,C81,C120,C137,C155,C170,C180,C190,C191,C194,C196,C271,C285)</f>
        <v>1.2323076923076923</v>
      </c>
      <c r="DD2" s="1">
        <f t="shared" si="1"/>
        <v>1.2650000000000001</v>
      </c>
      <c r="DE2" s="1" t="e">
        <f t="shared" si="1"/>
        <v>#DIV/0!</v>
      </c>
      <c r="DF2" s="1">
        <f t="shared" si="1"/>
        <v>1.63</v>
      </c>
      <c r="DG2" s="1" t="e">
        <f t="shared" si="1"/>
        <v>#DIV/0!</v>
      </c>
      <c r="DH2" s="1">
        <f>AVERAGE(B18,B27,B35,B41,B46,B99,B107,B114,B147,B185,B234,B248,B253,B272,B281)</f>
        <v>1.2257142857142858</v>
      </c>
      <c r="DI2" s="1">
        <f>AVERAGE(C18,C27,C35,C41,C46,C99,C107,C114,C147,C185,C234,C248,C253,C272,C281)</f>
        <v>1.0507142857142857</v>
      </c>
      <c r="DJ2" s="1">
        <f>AVERAGE(D18,D27,D35,D41,D46,D99,D107,D114,D147,D185,D234,D248,D253,D272)</f>
        <v>1.0033333333333332</v>
      </c>
      <c r="DK2" s="1" t="e">
        <f>AVERAGE(E18,E27,E35,E41,E46,E99,E107,E114,E147,E185,E234,E248,E253,E272)</f>
        <v>#DIV/0!</v>
      </c>
      <c r="DL2" s="1" t="e">
        <f>AVERAGE(F18,F27,F35,F41,F46,F99,F107,F114,F147,F185,F234,F248,F253,F272)</f>
        <v>#DIV/0!</v>
      </c>
      <c r="DM2" s="1">
        <f>AVERAGE(G18,G27,G35,G41,G46,G99,G107,G114,G147,G185,G234,G248,G253,G272)</f>
        <v>0.46</v>
      </c>
      <c r="DN2" s="1">
        <f>AVERAGE(B32,B45,B60,B116,B150)</f>
        <v>1.3260000000000001</v>
      </c>
      <c r="DO2" s="1">
        <f t="shared" ref="DO2:DS2" si="2">AVERAGE(C32,C45,C60,C116,C150)</f>
        <v>1.1080000000000001</v>
      </c>
      <c r="DP2" s="1">
        <f t="shared" si="2"/>
        <v>1.2066666666666668</v>
      </c>
      <c r="DQ2" s="1" t="e">
        <f t="shared" si="2"/>
        <v>#DIV/0!</v>
      </c>
      <c r="DR2" s="1" t="e">
        <f t="shared" si="2"/>
        <v>#DIV/0!</v>
      </c>
      <c r="DS2" s="1" t="e">
        <f t="shared" si="2"/>
        <v>#DIV/0!</v>
      </c>
      <c r="DT2" s="1">
        <f>AVERAGE(B74)</f>
        <v>1.6</v>
      </c>
      <c r="DU2" s="1">
        <f t="shared" ref="DU2:DY2" si="3">AVERAGE(C74)</f>
        <v>1.1100000000000001</v>
      </c>
      <c r="DV2" s="1" t="e">
        <f t="shared" si="3"/>
        <v>#DIV/0!</v>
      </c>
      <c r="DW2" s="1" t="e">
        <f t="shared" si="3"/>
        <v>#DIV/0!</v>
      </c>
      <c r="DX2" s="1" t="e">
        <f t="shared" si="3"/>
        <v>#DIV/0!</v>
      </c>
      <c r="DY2" s="1" t="e">
        <f t="shared" si="3"/>
        <v>#DIV/0!</v>
      </c>
      <c r="DZ2" s="1">
        <f>AVERAGE(B160,B173,B174,B177,B215)</f>
        <v>0.96000000000000019</v>
      </c>
      <c r="EA2" s="1">
        <f t="shared" ref="EA2:EE2" si="4">AVERAGE(C160,C173,C174,C177,C215)</f>
        <v>1.4159999999999999</v>
      </c>
      <c r="EB2" s="1">
        <f t="shared" si="4"/>
        <v>0.84250000000000003</v>
      </c>
      <c r="EC2" s="1" t="e">
        <f t="shared" si="4"/>
        <v>#DIV/0!</v>
      </c>
      <c r="ED2" s="1" t="e">
        <f t="shared" si="4"/>
        <v>#DIV/0!</v>
      </c>
      <c r="EE2" s="1" t="e">
        <f t="shared" si="4"/>
        <v>#DIV/0!</v>
      </c>
      <c r="EF2" s="1">
        <f>AVERAGE(B246)</f>
        <v>0.64</v>
      </c>
      <c r="EG2" s="1">
        <f t="shared" ref="EG2:EK2" si="5">AVERAGE(C246)</f>
        <v>0.99</v>
      </c>
      <c r="EH2" s="1">
        <f t="shared" si="5"/>
        <v>1.21</v>
      </c>
      <c r="EI2" s="1" t="e">
        <f t="shared" si="5"/>
        <v>#DIV/0!</v>
      </c>
      <c r="EJ2" s="1" t="e">
        <f t="shared" si="5"/>
        <v>#DIV/0!</v>
      </c>
      <c r="EK2" s="1" t="e">
        <f t="shared" si="5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217">
        <f>_xlfn.AGGREGATE(1,3,CJ2:CL2)</f>
        <v>1.2052537277537276</v>
      </c>
      <c r="CK3" s="3218"/>
      <c r="CL3" s="3218"/>
      <c r="CM3" s="3218"/>
      <c r="CN3" s="3218"/>
      <c r="CO3" s="3218"/>
      <c r="CP3" s="3217">
        <f>_xlfn.AGGREGATE(1,3,CP2:CR2)</f>
        <v>1.1428350970017638</v>
      </c>
      <c r="CQ3" s="3218"/>
      <c r="CR3" s="3218"/>
      <c r="CS3" s="3218"/>
      <c r="CT3" s="3218"/>
      <c r="CU3" s="3218"/>
      <c r="CV3" s="3217">
        <f>_xlfn.AGGREGATE(1,3,CV2:CX2)</f>
        <v>1.0866296296296298</v>
      </c>
      <c r="CW3" s="3218"/>
      <c r="CX3" s="3218"/>
      <c r="CY3" s="3218"/>
      <c r="CZ3" s="3218"/>
      <c r="DA3" s="3218"/>
      <c r="DB3" s="3217">
        <f>_xlfn.AGGREGATE(1,3,DB2:DD2)</f>
        <v>1.1886263736263738</v>
      </c>
      <c r="DC3" s="3218"/>
      <c r="DD3" s="3218"/>
      <c r="DE3" s="3218"/>
      <c r="DF3" s="3218"/>
      <c r="DG3" s="3218"/>
      <c r="DH3" s="3217">
        <f>_xlfn.AGGREGATE(1,3,DH2:DJ2)</f>
        <v>1.0932539682539681</v>
      </c>
      <c r="DI3" s="3218"/>
      <c r="DJ3" s="3218"/>
      <c r="DK3" s="3218"/>
      <c r="DL3" s="3218"/>
      <c r="DM3" s="3218"/>
      <c r="DN3" s="3217">
        <f t="shared" ref="DN3" si="6">_xlfn.AGGREGATE(1,6,DN2:DS2)</f>
        <v>1.2135555555555557</v>
      </c>
      <c r="DO3" s="3218"/>
      <c r="DP3" s="3218"/>
      <c r="DQ3" s="3218"/>
      <c r="DR3" s="3218"/>
      <c r="DS3" s="3218"/>
      <c r="DT3" s="3217">
        <f>_xlfn.AGGREGATE(1,3,DT2:DV2)</f>
        <v>1.355</v>
      </c>
      <c r="DU3" s="3218"/>
      <c r="DV3" s="3218"/>
      <c r="DW3" s="3218"/>
      <c r="DX3" s="3218"/>
      <c r="DY3" s="3218"/>
      <c r="DZ3" s="3217">
        <f>_xlfn.AGGREGATE(1,3,DZ2:EB2)</f>
        <v>1.0728333333333335</v>
      </c>
      <c r="EA3" s="3218"/>
      <c r="EB3" s="3218"/>
      <c r="EC3" s="3218"/>
      <c r="ED3" s="3218"/>
      <c r="EE3" s="3218"/>
      <c r="EF3" s="3217">
        <f>_xlfn.AGGREGATE(1,3,EF2:EH2)</f>
        <v>0.94666666666666666</v>
      </c>
      <c r="EG3" s="3218"/>
      <c r="EH3" s="3218"/>
      <c r="EI3" s="3218"/>
      <c r="EJ3" s="3218"/>
      <c r="EK3" s="3218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246" t="s">
        <v>1256</v>
      </c>
      <c r="CK4" s="3247"/>
      <c r="CL4" s="3247"/>
      <c r="CM4" s="3247"/>
      <c r="CN4" s="3247"/>
      <c r="CO4" s="3248"/>
      <c r="CP4" s="3249" t="s">
        <v>1227</v>
      </c>
      <c r="CQ4" s="3250"/>
      <c r="CR4" s="3250"/>
      <c r="CS4" s="3250"/>
      <c r="CT4" s="3250"/>
      <c r="CU4" s="3251"/>
      <c r="CV4" s="3252" t="s">
        <v>1270</v>
      </c>
      <c r="CW4" s="3247"/>
      <c r="CX4" s="3247"/>
      <c r="CY4" s="3247"/>
      <c r="CZ4" s="3247"/>
      <c r="DA4" s="3248"/>
      <c r="DB4" s="3249" t="s">
        <v>1266</v>
      </c>
      <c r="DC4" s="3250"/>
      <c r="DD4" s="3250"/>
      <c r="DE4" s="3250"/>
      <c r="DF4" s="3250"/>
      <c r="DG4" s="3251"/>
      <c r="DH4" s="3246" t="s">
        <v>946</v>
      </c>
      <c r="DI4" s="3247"/>
      <c r="DJ4" s="3247"/>
      <c r="DK4" s="3247"/>
      <c r="DL4" s="3247"/>
      <c r="DM4" s="3248"/>
      <c r="DN4" s="3243" t="s">
        <v>1268</v>
      </c>
      <c r="DO4" s="3244"/>
      <c r="DP4" s="3244"/>
      <c r="DQ4" s="3244"/>
      <c r="DR4" s="3244"/>
      <c r="DS4" s="3245"/>
      <c r="DT4" s="3246" t="s">
        <v>1163</v>
      </c>
      <c r="DU4" s="3247"/>
      <c r="DV4" s="3247"/>
      <c r="DW4" s="3247"/>
      <c r="DX4" s="3247"/>
      <c r="DY4" s="3248"/>
      <c r="DZ4" s="3243" t="s">
        <v>1208</v>
      </c>
      <c r="EA4" s="3244"/>
      <c r="EB4" s="3244"/>
      <c r="EC4" s="3244"/>
      <c r="ED4" s="3244"/>
      <c r="EE4" s="3245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AVERAGE(B4,B13,B21,B38,B58,B72,B78,B134,B138,B153,B164,B169,B181,B270,B277)</f>
        <v>1.2285714285714289</v>
      </c>
      <c r="CK5" s="1">
        <f>AVERAGE(C4,C13,C21,C38,C58,C72,C78,C134,C138,C153,C164,C169,C181,C270,C277)</f>
        <v>1.1130769230769233</v>
      </c>
      <c r="CL5" s="1">
        <f>AVERAGE(D4,D13,D21,D38,D58,D72,D78,D134,D138,D153,D164,D169,D181,D270)</f>
        <v>1.1400000000000001</v>
      </c>
      <c r="CM5" s="1" t="e">
        <f>AVERAGE(E4,E13,E21,E38,E58,E72,E78,E134,E138,E153,E164,E169,E181,E270)</f>
        <v>#DIV/0!</v>
      </c>
      <c r="CN5" s="1">
        <f>AVERAGE(F4,F13,F21,F38,F58,F72,F78,F134,F138,F153,F164,F169,F181,F270)</f>
        <v>0.53</v>
      </c>
      <c r="CO5" s="1" t="e">
        <f>AVERAGE(G4,G13,G21,G38,G58,G72,G78,G134,G138,G153,G164,G169,G181,G270)</f>
        <v>#DIV/0!</v>
      </c>
      <c r="CP5" s="1">
        <f t="shared" ref="CP5:CU5" si="7">AVERAGE(B5,B8,B23,B29,B34,B47,B57,B65,B67,B93,B101,B108,B119,B127,B131,B154,B176,B187,B189,B201,B202,B216,B220,B221,B222,B230,B237,B239,B240,B242,B245,B247,B250,B251,B254,B255,B258,B259,B268)</f>
        <v>1.2343589743589745</v>
      </c>
      <c r="CQ5" s="1">
        <f t="shared" si="7"/>
        <v>1.2142105263157892</v>
      </c>
      <c r="CR5" s="1">
        <f t="shared" si="7"/>
        <v>1.1917647058823528</v>
      </c>
      <c r="CS5" s="1" t="e">
        <f t="shared" si="7"/>
        <v>#DIV/0!</v>
      </c>
      <c r="CT5" s="1">
        <f t="shared" si="7"/>
        <v>1.105</v>
      </c>
      <c r="CU5" s="1">
        <f t="shared" si="7"/>
        <v>0.98</v>
      </c>
      <c r="CV5" s="1">
        <f>AVERAGE(B6,B9,B37,B82,B92,B97,B124,B128,B139,B152,B183,B226,B231,B257,B266,B284)</f>
        <v>1.2166666666666663</v>
      </c>
      <c r="CW5" s="1">
        <f t="shared" ref="CW5:DA5" si="8">AVERAGE(C6,C9,C37,C82,C92,C97,C124,C128,C139,C152,C183,C226,C231,C257,C266,C284)</f>
        <v>1.1421428571428571</v>
      </c>
      <c r="CX5" s="1">
        <f t="shared" si="8"/>
        <v>1.1216666666666666</v>
      </c>
      <c r="CY5" s="1" t="e">
        <f t="shared" si="8"/>
        <v>#DIV/0!</v>
      </c>
      <c r="CZ5" s="1">
        <f t="shared" si="8"/>
        <v>1.57</v>
      </c>
      <c r="DA5" s="1" t="e">
        <f t="shared" si="8"/>
        <v>#DIV/0!</v>
      </c>
      <c r="DB5" s="1">
        <f>AVERAGE(B24,B30,B39,B71,B75,B80,B106,B117,B165,B168,B171,B186,B197,B203,B211,B214,B233,B256,B263,B275,B282)</f>
        <v>1.1339999999999999</v>
      </c>
      <c r="DC5" s="1">
        <f>AVERAGE(C24,C30,C39,C71,C75,C80,C106,C117,C165,C168,C171,C186,C197,C203,C211,C214,C233,C256,C263,C275,C282)</f>
        <v>1.3555555555555554</v>
      </c>
      <c r="DD5" s="1">
        <f>AVERAGE(D24,D30,D39,D71,D75,D80,D106,D117,D165,D168,D171,D186,D197,D203,D211,D214,D233,D256,D263,D275)</f>
        <v>1.1260000000000001</v>
      </c>
      <c r="DE5" s="1" t="e">
        <f>AVERAGE(E24,E30,E39,E71,E75,E80,E106,E117,E165,E168,E171,E186,E197,E203,E211,E214,E233,E256,E263,E275)</f>
        <v>#DIV/0!</v>
      </c>
      <c r="DF5" s="1">
        <f>AVERAGE(F24,F30,F39,F71,F75,F80,F106,F117,F165,F168,F171,F186,F197,F203,F211,F214,F233,F256,F263,F275)</f>
        <v>1.4649999999999999</v>
      </c>
      <c r="DG5" s="1" t="e">
        <f>AVERAGE(G24,G30,G39,G71,G75,G80,G106,G117,G165,G168,G171,G186,G197,G203,G211,G214,G233,G256,G263,G275)</f>
        <v>#DIV/0!</v>
      </c>
      <c r="DH5" s="1">
        <f>AVERAGE(B20,B136)</f>
        <v>1.1399999999999999</v>
      </c>
      <c r="DI5" s="1">
        <f t="shared" ref="DI5:DM5" si="9">AVERAGE(C20,C136)</f>
        <v>1.26</v>
      </c>
      <c r="DJ5" s="1">
        <f t="shared" si="9"/>
        <v>0.93</v>
      </c>
      <c r="DK5" s="1" t="e">
        <f t="shared" si="9"/>
        <v>#DIV/0!</v>
      </c>
      <c r="DL5" s="1" t="e">
        <f t="shared" si="9"/>
        <v>#DIV/0!</v>
      </c>
      <c r="DM5" s="1" t="e">
        <f t="shared" si="9"/>
        <v>#DIV/0!</v>
      </c>
      <c r="DN5" s="1">
        <f>AVERAGE(B68,B121,B193,B206,B207,B208,B209,B283)</f>
        <v>1.1414285714285715</v>
      </c>
      <c r="DO5" s="1">
        <f t="shared" ref="DO5:DS5" si="10">AVERAGE(C68,C121,C193,C206,C207,C208,C209,C283)</f>
        <v>0.95857142857142852</v>
      </c>
      <c r="DP5" s="1">
        <f t="shared" si="10"/>
        <v>1.0419999999999998</v>
      </c>
      <c r="DQ5" s="1" t="e">
        <f t="shared" si="10"/>
        <v>#DIV/0!</v>
      </c>
      <c r="DR5" s="1" t="e">
        <f t="shared" si="10"/>
        <v>#DIV/0!</v>
      </c>
      <c r="DS5" s="1" t="e">
        <f t="shared" si="10"/>
        <v>#DIV/0!</v>
      </c>
      <c r="DT5" s="1">
        <f>AVERAGE(B158,B159,B161,B162,B200,B235)</f>
        <v>1.2483333333333333</v>
      </c>
      <c r="DU5" s="1">
        <f t="shared" ref="DU5:DY5" si="11">AVERAGE(C158,C159,C161,C162,C200,C235)</f>
        <v>1.1433333333333335</v>
      </c>
      <c r="DV5" s="1">
        <f t="shared" si="11"/>
        <v>1.2250000000000001</v>
      </c>
      <c r="DW5" s="1" t="e">
        <f t="shared" si="11"/>
        <v>#DIV/0!</v>
      </c>
      <c r="DX5" s="1" t="e">
        <f t="shared" si="11"/>
        <v>#DIV/0!</v>
      </c>
      <c r="DY5" s="1" t="e">
        <f t="shared" si="11"/>
        <v>#DIV/0!</v>
      </c>
      <c r="DZ5" s="1">
        <f>AVERAGE(B227,B261)</f>
        <v>1.095</v>
      </c>
      <c r="EA5" s="1">
        <f t="shared" ref="EA5:EE5" si="12">AVERAGE(C227,C261)</f>
        <v>0.94</v>
      </c>
      <c r="EB5" s="1">
        <f t="shared" si="12"/>
        <v>0.70500000000000007</v>
      </c>
      <c r="EC5" s="1" t="e">
        <f t="shared" si="12"/>
        <v>#DIV/0!</v>
      </c>
      <c r="ED5" s="1" t="e">
        <f t="shared" si="12"/>
        <v>#DIV/0!</v>
      </c>
      <c r="EE5" s="1" t="e">
        <f t="shared" si="12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217">
        <f>_xlfn.AGGREGATE(1,3,CJ5:CL5)</f>
        <v>1.1605494505494509</v>
      </c>
      <c r="CK6" s="3218"/>
      <c r="CL6" s="3218"/>
      <c r="CM6" s="3218"/>
      <c r="CN6" s="3218"/>
      <c r="CO6" s="3218"/>
      <c r="CP6" s="3217">
        <f>_xlfn.AGGREGATE(1,3,CP5:CR5)</f>
        <v>1.2134447355190388</v>
      </c>
      <c r="CQ6" s="3218"/>
      <c r="CR6" s="3218"/>
      <c r="CS6" s="3218"/>
      <c r="CT6" s="3218"/>
      <c r="CU6" s="3218"/>
      <c r="CV6" s="3217">
        <f>_xlfn.AGGREGATE(1,3,CV5:CX5)</f>
        <v>1.1601587301587302</v>
      </c>
      <c r="CW6" s="3218"/>
      <c r="CX6" s="3218"/>
      <c r="CY6" s="3218"/>
      <c r="CZ6" s="3218"/>
      <c r="DA6" s="3218"/>
      <c r="DB6" s="3217">
        <f>_xlfn.AGGREGATE(1,3,DB5:DD5)</f>
        <v>1.2051851851851854</v>
      </c>
      <c r="DC6" s="3218"/>
      <c r="DD6" s="3218"/>
      <c r="DE6" s="3218"/>
      <c r="DF6" s="3218"/>
      <c r="DG6" s="3218"/>
      <c r="DH6" s="3217">
        <f>_xlfn.AGGREGATE(1,3,DH5:DJ5)</f>
        <v>1.1100000000000001</v>
      </c>
      <c r="DI6" s="3218"/>
      <c r="DJ6" s="3218"/>
      <c r="DK6" s="3218"/>
      <c r="DL6" s="3218"/>
      <c r="DM6" s="3218"/>
      <c r="DN6" s="3217">
        <f>_xlfn.AGGREGATE(1,3,DN5:DP5)</f>
        <v>1.0473333333333332</v>
      </c>
      <c r="DO6" s="3218"/>
      <c r="DP6" s="3218"/>
      <c r="DQ6" s="3218"/>
      <c r="DR6" s="3218"/>
      <c r="DS6" s="3218"/>
      <c r="DT6" s="3217">
        <f>_xlfn.AGGREGATE(1,3,DT5:DV5)</f>
        <v>1.2055555555555555</v>
      </c>
      <c r="DU6" s="3218"/>
      <c r="DV6" s="3218"/>
      <c r="DW6" s="3218"/>
      <c r="DX6" s="3218"/>
      <c r="DY6" s="3218"/>
      <c r="DZ6" s="3217">
        <f>_xlfn.AGGREGATE(1,3,DZ5:EB5)</f>
        <v>0.91333333333333344</v>
      </c>
      <c r="EA6" s="3218"/>
      <c r="EB6" s="3218"/>
      <c r="EC6" s="3218"/>
      <c r="ED6" s="3218"/>
      <c r="EE6" s="3218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1169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1180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1190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1200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1201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1202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1203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1204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1205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1206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1207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1213</v>
      </c>
    </row>
    <row r="262" spans="1:87" x14ac:dyDescent="0.25">
      <c r="A262" s="40" t="s">
        <v>1222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1223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1224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1225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1226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1232</v>
      </c>
    </row>
    <row r="267" spans="1:87" x14ac:dyDescent="0.25">
      <c r="A267" s="2934" t="s">
        <v>1230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1233</v>
      </c>
    </row>
    <row r="268" spans="1:87" x14ac:dyDescent="0.25">
      <c r="A268" s="2947" t="s">
        <v>1231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1243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1248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1249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1250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123" x14ac:dyDescent="0.25">
      <c r="A273" s="3045" t="s">
        <v>1251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123" x14ac:dyDescent="0.25">
      <c r="A274" s="3058" t="s">
        <v>1252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123" x14ac:dyDescent="0.25">
      <c r="A275" s="3071" t="s">
        <v>1253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123" x14ac:dyDescent="0.25">
      <c r="A276" s="40" t="s">
        <v>1254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123" x14ac:dyDescent="0.25">
      <c r="A277" s="3096" t="s">
        <v>1255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123" x14ac:dyDescent="0.25">
      <c r="A278" s="3109" t="s">
        <v>1257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123" x14ac:dyDescent="0.25">
      <c r="A279" s="3122" t="s">
        <v>1259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123" x14ac:dyDescent="0.25">
      <c r="A280" s="3135" t="s">
        <v>1261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123" x14ac:dyDescent="0.25">
      <c r="A281" s="3148" t="s">
        <v>1263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123" x14ac:dyDescent="0.25">
      <c r="A282" s="3161" t="s">
        <v>1265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123" x14ac:dyDescent="0.25">
      <c r="A283" s="3174" t="s">
        <v>1267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123" x14ac:dyDescent="0.25">
      <c r="A284" s="3187" t="s">
        <v>1269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123" x14ac:dyDescent="0.25">
      <c r="A285" s="3200" t="s">
        <v>1271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123" ht="15.75" customHeight="1" x14ac:dyDescent="0.25">
      <c r="A286" s="35"/>
      <c r="B286" s="36">
        <f t="shared" ref="B286:AG286" si="13">AVERAGE(B3:B285)</f>
        <v>1.1835193133047213</v>
      </c>
      <c r="C286" s="36">
        <f t="shared" si="13"/>
        <v>1.1854260089686099</v>
      </c>
      <c r="D286" s="36">
        <f t="shared" si="13"/>
        <v>1.1462732919254657</v>
      </c>
      <c r="E286" s="36">
        <f t="shared" si="13"/>
        <v>0.66500000000000004</v>
      </c>
      <c r="F286" s="36">
        <f t="shared" si="13"/>
        <v>1.3018181818181818</v>
      </c>
      <c r="G286" s="36">
        <f t="shared" si="13"/>
        <v>0.90166666666666673</v>
      </c>
      <c r="H286" s="47">
        <f t="shared" si="13"/>
        <v>0.6383928571428571</v>
      </c>
      <c r="I286" s="36">
        <f t="shared" si="13"/>
        <v>2.5848214285714284</v>
      </c>
      <c r="J286" s="36">
        <f t="shared" si="13"/>
        <v>0.9196428571428571</v>
      </c>
      <c r="K286" s="36">
        <f t="shared" si="13"/>
        <v>0.11607142857142858</v>
      </c>
      <c r="L286" s="36">
        <f t="shared" si="13"/>
        <v>2.2321428571428572E-2</v>
      </c>
      <c r="M286" s="36">
        <f t="shared" si="13"/>
        <v>0.11607142857142858</v>
      </c>
      <c r="N286" s="36">
        <f t="shared" si="13"/>
        <v>1.9419642857142858</v>
      </c>
      <c r="O286" s="36">
        <f t="shared" si="13"/>
        <v>0.4419642857142857</v>
      </c>
      <c r="P286" s="67">
        <f t="shared" si="13"/>
        <v>0.17857142857142858</v>
      </c>
      <c r="Q286" s="36">
        <f t="shared" si="13"/>
        <v>0.11160714285714286</v>
      </c>
      <c r="R286" s="36">
        <f t="shared" si="13"/>
        <v>5.3571428571428568E-2</v>
      </c>
      <c r="S286" s="36">
        <f t="shared" si="13"/>
        <v>0</v>
      </c>
      <c r="T286" s="36">
        <f t="shared" si="13"/>
        <v>0</v>
      </c>
      <c r="U286" s="53">
        <f t="shared" si="13"/>
        <v>0.41121495327102803</v>
      </c>
      <c r="V286" s="36">
        <f t="shared" si="13"/>
        <v>0.84579439252336452</v>
      </c>
      <c r="W286" s="36">
        <f t="shared" si="13"/>
        <v>0.784037558685446</v>
      </c>
      <c r="X286" s="36">
        <f t="shared" si="13"/>
        <v>0.1822429906542056</v>
      </c>
      <c r="Y286" s="36">
        <f t="shared" si="13"/>
        <v>9.3457943925233638E-3</v>
      </c>
      <c r="Z286" s="36">
        <f t="shared" si="13"/>
        <v>0.17757009345794392</v>
      </c>
      <c r="AA286" s="36">
        <f t="shared" si="13"/>
        <v>3.1962616822429908</v>
      </c>
      <c r="AB286" s="36">
        <f t="shared" si="13"/>
        <v>0.44392523364485981</v>
      </c>
      <c r="AC286" s="52">
        <f t="shared" si="13"/>
        <v>0.35514018691588783</v>
      </c>
      <c r="AD286" s="36">
        <f t="shared" si="13"/>
        <v>0.22897196261682243</v>
      </c>
      <c r="AE286" s="36">
        <f t="shared" si="13"/>
        <v>9.8130841121495324E-2</v>
      </c>
      <c r="AF286" s="36">
        <f t="shared" si="13"/>
        <v>4.6728971962616819E-3</v>
      </c>
      <c r="AG286" s="36">
        <f t="shared" si="13"/>
        <v>0</v>
      </c>
      <c r="AH286" s="57">
        <f t="shared" ref="AH286:BM286" si="14">AVERAGE(AH3:AH285)</f>
        <v>0.92546583850931674</v>
      </c>
      <c r="AI286" s="36">
        <f t="shared" si="14"/>
        <v>1.8757763975155279</v>
      </c>
      <c r="AJ286" s="36">
        <f t="shared" si="14"/>
        <v>0.91304347826086951</v>
      </c>
      <c r="AK286" s="36">
        <f t="shared" si="14"/>
        <v>0.14906832298136646</v>
      </c>
      <c r="AL286" s="36">
        <f t="shared" si="14"/>
        <v>2.4844720496894408E-2</v>
      </c>
      <c r="AM286" s="36">
        <f t="shared" si="14"/>
        <v>0.21739130434782608</v>
      </c>
      <c r="AN286" s="36">
        <f t="shared" si="14"/>
        <v>2.5900621118012421</v>
      </c>
      <c r="AO286" s="36">
        <f t="shared" si="14"/>
        <v>0.47826086956521741</v>
      </c>
      <c r="AP286" s="60">
        <f t="shared" si="14"/>
        <v>0.27329192546583853</v>
      </c>
      <c r="AQ286" s="36">
        <f t="shared" si="14"/>
        <v>0.11180124223602485</v>
      </c>
      <c r="AR286" s="36">
        <f t="shared" si="14"/>
        <v>6.2111801242236024E-2</v>
      </c>
      <c r="AS286" s="36">
        <f t="shared" si="14"/>
        <v>6.2111801242236021E-3</v>
      </c>
      <c r="AT286" s="36">
        <f t="shared" si="14"/>
        <v>0</v>
      </c>
      <c r="AU286" s="6">
        <f t="shared" si="14"/>
        <v>0</v>
      </c>
      <c r="AV286" s="36">
        <f t="shared" si="14"/>
        <v>0.75</v>
      </c>
      <c r="AW286" s="36">
        <f t="shared" si="14"/>
        <v>0.25</v>
      </c>
      <c r="AX286" s="36">
        <f t="shared" si="14"/>
        <v>0.25</v>
      </c>
      <c r="AY286" s="36">
        <f t="shared" si="14"/>
        <v>0</v>
      </c>
      <c r="AZ286" s="36">
        <f t="shared" si="14"/>
        <v>0</v>
      </c>
      <c r="BA286" s="36">
        <f t="shared" si="14"/>
        <v>1</v>
      </c>
      <c r="BB286" s="36">
        <f t="shared" si="14"/>
        <v>0</v>
      </c>
      <c r="BC286" s="13">
        <f t="shared" si="14"/>
        <v>0</v>
      </c>
      <c r="BD286" s="36">
        <f t="shared" si="14"/>
        <v>0</v>
      </c>
      <c r="BE286" s="36">
        <f t="shared" si="14"/>
        <v>0</v>
      </c>
      <c r="BF286" s="36">
        <f t="shared" si="14"/>
        <v>0</v>
      </c>
      <c r="BG286" s="36">
        <f t="shared" si="14"/>
        <v>0</v>
      </c>
      <c r="BH286" s="59">
        <f t="shared" si="14"/>
        <v>0.81818181818181823</v>
      </c>
      <c r="BI286" s="36">
        <f t="shared" si="14"/>
        <v>2.1818181818181817</v>
      </c>
      <c r="BJ286" s="36">
        <f t="shared" si="14"/>
        <v>1.2727272727272727</v>
      </c>
      <c r="BK286" s="36">
        <f t="shared" si="14"/>
        <v>0.27272727272727271</v>
      </c>
      <c r="BL286" s="36">
        <f t="shared" si="14"/>
        <v>0</v>
      </c>
      <c r="BM286" s="36">
        <f t="shared" si="14"/>
        <v>0.81818181818181823</v>
      </c>
      <c r="BN286" s="36">
        <f t="shared" ref="BN286:CG286" si="15">AVERAGE(BN3:BN285)</f>
        <v>2.3636363636363638</v>
      </c>
      <c r="BO286" s="36">
        <f t="shared" si="15"/>
        <v>0.36363636363636365</v>
      </c>
      <c r="BP286" s="60">
        <f t="shared" si="15"/>
        <v>9.0909090909090912E-2</v>
      </c>
      <c r="BQ286" s="36">
        <f t="shared" si="15"/>
        <v>0.18181818181818182</v>
      </c>
      <c r="BR286" s="36">
        <f t="shared" si="15"/>
        <v>0</v>
      </c>
      <c r="BS286" s="36">
        <f t="shared" si="15"/>
        <v>0</v>
      </c>
      <c r="BT286" s="36">
        <f t="shared" si="15"/>
        <v>0</v>
      </c>
      <c r="BU286" s="48">
        <f t="shared" si="15"/>
        <v>0.16666666666666666</v>
      </c>
      <c r="BV286" s="48">
        <f t="shared" si="15"/>
        <v>1.6666666666666667</v>
      </c>
      <c r="BW286" s="48">
        <f t="shared" si="15"/>
        <v>0.66666666666666663</v>
      </c>
      <c r="BX286" s="48">
        <f t="shared" si="15"/>
        <v>0</v>
      </c>
      <c r="BY286" s="48">
        <f t="shared" si="15"/>
        <v>0</v>
      </c>
      <c r="BZ286" s="48">
        <f t="shared" si="15"/>
        <v>0</v>
      </c>
      <c r="CA286" s="48">
        <f t="shared" si="15"/>
        <v>2</v>
      </c>
      <c r="CB286" s="48">
        <f t="shared" si="15"/>
        <v>0.16666666666666666</v>
      </c>
      <c r="CC286" s="13">
        <f t="shared" si="15"/>
        <v>0.33333333333333331</v>
      </c>
      <c r="CD286" s="48">
        <f t="shared" si="15"/>
        <v>0</v>
      </c>
      <c r="CE286" s="48">
        <f t="shared" si="15"/>
        <v>0</v>
      </c>
      <c r="CF286" s="48">
        <f t="shared" si="15"/>
        <v>0</v>
      </c>
      <c r="CG286" s="48">
        <f t="shared" si="15"/>
        <v>0</v>
      </c>
      <c r="CH286" s="35"/>
      <c r="CI286" s="35"/>
      <c r="CJ286" s="35"/>
      <c r="CK286" s="35"/>
      <c r="CL286" s="35"/>
      <c r="CM286" s="35"/>
      <c r="CN286" s="35"/>
      <c r="CO286" s="35"/>
      <c r="CP286" s="35"/>
      <c r="CQ286" s="35"/>
      <c r="CR286" s="35"/>
      <c r="CS286" s="35"/>
      <c r="CT286" s="35"/>
      <c r="CU286" s="35"/>
      <c r="CV286" s="35"/>
      <c r="CW286" s="35"/>
      <c r="CX286" s="35"/>
      <c r="CY286" s="35"/>
      <c r="CZ286" s="35"/>
      <c r="DA286" s="35"/>
      <c r="DB286" s="35"/>
      <c r="DC286" s="35"/>
      <c r="DD286" s="35"/>
      <c r="DE286" s="35"/>
      <c r="DF286" s="35"/>
      <c r="DG286" s="35"/>
      <c r="DH286" s="35"/>
      <c r="DI286" s="35"/>
      <c r="DJ286" s="35"/>
      <c r="DK286" s="35"/>
      <c r="DL286" s="35"/>
      <c r="DM286" s="35"/>
      <c r="DN286" s="35"/>
      <c r="DO286" s="35"/>
      <c r="DP286" s="35"/>
      <c r="DQ286" s="35"/>
      <c r="DR286" s="35"/>
      <c r="DS286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tabSelected="1" workbookViewId="0">
      <selection activeCell="C17" sqref="C17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241" t="s">
        <v>1101</v>
      </c>
      <c r="CK1" s="3241"/>
      <c r="CL1" s="3241"/>
      <c r="CM1" s="3241"/>
      <c r="CN1" s="3241"/>
      <c r="CO1" s="3241"/>
      <c r="CP1" s="3234" t="s">
        <v>1112</v>
      </c>
      <c r="CQ1" s="3235"/>
      <c r="CR1" s="3235"/>
      <c r="CS1" s="3235"/>
      <c r="CT1" s="3235"/>
      <c r="CU1" s="3235"/>
      <c r="CV1" s="3242" t="s">
        <v>1102</v>
      </c>
      <c r="CW1" s="3242"/>
      <c r="CX1" s="3242"/>
      <c r="CY1" s="3242"/>
      <c r="CZ1" s="3242"/>
      <c r="DA1" s="3242"/>
      <c r="DB1" s="3238" t="s">
        <v>1103</v>
      </c>
      <c r="DC1" s="3238"/>
      <c r="DD1" s="3238"/>
      <c r="DE1" s="3238"/>
      <c r="DF1" s="3238"/>
      <c r="DG1" s="3238"/>
      <c r="DH1" s="3242" t="s">
        <v>1105</v>
      </c>
      <c r="DI1" s="3242"/>
      <c r="DJ1" s="3242"/>
      <c r="DK1" s="3242"/>
      <c r="DL1" s="3242"/>
      <c r="DM1" s="3242"/>
      <c r="DN1" s="3236" t="s">
        <v>997</v>
      </c>
      <c r="DO1" s="3236"/>
      <c r="DP1" s="3236"/>
      <c r="DQ1" s="3236"/>
      <c r="DR1" s="3236"/>
      <c r="DS1" s="3236"/>
      <c r="DT1" s="3236" t="s">
        <v>998</v>
      </c>
      <c r="DU1" s="3236"/>
      <c r="DV1" s="3236"/>
      <c r="DW1" s="3236"/>
      <c r="DX1" s="3236"/>
      <c r="DY1" s="3236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217" t="e">
        <f>_xlfn.AGGREGATE(1,6,CJ2:CO2)</f>
        <v>#DIV/0!</v>
      </c>
      <c r="CK3" s="3217"/>
      <c r="CL3" s="3217"/>
      <c r="CM3" s="3217"/>
      <c r="CN3" s="3217"/>
      <c r="CO3" s="3217"/>
      <c r="CP3" s="3217">
        <f t="shared" ref="CP3" si="1">_xlfn.AGGREGATE(1,6,CP2:CU2)</f>
        <v>1.4500000000000002</v>
      </c>
      <c r="CQ3" s="3217"/>
      <c r="CR3" s="3217"/>
      <c r="CS3" s="3217"/>
      <c r="CT3" s="3217"/>
      <c r="CU3" s="3217"/>
      <c r="CV3" s="3217" t="e">
        <f t="shared" ref="CV3" si="2">_xlfn.AGGREGATE(1,6,CV2:DA2)</f>
        <v>#DIV/0!</v>
      </c>
      <c r="CW3" s="3217"/>
      <c r="CX3" s="3217"/>
      <c r="CY3" s="3217"/>
      <c r="CZ3" s="3217"/>
      <c r="DA3" s="3217"/>
      <c r="DB3" s="3217" t="e">
        <f t="shared" ref="DB3" si="3">_xlfn.AGGREGATE(1,6,DB2:DG2)</f>
        <v>#DIV/0!</v>
      </c>
      <c r="DC3" s="3217"/>
      <c r="DD3" s="3217"/>
      <c r="DE3" s="3217"/>
      <c r="DF3" s="3217"/>
      <c r="DG3" s="3217"/>
      <c r="DH3" s="3217" t="e">
        <f t="shared" ref="DH3" si="4">_xlfn.AGGREGATE(1,6,DH2:DM2)</f>
        <v>#DIV/0!</v>
      </c>
      <c r="DI3" s="3217"/>
      <c r="DJ3" s="3217"/>
      <c r="DK3" s="3217"/>
      <c r="DL3" s="3217"/>
      <c r="DM3" s="3217"/>
      <c r="DN3" s="3217" t="e">
        <f t="shared" ref="DN3" si="5">_xlfn.AGGREGATE(1,6,DN2:DS2)</f>
        <v>#DIV/0!</v>
      </c>
      <c r="DO3" s="3217"/>
      <c r="DP3" s="3217"/>
      <c r="DQ3" s="3217"/>
      <c r="DR3" s="3217"/>
      <c r="DS3" s="3217"/>
      <c r="DT3" s="3217" t="e">
        <f t="shared" ref="DT3" si="6">_xlfn.AGGREGATE(1,6,DT2:DY2)</f>
        <v>#DIV/0!</v>
      </c>
      <c r="DU3" s="3217"/>
      <c r="DV3" s="3217"/>
      <c r="DW3" s="3217"/>
      <c r="DX3" s="3217"/>
      <c r="DY3" s="3217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238" t="s">
        <v>1100</v>
      </c>
      <c r="CK4" s="3238"/>
      <c r="CL4" s="3238"/>
      <c r="CM4" s="3238"/>
      <c r="CN4" s="3238"/>
      <c r="CO4" s="3238"/>
      <c r="CP4" s="3235" t="s">
        <v>993</v>
      </c>
      <c r="CQ4" s="3235"/>
      <c r="CR4" s="3235"/>
      <c r="CS4" s="3235"/>
      <c r="CT4" s="3235"/>
      <c r="CU4" s="3235"/>
      <c r="CV4" s="3236" t="s">
        <v>994</v>
      </c>
      <c r="CW4" s="3236"/>
      <c r="CX4" s="3236"/>
      <c r="CY4" s="3236"/>
      <c r="CZ4" s="3236"/>
      <c r="DA4" s="3236"/>
      <c r="DB4" s="3238" t="s">
        <v>1104</v>
      </c>
      <c r="DC4" s="3238"/>
      <c r="DD4" s="3238"/>
      <c r="DE4" s="3238"/>
      <c r="DF4" s="3238"/>
      <c r="DG4" s="3238"/>
      <c r="DH4" s="3236" t="s">
        <v>996</v>
      </c>
      <c r="DI4" s="3236"/>
      <c r="DJ4" s="3236"/>
      <c r="DK4" s="3236"/>
      <c r="DL4" s="3236"/>
      <c r="DM4" s="3236"/>
      <c r="DN4" s="3237" t="s">
        <v>1106</v>
      </c>
      <c r="DO4" s="3236"/>
      <c r="DP4" s="3236"/>
      <c r="DQ4" s="3236"/>
      <c r="DR4" s="3236"/>
      <c r="DS4" s="3236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2025-11-20T11:45:50Z</dcterms:modified>
</cp:coreProperties>
</file>