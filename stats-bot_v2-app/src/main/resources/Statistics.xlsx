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C112C1DB-165A-4356-9CA0-850800E7780C}" xr6:coauthVersionLast="45" xr6:coauthVersionMax="47" xr10:uidLastSave="{00000000-0000-0000-0000-000000000000}"/>
  <bookViews>
    <workbookView xWindow="-120" yWindow="-120" windowWidth="29040" windowHeight="15720" firstSheet="8" activeTab="16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" i="19" l="1"/>
  <c r="H4" i="19"/>
  <c r="DI2" i="18" l="1"/>
  <c r="DJ2" i="18"/>
  <c r="DH2" i="18"/>
  <c r="DC5" i="18"/>
  <c r="DD5" i="18"/>
  <c r="DB5" i="18"/>
  <c r="CW5" i="18"/>
  <c r="CX5" i="18"/>
  <c r="CV5" i="18"/>
  <c r="CW2" i="18"/>
  <c r="CX2" i="18"/>
  <c r="CV2" i="18"/>
  <c r="CQ2" i="18"/>
  <c r="CR2" i="18"/>
  <c r="CP2" i="18"/>
  <c r="CK5" i="18"/>
  <c r="CL5" i="18"/>
  <c r="CJ5" i="18"/>
  <c r="CK2" i="18"/>
  <c r="CL2" i="18"/>
  <c r="CJ2" i="18"/>
  <c r="DH2" i="16"/>
  <c r="DI5" i="16"/>
  <c r="DJ5" i="16"/>
  <c r="DH5" i="16"/>
  <c r="DI2" i="16"/>
  <c r="DJ2" i="16"/>
  <c r="DC2" i="16"/>
  <c r="DD2" i="16"/>
  <c r="DB2" i="16"/>
  <c r="DC5" i="16"/>
  <c r="DD5" i="16"/>
  <c r="DB5" i="16"/>
  <c r="CV5" i="16"/>
  <c r="CW2" i="16"/>
  <c r="CX2" i="16"/>
  <c r="CV2" i="16"/>
  <c r="CK5" i="16"/>
  <c r="CL5" i="16"/>
  <c r="CJ5" i="16"/>
  <c r="CQ5" i="16"/>
  <c r="CR5" i="16"/>
  <c r="CS5" i="16"/>
  <c r="CP5" i="16"/>
  <c r="CQ2" i="16"/>
  <c r="CR2" i="16"/>
  <c r="CS2" i="16"/>
  <c r="CT2" i="16"/>
  <c r="CP2" i="16"/>
  <c r="CJ2" i="16"/>
  <c r="T4" i="19" l="1"/>
  <c r="L4" i="19"/>
  <c r="M4" i="19"/>
  <c r="N4" i="19"/>
  <c r="O4" i="19"/>
  <c r="U4" i="19"/>
  <c r="V4" i="19"/>
  <c r="W4" i="19"/>
  <c r="DF5" i="18"/>
  <c r="DE5" i="18"/>
  <c r="DH6" i="16" l="1"/>
  <c r="DK5" i="16"/>
  <c r="DL5" i="16"/>
  <c r="CY5" i="18"/>
  <c r="CZ5" i="18"/>
  <c r="CQ5" i="18"/>
  <c r="CR5" i="18"/>
  <c r="CS5" i="18"/>
  <c r="CT5" i="18"/>
  <c r="CP5" i="18"/>
  <c r="CM5" i="18"/>
  <c r="CN5" i="18"/>
  <c r="H332" i="14"/>
  <c r="DK2" i="18" l="1"/>
  <c r="DL2" i="18"/>
  <c r="CY2" i="18"/>
  <c r="CZ2" i="18"/>
  <c r="CS2" i="18"/>
  <c r="CT2" i="18"/>
  <c r="CM2" i="18"/>
  <c r="CN2" i="18"/>
  <c r="AF5" i="19"/>
  <c r="AB5" i="19"/>
  <c r="AG4" i="19"/>
  <c r="AH4" i="19"/>
  <c r="AI4" i="19"/>
  <c r="AF4" i="19"/>
  <c r="AC4" i="19"/>
  <c r="AD4" i="19"/>
  <c r="AE4" i="19"/>
  <c r="AB4" i="19"/>
  <c r="P4" i="19"/>
  <c r="Q4" i="19" l="1"/>
  <c r="R4" i="19"/>
  <c r="S4" i="19"/>
  <c r="J4" i="19"/>
  <c r="K4" i="19"/>
  <c r="T5" i="19" l="1"/>
  <c r="P5" i="19"/>
  <c r="L5" i="19"/>
  <c r="H5" i="19"/>
  <c r="X5" i="19"/>
  <c r="Y4" i="19"/>
  <c r="Z4" i="19"/>
  <c r="AA4" i="19"/>
  <c r="X4" i="19"/>
  <c r="DE5" i="16"/>
  <c r="DF5" i="16"/>
  <c r="DG5" i="16"/>
  <c r="CW5" i="16"/>
  <c r="CX5" i="16"/>
  <c r="CY5" i="16"/>
  <c r="CZ5" i="16"/>
  <c r="DA5" i="16"/>
  <c r="CT5" i="16"/>
  <c r="CU5" i="16"/>
  <c r="CM5" i="16"/>
  <c r="CN5" i="16"/>
  <c r="CO5" i="16"/>
  <c r="DK2" i="16"/>
  <c r="DL2" i="16"/>
  <c r="DE2" i="16"/>
  <c r="DF2" i="16"/>
  <c r="DG2" i="16"/>
  <c r="CY2" i="16"/>
  <c r="CZ2" i="16"/>
  <c r="DA2" i="16"/>
  <c r="CU2" i="16"/>
  <c r="CP3" i="16"/>
  <c r="CO2" i="16"/>
  <c r="CK2" i="16"/>
  <c r="CL2" i="16"/>
  <c r="CM2" i="16"/>
  <c r="CN2" i="16"/>
  <c r="CV6" i="16" l="1"/>
  <c r="DB6" i="16"/>
  <c r="CP6" i="16"/>
  <c r="DH3" i="16"/>
  <c r="DB3" i="16"/>
  <c r="CV3" i="16"/>
  <c r="H5" i="12"/>
  <c r="B4" i="15" l="1"/>
  <c r="DH3" i="18" l="1"/>
  <c r="DF2" i="18"/>
  <c r="DE2" i="18"/>
  <c r="DD2" i="18"/>
  <c r="DC2" i="18"/>
  <c r="DB2" i="18"/>
  <c r="CP3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C332" i="14"/>
  <c r="D332" i="14"/>
  <c r="E332" i="14"/>
  <c r="F332" i="14"/>
  <c r="G332" i="14"/>
  <c r="B332" i="14"/>
  <c r="CV3" i="18" l="1"/>
  <c r="CJ3" i="18"/>
  <c r="DB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CJ6" i="16"/>
  <c r="CJ3" i="16" l="1"/>
  <c r="DB6" i="18"/>
  <c r="CV6" i="18"/>
  <c r="CP6" i="18"/>
  <c r="CJ6" i="18"/>
  <c r="BS56" i="16"/>
  <c r="BR56" i="16"/>
  <c r="BQ56" i="16"/>
  <c r="BP56" i="16"/>
  <c r="BO56" i="16"/>
  <c r="BN56" i="16"/>
  <c r="BM56" i="16"/>
  <c r="BL56" i="16"/>
  <c r="BK56" i="16"/>
  <c r="BJ56" i="16"/>
  <c r="BI56" i="16"/>
  <c r="BH56" i="16"/>
  <c r="BG56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E21" i="19"/>
  <c r="D21" i="19"/>
  <c r="C21" i="19"/>
  <c r="B21" i="19"/>
  <c r="CB80" i="18"/>
  <c r="CA80" i="18"/>
  <c r="BZ80" i="18"/>
  <c r="BY80" i="18"/>
  <c r="BX80" i="18"/>
  <c r="BW80" i="18"/>
  <c r="BV80" i="18"/>
  <c r="BU80" i="18"/>
  <c r="BT80" i="18"/>
  <c r="BS80" i="18"/>
  <c r="BR80" i="18"/>
  <c r="BQ80" i="18"/>
  <c r="BP80" i="18"/>
  <c r="BO80" i="18"/>
  <c r="BN80" i="18"/>
  <c r="BM80" i="18"/>
  <c r="BL80" i="18"/>
  <c r="BK80" i="18"/>
  <c r="BJ80" i="18"/>
  <c r="BI80" i="18"/>
  <c r="BH80" i="18"/>
  <c r="BG80" i="18"/>
  <c r="BF80" i="18"/>
  <c r="BE80" i="18"/>
  <c r="BD80" i="18"/>
  <c r="BC80" i="18"/>
  <c r="BB80" i="18"/>
  <c r="BA80" i="18"/>
  <c r="AZ80" i="18"/>
  <c r="AY80" i="18"/>
  <c r="AX80" i="18"/>
  <c r="AW80" i="18"/>
  <c r="AV80" i="18"/>
  <c r="AU80" i="18"/>
  <c r="AT80" i="18"/>
  <c r="AS80" i="18"/>
  <c r="AR80" i="18"/>
  <c r="AQ80" i="18"/>
  <c r="AP80" i="18"/>
  <c r="AO80" i="18"/>
  <c r="AN80" i="18"/>
  <c r="AM80" i="18"/>
  <c r="AL80" i="18"/>
  <c r="AK80" i="18"/>
  <c r="AJ80" i="18"/>
  <c r="AI80" i="18"/>
  <c r="AH80" i="18"/>
  <c r="AG80" i="18"/>
  <c r="AF80" i="18"/>
  <c r="AE80" i="18"/>
  <c r="AD80" i="18"/>
  <c r="AC80" i="18"/>
  <c r="AB80" i="18"/>
  <c r="AA80" i="18"/>
  <c r="Z80" i="18"/>
  <c r="Y80" i="18"/>
  <c r="X80" i="18"/>
  <c r="W80" i="18"/>
  <c r="V80" i="18"/>
  <c r="U80" i="18"/>
  <c r="T80" i="18"/>
  <c r="S80" i="18"/>
  <c r="R80" i="18"/>
  <c r="Q80" i="18"/>
  <c r="P80" i="18"/>
  <c r="O80" i="18"/>
  <c r="N80" i="18"/>
  <c r="M80" i="18"/>
  <c r="L80" i="18"/>
  <c r="K80" i="18"/>
  <c r="J80" i="18"/>
  <c r="I80" i="18"/>
  <c r="H80" i="18"/>
  <c r="G80" i="18"/>
  <c r="D80" i="18"/>
  <c r="C80" i="18"/>
  <c r="B80" i="18"/>
</calcChain>
</file>

<file path=xl/sharedStrings.xml><?xml version="1.0" encoding="utf-8"?>
<sst xmlns="http://schemas.openxmlformats.org/spreadsheetml/2006/main" count="2902" uniqueCount="1465">
  <si>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</si>
  <si>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</si>
  <si>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</si>
  <si>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</si>
  <si>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</si>
  <si>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</si>
  <si>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</si>
  <si>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</si>
  <si>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</si>
  <si>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</si>
  <si>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</si>
  <si>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</si>
  <si>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</si>
  <si>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</si>
  <si>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</si>
  <si>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</si>
  <si>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</si>
  <si>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</si>
  <si>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</si>
  <si>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</si>
  <si>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</si>
  <si>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</si>
  <si>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</si>
  <si>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</si>
  <si>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</si>
  <si>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</si>
  <si>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</si>
  <si>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</si>
  <si>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</si>
  <si>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</si>
  <si>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</si>
  <si>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</si>
  <si>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</si>
  <si>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</si>
  <si>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</si>
  <si>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</si>
  <si>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</si>
  <si>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</si>
  <si>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</si>
  <si>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</si>
  <si>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</si>
  <si>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</si>
  <si>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</si>
  <si>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</si>
  <si>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</si>
  <si>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</si>
  <si>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</si>
  <si>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</si>
  <si>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</si>
  <si>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</si>
  <si>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</si>
  <si>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</si>
  <si>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</si>
  <si>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</si>
  <si>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</si>
  <si>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</si>
  <si>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</si>
  <si>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</si>
  <si>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</si>
  <si>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</si>
  <si>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</si>
  <si>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</si>
  <si>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</si>
  <si>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</si>
  <si>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</si>
  <si>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</si>
  <si>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</si>
  <si>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</si>
  <si>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</si>
  <si>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</si>
  <si>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</si>
  <si>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</si>
  <si>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</si>
  <si>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</si>
  <si>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</si>
  <si>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</si>
  <si>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</si>
  <si>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</si>
  <si>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</si>
  <si>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</si>
  <si>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</si>
  <si>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</si>
  <si>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</si>
  <si>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</si>
  <si>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</si>
  <si>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</si>
  <si>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</si>
  <si>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</si>
  <si>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</si>
  <si>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</si>
  <si>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</si>
  <si>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</si>
  <si>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</si>
  <si>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</si>
  <si>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</si>
  <si>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</si>
  <si>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</si>
  <si>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</si>
  <si>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</si>
  <si>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</si>
  <si>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</si>
  <si>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</si>
  <si>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</si>
  <si>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</si>
  <si>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</si>
  <si>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</si>
  <si>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</si>
  <si>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</si>
  <si>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</si>
  <si>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</si>
  <si>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</si>
  <si>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</si>
  <si>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</si>
  <si>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</si>
  <si>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</si>
  <si>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</si>
  <si>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</si>
  <si>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</si>
  <si>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</si>
  <si>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</si>
  <si>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</si>
  <si>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</si>
  <si>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</si>
  <si>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</si>
  <si>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</si>
  <si>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</si>
  <si>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</si>
  <si>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</si>
  <si>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</si>
  <si>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</si>
  <si>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</si>
  <si>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</si>
  <si>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</si>
  <si>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</si>
  <si>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</si>
  <si>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</si>
  <si>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</si>
  <si>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</si>
  <si>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</si>
  <si>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</si>
  <si>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</si>
  <si>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</si>
  <si>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</si>
  <si>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</si>
  <si>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</si>
  <si>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</si>
  <si>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</si>
  <si>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</si>
  <si>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</si>
  <si>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</si>
  <si>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</si>
  <si>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</si>
  <si>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</si>
  <si>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</si>
  <si>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</si>
  <si>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</si>
  <si>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</si>
  <si>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</si>
  <si>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</si>
  <si>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</si>
  <si>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</si>
  <si>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</si>
  <si>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</si>
  <si>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</si>
  <si>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</si>
  <si>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</si>
  <si>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</si>
  <si>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</si>
  <si>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</si>
  <si>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</si>
  <si>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</si>
  <si>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</si>
  <si>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</si>
  <si>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</si>
  <si>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</si>
  <si>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</si>
  <si>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</si>
  <si>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</si>
  <si>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</si>
  <si>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</si>
  <si>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</si>
  <si>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</si>
  <si>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</si>
  <si>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</si>
  <si>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</si>
  <si>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</si>
  <si>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</si>
  <si>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</si>
  <si>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</si>
  <si>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</si>
  <si>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</si>
  <si>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</si>
  <si>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</si>
  <si>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</si>
  <si>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</si>
  <si>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</si>
  <si>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</si>
  <si>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</si>
  <si>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</si>
  <si>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</si>
  <si>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</si>
  <si>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</si>
  <si>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</si>
  <si>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</si>
  <si>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</si>
  <si>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</si>
  <si>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</si>
  <si>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</si>
  <si>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</si>
  <si>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</si>
  <si>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</si>
  <si>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</si>
  <si>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</si>
  <si>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</si>
  <si>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</si>
  <si>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</si>
  <si>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</si>
  <si>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</si>
  <si>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</si>
  <si>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</si>
  <si>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</si>
  <si>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</si>
  <si>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</si>
  <si>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</si>
  <si>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</si>
  <si>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</si>
  <si>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</si>
  <si>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</si>
  <si>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</si>
  <si>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</si>
  <si>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</si>
  <si>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</si>
  <si>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</si>
  <si>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</si>
  <si>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</si>
  <si>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</si>
  <si>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</si>
  <si>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</si>
  <si>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</si>
  <si>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</si>
  <si>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</si>
  <si>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</si>
  <si>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</si>
  <si>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</si>
  <si>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</si>
  <si>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</si>
  <si>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</si>
  <si>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</si>
  <si>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</si>
  <si>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</si>
  <si>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</si>
  <si>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</si>
  <si>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</si>
  <si>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</si>
  <si>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</si>
  <si>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</si>
  <si>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</si>
  <si>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</si>
  <si>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</si>
  <si>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</si>
  <si>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</si>
  <si>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</si>
  <si>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</si>
  <si>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</si>
  <si>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</si>
  <si>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</si>
  <si>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</si>
  <si>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</si>
  <si>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</si>
  <si>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</si>
  <si>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</si>
  <si>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</si>
  <si>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</si>
  <si>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</si>
  <si>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</si>
  <si>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</si>
  <si>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</si>
  <si>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</si>
  <si>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</si>
  <si>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</si>
  <si>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</si>
  <si>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</si>
  <si>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</si>
  <si>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</si>
  <si>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</si>
  <si>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</si>
  <si>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</si>
  <si>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</si>
  <si>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</si>
  <si>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</si>
  <si>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</si>
  <si>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</si>
  <si>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</si>
  <si>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</si>
  <si>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</si>
  <si>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</si>
  <si>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</si>
  <si>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</si>
  <si>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</si>
  <si>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</si>
  <si>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</si>
  <si>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</si>
  <si>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</si>
  <si>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</si>
  <si>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</si>
  <si>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</si>
  <si>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</si>
  <si>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</si>
  <si>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</si>
  <si>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</si>
  <si>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</si>
  <si>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</si>
  <si>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</si>
  <si>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</si>
  <si>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</si>
  <si>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</si>
  <si>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</si>
  <si>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</si>
  <si>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</si>
  <si>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</si>
  <si>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</si>
  <si>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</si>
  <si>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</si>
  <si>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</si>
  <si>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</si>
  <si>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</si>
  <si>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</si>
  <si>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</si>
  <si>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</si>
  <si>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</si>
  <si>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</si>
  <si>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</si>
  <si>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</si>
  <si>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</si>
  <si>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</si>
  <si>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</si>
  <si>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</si>
  <si>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</si>
  <si>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</si>
  <si>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</si>
  <si>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</si>
  <si>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</si>
  <si>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</si>
  <si>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</si>
  <si>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</si>
  <si>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</si>
  <si>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</si>
  <si>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</si>
  <si>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</si>
  <si>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</si>
  <si>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</si>
  <si>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</si>
  <si>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</si>
  <si>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</si>
  <si>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</si>
  <si>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</si>
  <si>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</si>
  <si>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</si>
  <si>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</si>
  <si>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</si>
  <si>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</si>
  <si>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</si>
  <si>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</si>
  <si>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</si>
  <si>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</si>
  <si>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</si>
  <si>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</si>
  <si>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</si>
  <si>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</si>
  <si>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</si>
  <si>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</si>
  <si>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</si>
  <si>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</si>
  <si>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</si>
  <si>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</si>
  <si>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</si>
  <si>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</si>
  <si>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</si>
  <si>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</si>
  <si>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</si>
  <si>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</si>
  <si>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</si>
  <si>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</si>
  <si>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</si>
  <si>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</si>
  <si>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</si>
  <si>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</si>
  <si>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</si>
  <si>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</si>
  <si>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</si>
  <si>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</si>
  <si>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</si>
  <si>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</si>
  <si>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</si>
  <si>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</si>
  <si>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</si>
  <si>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</si>
  <si>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</si>
  <si>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</si>
  <si>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</si>
  <si>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</si>
  <si>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</si>
  <si>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</si>
  <si>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</si>
  <si>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</si>
  <si>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</si>
  <si>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</si>
  <si>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</si>
  <si>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</si>
  <si>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</si>
  <si>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</si>
  <si>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</si>
  <si>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</si>
  <si>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</si>
  <si>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</si>
  <si>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</si>
  <si>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</si>
  <si>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</si>
  <si>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</si>
  <si>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</si>
  <si>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</si>
  <si>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</si>
  <si>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</si>
  <si>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</si>
  <si>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</si>
  <si>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</si>
  <si>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</si>
  <si>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</si>
  <si>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</si>
  <si>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</si>
  <si>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</si>
  <si>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</si>
  <si>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</si>
  <si>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</si>
  <si>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</si>
  <si>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</si>
  <si>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</si>
  <si>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</si>
  <si>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</si>
  <si>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</si>
  <si>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</si>
  <si>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</si>
  <si>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</si>
  <si>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</si>
  <si>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</si>
  <si>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</si>
  <si>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</si>
  <si>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</si>
  <si>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</si>
  <si>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</si>
  <si>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</si>
  <si>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</si>
  <si>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</si>
  <si>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</si>
  <si>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</si>
  <si>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</si>
  <si>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</si>
  <si>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</si>
  <si>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</si>
  <si>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</si>
  <si>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</si>
  <si>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</si>
  <si>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</si>
  <si>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</si>
  <si>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</si>
  <si>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</si>
  <si>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</si>
  <si>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</si>
  <si>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</si>
  <si>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</si>
  <si>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</si>
  <si>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</si>
  <si>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</si>
  <si>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</si>
  <si>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</si>
  <si>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</si>
  <si>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</si>
  <si>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</si>
  <si>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</si>
  <si>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</si>
  <si>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</si>
  <si>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</si>
  <si>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</si>
  <si>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</si>
  <si>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</si>
  <si>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</si>
  <si>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</si>
  <si>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</si>
  <si>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</si>
  <si>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</si>
  <si>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</si>
  <si>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</si>
  <si>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</si>
  <si>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</si>
  <si>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</si>
  <si>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</si>
  <si>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</si>
  <si>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</si>
  <si>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</si>
  <si>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</si>
  <si>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</si>
  <si>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</si>
  <si>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</si>
  <si>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</si>
  <si>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</si>
  <si>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</si>
  <si>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</si>
  <si>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</si>
  <si>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</si>
  <si>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</si>
  <si>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</si>
  <si>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</si>
  <si>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</si>
  <si>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</si>
  <si>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</si>
  <si>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</si>
  <si>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</si>
  <si>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</si>
  <si>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</si>
  <si>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</si>
  <si>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</si>
  <si>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</si>
  <si>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</si>
  <si>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</si>
  <si>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</si>
  <si>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</si>
  <si>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</si>
  <si>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</si>
  <si>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</si>
  <si>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</si>
  <si>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</si>
  <si>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</si>
  <si>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</si>
  <si>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</si>
  <si>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</si>
  <si>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</si>
  <si>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</si>
  <si>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</si>
  <si>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</si>
  <si>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</si>
  <si>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</si>
  <si>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</si>
  <si>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</si>
  <si>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</si>
  <si>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</si>
  <si>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</si>
  <si>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</si>
  <si>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</si>
  <si>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</si>
  <si>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</si>
  <si>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</si>
  <si>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</si>
  <si>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</si>
  <si>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</si>
  <si>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</si>
  <si>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</si>
  <si>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</si>
  <si>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</si>
  <si>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</si>
  <si>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</si>
  <si>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</si>
  <si>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</si>
  <si>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</si>
  <si>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</si>
  <si>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</si>
  <si>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</si>
  <si>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</si>
  <si>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</si>
  <si>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</si>
  <si>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</si>
  <si>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</si>
  <si>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</si>
  <si>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</si>
  <si>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</si>
  <si>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</si>
  <si>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</si>
  <si>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</si>
  <si>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</si>
  <si>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</si>
  <si>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</si>
  <si>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</si>
  <si>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</si>
  <si>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</si>
  <si>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</si>
  <si>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</si>
  <si>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</si>
  <si>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</si>
  <si>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</si>
  <si>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</si>
  <si>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</si>
  <si>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</si>
  <si>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</si>
  <si>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</si>
  <si>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</si>
  <si>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</si>
  <si>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</si>
  <si>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</si>
  <si>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</si>
  <si>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</si>
  <si>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</si>
  <si>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</si>
  <si>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</si>
  <si>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</si>
  <si>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</si>
  <si>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</si>
  <si>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</si>
  <si>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</si>
  <si>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</si>
  <si>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</si>
  <si>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</si>
  <si>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</si>
  <si>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</si>
  <si>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</si>
  <si>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</si>
  <si>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</si>
  <si>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</si>
  <si>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</si>
  <si>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</si>
  <si>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</si>
  <si>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</si>
  <si>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</si>
  <si>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</si>
  <si>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</si>
  <si>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</si>
  <si>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</si>
  <si>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</si>
  <si>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</si>
  <si>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</si>
  <si>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</si>
  <si>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</si>
  <si>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</si>
  <si>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</si>
  <si>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</si>
  <si>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</si>
  <si>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</si>
  <si>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</si>
  <si>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</si>
  <si>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</si>
  <si>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</si>
  <si>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</si>
  <si>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</si>
  <si>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</si>
  <si>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</si>
  <si>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</si>
  <si>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</si>
  <si>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</si>
  <si>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</si>
  <si>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</si>
  <si>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</si>
  <si>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</si>
  <si>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</si>
  <si>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</si>
  <si>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</si>
  <si>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</si>
  <si>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</si>
  <si>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</si>
  <si>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</si>
  <si>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</si>
  <si>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</si>
  <si>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</si>
  <si>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</si>
  <si>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</si>
  <si>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</si>
  <si>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</si>
  <si>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</si>
  <si>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</si>
  <si>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</si>
  <si>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</si>
  <si>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</si>
  <si>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</si>
  <si>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</si>
  <si>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</si>
  <si>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</si>
  <si>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</si>
  <si>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</si>
  <si>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</si>
  <si>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</si>
  <si>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</si>
  <si>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</si>
  <si>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</si>
  <si>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</si>
  <si>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</si>
  <si>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</si>
  <si>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</si>
  <si>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</si>
  <si>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</si>
  <si>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</si>
  <si>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</si>
  <si>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</si>
  <si>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</si>
  <si>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</si>
  <si>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</si>
  <si>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</si>
  <si>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</si>
  <si>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</si>
  <si>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</si>
  <si>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</si>
  <si>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</si>
  <si>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</si>
  <si>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</si>
  <si>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</si>
  <si>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</si>
  <si>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</si>
  <si>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</si>
  <si>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</si>
  <si>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</si>
  <si>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</si>
  <si>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</si>
  <si>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</si>
  <si>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</si>
  <si>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</si>
  <si>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</si>
  <si>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</si>
  <si>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</si>
  <si>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</si>
  <si>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</si>
  <si>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</si>
  <si>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</si>
  <si>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</si>
  <si>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</si>
  <si>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</si>
  <si>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</si>
  <si>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</si>
  <si>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</si>
  <si>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</si>
  <si>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</si>
  <si>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</si>
  <si>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</si>
  <si>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</si>
  <si>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</si>
  <si>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</si>
  <si>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</si>
  <si>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</si>
  <si>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</si>
  <si>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</si>
  <si>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</si>
  <si>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</si>
  <si>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</si>
  <si>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</si>
  <si>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</si>
  <si>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</si>
  <si>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</si>
  <si>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</si>
  <si>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</si>
  <si>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</si>
  <si>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</si>
  <si>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</si>
  <si>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</si>
  <si>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</si>
  <si>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</si>
  <si>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</si>
  <si>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</si>
  <si>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</si>
  <si>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</si>
  <si>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</si>
  <si>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</si>
  <si>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</si>
  <si>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</si>
  <si>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</si>
  <si>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</si>
  <si>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</si>
  <si>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</si>
  <si>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</si>
  <si>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</si>
  <si>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</si>
  <si>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</si>
  <si>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</si>
  <si>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</si>
  <si>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</si>
  <si>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</si>
  <si>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</si>
  <si>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</si>
  <si>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</si>
  <si>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</si>
  <si>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</si>
  <si>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</si>
  <si>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</si>
  <si>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</si>
  <si>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</si>
  <si>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</si>
  <si>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</si>
  <si>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</si>
  <si>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</si>
  <si>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</si>
  <si>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</si>
  <si>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</si>
  <si>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</si>
  <si>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</si>
  <si>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</si>
  <si>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</si>
  <si>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</si>
  <si>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</si>
  <si>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</si>
  <si>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</si>
  <si>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</si>
  <si>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</si>
  <si>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</si>
  <si>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</si>
  <si>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</si>
  <si>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</si>
  <si>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</si>
  <si>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</si>
  <si>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</si>
  <si>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</si>
  <si>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</si>
  <si>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</si>
  <si>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</si>
  <si>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</si>
  <si>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</si>
  <si>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</si>
  <si>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</si>
  <si>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</si>
  <si>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</si>
  <si>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</si>
  <si>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</si>
  <si>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</si>
  <si>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</si>
  <si>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</si>
  <si>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</si>
  <si>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</si>
  <si>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</si>
  <si>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</si>
  <si>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</si>
  <si>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</si>
  <si>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</si>
  <si>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</si>
  <si>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</si>
  <si>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</si>
  <si>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</si>
  <si>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</si>
  <si>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</si>
  <si>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</si>
  <si>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</si>
  <si>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</si>
  <si>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</si>
  <si>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</si>
  <si>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</si>
  <si>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</si>
  <si>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</si>
  <si>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</si>
  <si>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</si>
  <si>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</si>
  <si>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</si>
  <si>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</si>
  <si>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</si>
  <si>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</si>
  <si>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</si>
  <si>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</si>
  <si>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</si>
  <si>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</si>
  <si>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</si>
  <si>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</si>
  <si>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</si>
  <si>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</si>
  <si>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</si>
  <si>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</si>
  <si>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</si>
  <si>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</si>
  <si>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</si>
  <si>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</si>
  <si>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</si>
  <si>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</si>
  <si>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</si>
  <si>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</si>
  <si>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</si>
  <si>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</si>
  <si>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</si>
  <si>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</si>
  <si>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</si>
  <si>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</si>
  <si>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</si>
  <si>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</si>
  <si>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</si>
  <si>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</si>
  <si>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</si>
  <si>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</si>
  <si>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</si>
  <si>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</si>
  <si>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</si>
  <si>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</si>
  <si>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</si>
  <si>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</si>
  <si>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</si>
  <si>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</si>
  <si>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</si>
  <si>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</si>
  <si>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</si>
  <si>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</si>
  <si>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</si>
  <si>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</si>
  <si>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</si>
  <si>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</si>
  <si>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</si>
  <si>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</si>
  <si>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</si>
  <si>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</si>
  <si>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</si>
  <si>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</si>
  <si>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</si>
  <si>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</si>
  <si>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</si>
  <si>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</si>
  <si>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</si>
  <si>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</si>
  <si>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</si>
  <si>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</si>
  <si>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</si>
  <si>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</si>
  <si>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</si>
  <si>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</si>
  <si>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</si>
  <si>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</si>
  <si>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</si>
  <si>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</si>
  <si>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</si>
  <si>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</si>
  <si>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</si>
  <si>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</si>
  <si>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</si>
  <si>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</si>
  <si>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</si>
  <si>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</si>
  <si>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</si>
  <si>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</si>
  <si>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</si>
  <si>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</si>
  <si>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</si>
  <si>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</si>
  <si>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</si>
  <si>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</si>
  <si>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</si>
  <si>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</si>
  <si>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</si>
  <si>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</si>
  <si>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</si>
  <si>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</si>
  <si>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</si>
  <si>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</si>
  <si>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</si>
  <si>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</si>
  <si>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</si>
  <si>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</si>
  <si>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</si>
  <si>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</si>
  <si>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</si>
  <si>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</si>
  <si>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</si>
  <si>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</si>
  <si>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</si>
  <si>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</si>
  <si>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</si>
  <si>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</si>
  <si>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</si>
  <si>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</si>
  <si>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</si>
  <si>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</si>
  <si>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</si>
  <si>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</si>
  <si>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</si>
  <si>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</si>
  <si>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</si>
  <si>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</si>
  <si>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</si>
  <si>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</si>
  <si>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</si>
  <si>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</si>
  <si>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</si>
  <si>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</si>
  <si>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</si>
  <si>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</si>
  <si>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</si>
  <si>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</si>
  <si>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</si>
  <si>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</si>
  <si>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</si>
  <si>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</si>
  <si>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</si>
  <si>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</si>
  <si>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</si>
  <si>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</si>
  <si>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</si>
  <si>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</si>
  <si>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</si>
  <si>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</si>
  <si>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</si>
  <si>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</si>
  <si>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</si>
  <si>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</si>
  <si>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</si>
  <si>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</si>
  <si>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</si>
  <si>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</si>
  <si>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</si>
  <si>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</si>
  <si>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</si>
  <si>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</si>
  <si>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</si>
  <si>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</si>
  <si>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</si>
  <si>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</si>
  <si>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</si>
  <si>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</si>
  <si>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</si>
  <si>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</si>
  <si>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</si>
  <si>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</si>
  <si>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</si>
  <si>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</si>
  <si>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</si>
  <si>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</si>
  <si>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</si>
  <si>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</si>
  <si>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</si>
  <si>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</si>
  <si>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</si>
  <si>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</si>
  <si>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</si>
  <si>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</si>
  <si>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</si>
  <si>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</si>
  <si>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</si>
  <si>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</si>
  <si>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</si>
  <si>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</si>
  <si>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</si>
  <si>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</si>
  <si>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</si>
  <si>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</si>
  <si>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</si>
  <si>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</si>
  <si>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</si>
  <si>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</si>
  <si>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</si>
  <si>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</si>
  <si>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</si>
  <si>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</si>
  <si>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</si>
  <si>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</si>
  <si>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</si>
  <si>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</si>
  <si>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</si>
  <si>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</si>
  <si>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</si>
  <si>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</si>
  <si>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</si>
  <si>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</si>
  <si>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</si>
  <si>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</si>
  <si>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</si>
  <si>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</si>
  <si>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</si>
  <si>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</si>
  <si>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</si>
  <si>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</si>
  <si>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</si>
  <si>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</si>
  <si>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</si>
  <si>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</si>
  <si>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</si>
  <si>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</si>
  <si>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</si>
  <si>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</si>
  <si>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</si>
  <si>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</si>
  <si>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</si>
  <si>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</si>
  <si>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</si>
  <si>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</si>
  <si>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</si>
  <si>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</si>
  <si>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</si>
  <si>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</si>
  <si>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</si>
  <si>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</si>
  <si>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</si>
  <si>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</si>
  <si>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</si>
  <si>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</si>
  <si>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</si>
  <si>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</si>
  <si>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</si>
  <si>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</si>
  <si>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</si>
  <si>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</si>
  <si>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</si>
  <si>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</si>
  <si>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</si>
  <si>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</si>
  <si>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</si>
  <si>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</si>
  <si>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</si>
  <si>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</si>
  <si>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</si>
  <si>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</si>
  <si>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</si>
  <si>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</si>
  <si>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</si>
  <si>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</si>
  <si>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</si>
  <si>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</si>
  <si>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</si>
  <si>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</si>
  <si>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</si>
  <si>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</si>
  <si>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</si>
  <si>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</si>
  <si>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</si>
  <si>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</si>
  <si>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</si>
  <si>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</si>
  <si>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</si>
  <si>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</si>
  <si>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</si>
  <si>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</si>
  <si>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</si>
  <si>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</si>
  <si>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</si>
  <si>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</si>
  <si>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</si>
  <si>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</si>
  <si>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</si>
  <si>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</si>
  <si>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</si>
  <si>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</si>
  <si>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</si>
  <si>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</si>
  <si>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</si>
  <si>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</si>
  <si>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</si>
  <si>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</si>
  <si>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</si>
  <si>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</si>
  <si>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</si>
  <si>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</si>
  <si>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</si>
  <si>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</si>
  <si>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</si>
  <si>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</si>
  <si>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</si>
  <si>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</si>
  <si>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</si>
  <si>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</si>
  <si>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</si>
  <si>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</si>
  <si>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</si>
  <si>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</si>
  <si>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</si>
  <si>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</si>
  <si>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</si>
  <si>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</si>
  <si>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</si>
  <si>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</si>
  <si>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</si>
  <si>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</si>
  <si>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</si>
  <si>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</si>
  <si>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</si>
  <si>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</si>
  <si>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</si>
  <si>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</si>
  <si>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</si>
  <si>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</si>
  <si>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</si>
  <si>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</si>
  <si>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</si>
  <si>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</si>
  <si>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</si>
  <si>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</si>
  <si>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</si>
  <si>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</si>
  <si>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</si>
  <si>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</si>
  <si>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</si>
  <si>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</si>
  <si>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</si>
  <si>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</si>
  <si>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</si>
  <si>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</si>
  <si>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</si>
  <si>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</si>
  <si>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</si>
  <si>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</si>
  <si>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</si>
  <si>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</si>
  <si>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</si>
  <si>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</si>
  <si>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</si>
  <si>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</si>
  <si>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</si>
  <si>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</si>
  <si>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</si>
  <si>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</si>
  <si>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</si>
  <si>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</si>
  <si>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</si>
  <si>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</si>
  <si>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</si>
  <si>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</si>
  <si>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</si>
  <si>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</si>
  <si>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</si>
  <si>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</si>
  <si>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</si>
  <si>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</si>
  <si>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</si>
  <si>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</si>
  <si>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</si>
  <si>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</si>
  <si>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</si>
  <si>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</si>
  <si>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</si>
  <si>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</si>
  <si>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</si>
  <si>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</si>
  <si>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</si>
  <si>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</si>
  <si>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</si>
  <si>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</si>
  <si>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</si>
  <si>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</si>
  <si>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</si>
  <si>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</si>
  <si>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</si>
  <si>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</si>
  <si>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</si>
  <si>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</si>
  <si>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</si>
  <si>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</si>
  <si>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</si>
  <si>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</si>
  <si>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</si>
  <si>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</si>
  <si>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</si>
  <si>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</si>
  <si>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</si>
  <si>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</si>
  <si>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</si>
  <si>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</si>
  <si>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</si>
  <si>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</si>
  <si>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</si>
  <si>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</si>
  <si>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</si>
  <si>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</si>
  <si>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</si>
  <si>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</si>
  <si>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</si>
  <si>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</si>
  <si>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</si>
  <si>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</si>
  <si>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</si>
  <si>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</si>
  <si>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</si>
  <si>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</si>
  <si>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</si>
  <si>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</si>
  <si>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</si>
  <si>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</si>
  <si>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</si>
  <si>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</si>
  <si>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</si>
  <si>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</si>
  <si>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</si>
  <si>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</si>
  <si>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</si>
  <si>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</si>
  <si>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</si>
  <si>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</si>
  <si>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</si>
  <si>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</si>
  <si>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</si>
  <si>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</si>
  <si>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</si>
  <si>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</si>
  <si>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</si>
  <si>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</si>
  <si>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</si>
  <si>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</si>
  <si>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</si>
  <si>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</si>
  <si>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</si>
  <si>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</si>
  <si>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</si>
  <si>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</si>
  <si>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</si>
  <si>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</si>
  <si>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</si>
  <si>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</si>
  <si>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</si>
  <si>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</si>
  <si>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</si>
  <si>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</si>
  <si>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</si>
  <si>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</si>
  <si>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</si>
  <si>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</si>
  <si>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</si>
  <si>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</si>
  <si>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</si>
  <si>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</si>
  <si>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</si>
  <si>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</si>
  <si>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</si>
  <si>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</si>
  <si>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</si>
  <si>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</si>
  <si>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</si>
  <si>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</si>
  <si>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</si>
  <si>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</si>
  <si>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</si>
  <si>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</si>
  <si>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</si>
  <si>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</si>
  <si>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</si>
  <si>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</si>
  <si>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</si>
  <si>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</si>
  <si>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</si>
  <si>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</si>
  <si>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</si>
  <si>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</si>
  <si>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</si>
  <si>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</si>
  <si>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</si>
  <si>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</si>
  <si>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</si>
  <si>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</si>
  <si>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</si>
  <si>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</si>
  <si>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</si>
  <si>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</si>
  <si>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</si>
  <si>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</si>
  <si>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</si>
  <si>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</si>
  <si>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</si>
  <si>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</si>
  <si>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</si>
  <si>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</si>
  <si>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</si>
  <si>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</si>
  <si>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</si>
  <si>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</si>
  <si>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</si>
  <si>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</si>
  <si>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</si>
  <si>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</si>
  <si>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</si>
  <si>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</si>
  <si>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</si>
  <si>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</si>
  <si>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</si>
  <si>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</si>
  <si>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</si>
  <si>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</si>
  <si>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</si>
  <si>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</si>
  <si>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</si>
  <si>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14 map (anc)</t>
  </si>
  <si>
    <t>16 map (inf)</t>
  </si>
  <si>
    <t>17 map (nuke)</t>
  </si>
  <si>
    <t>INFERNO (1/1/0)</t>
  </si>
  <si>
    <t>10, 10, 10, 9, def - lose</t>
  </si>
  <si>
    <t>10, 10, 10, def, def - lose</t>
  </si>
  <si>
    <t>23.02.2026</t>
  </si>
  <si>
    <t>3 map (pos)</t>
  </si>
  <si>
    <t>POSEIDON (1)</t>
  </si>
  <si>
    <t>4 map (san)</t>
  </si>
  <si>
    <t>6 map (over)</t>
  </si>
  <si>
    <t>OVERPASS (2)</t>
  </si>
  <si>
    <t>8 map (nuke)</t>
  </si>
  <si>
    <t>SANCTUM (1)</t>
  </si>
  <si>
    <t>rooftop (1)</t>
  </si>
  <si>
    <t>3 map (dust)</t>
  </si>
  <si>
    <t>28.02.2026</t>
  </si>
  <si>
    <t>TRAIN (1/2/0)</t>
  </si>
  <si>
    <t>DUST (3/1/0)</t>
  </si>
  <si>
    <t>ANCIENT (1/2/0)</t>
  </si>
  <si>
    <t>6 map (dust)</t>
  </si>
  <si>
    <t>NUKE (1/0/0)</t>
  </si>
  <si>
    <t>22 map (train)</t>
  </si>
  <si>
    <t>26 map (anc)</t>
  </si>
  <si>
    <t>10 map (vert)</t>
  </si>
  <si>
    <t>07.03.2026</t>
  </si>
  <si>
    <t>28 map (off)</t>
  </si>
  <si>
    <t>29 map (inf)</t>
  </si>
  <si>
    <t>30 map (vert)</t>
  </si>
  <si>
    <t>31 map (off)</t>
  </si>
  <si>
    <t>10 map (dust)</t>
  </si>
  <si>
    <t>11 map (dust)</t>
  </si>
  <si>
    <t>13 map (nuke)</t>
  </si>
  <si>
    <t>15 map (mir)</t>
  </si>
  <si>
    <t>OFFICE (1/4/0)</t>
  </si>
  <si>
    <t>12.03.2026</t>
  </si>
  <si>
    <t>11 map (vert)</t>
  </si>
  <si>
    <t>vertigo (3)</t>
  </si>
  <si>
    <t>12 map (nuke)</t>
  </si>
  <si>
    <t>nuke (3)</t>
  </si>
  <si>
    <t>09.03.2026</t>
  </si>
  <si>
    <t>32 map (off)</t>
  </si>
  <si>
    <t>36 map (over)</t>
  </si>
  <si>
    <t>37 map (over)</t>
  </si>
  <si>
    <t>16 map (dust)</t>
  </si>
  <si>
    <t>17 map (dust)</t>
  </si>
  <si>
    <t>20 map (mir)</t>
  </si>
  <si>
    <t>22 map (nuke)</t>
  </si>
  <si>
    <t>24 map (anc)</t>
  </si>
  <si>
    <t>9, 9, 7, 4, 9 lose</t>
  </si>
  <si>
    <t>10, 10, 10, 4, 4 lose</t>
  </si>
  <si>
    <t>10, 9, 7, 9, 10 lose</t>
  </si>
  <si>
    <t>14.03.2026</t>
  </si>
  <si>
    <t>27 map (anc)</t>
  </si>
  <si>
    <t>21.03.2026</t>
  </si>
  <si>
    <t>29 map (mir)</t>
  </si>
  <si>
    <t>30 map (inf)</t>
  </si>
  <si>
    <t>31 map (dust)</t>
  </si>
  <si>
    <t>32 map (nuke)</t>
  </si>
  <si>
    <t>33 map (anu)</t>
  </si>
  <si>
    <t>9, 6, 8, 7, 6 win</t>
  </si>
  <si>
    <t>28.03.2026</t>
  </si>
  <si>
    <t>34 map (nuke)</t>
  </si>
  <si>
    <t>OVERPASS (0/2/0)</t>
  </si>
  <si>
    <t>29.03.2026</t>
  </si>
  <si>
    <t>40 map (anc)</t>
  </si>
  <si>
    <t>42 map (inf)</t>
  </si>
  <si>
    <t>43 map (mir)</t>
  </si>
  <si>
    <t>10, 5, 10, 9, def lose</t>
  </si>
  <si>
    <t>04.04.2026</t>
  </si>
  <si>
    <t>38 map (inf)</t>
  </si>
  <si>
    <t>INFERNO (3/2/0)</t>
  </si>
  <si>
    <t>39 map (over)</t>
  </si>
  <si>
    <t>OVERPASS (4/2/1)</t>
  </si>
  <si>
    <t>NUKE (5/1/0)</t>
  </si>
  <si>
    <t>41 map (mir)</t>
  </si>
  <si>
    <t>MIRAGE (2/2/0)</t>
  </si>
  <si>
    <t>09.04.2026</t>
  </si>
  <si>
    <t>43 map (vert)</t>
  </si>
  <si>
    <t>VERTIGO (2/3/0)</t>
  </si>
  <si>
    <t>45 map (mir)</t>
  </si>
  <si>
    <t>46 map (dust)</t>
  </si>
  <si>
    <t>47 map (mir)</t>
  </si>
  <si>
    <t>48 map (anu)</t>
  </si>
  <si>
    <t>ANUBIS (1/0/1)</t>
  </si>
  <si>
    <t>49 map (dust)</t>
  </si>
  <si>
    <t>50 map (dust)</t>
  </si>
  <si>
    <t>51 map (anc)</t>
  </si>
  <si>
    <t>52 map (nuke)</t>
  </si>
  <si>
    <t>53 map (dust)</t>
  </si>
  <si>
    <t>55 map (inf)</t>
  </si>
  <si>
    <t>57 map (dust)</t>
  </si>
  <si>
    <t>8, 10, 10, 10, 6 - lose</t>
  </si>
  <si>
    <t>10, 4, 8, 10, 4 - win</t>
  </si>
  <si>
    <t>8, 10, 9, 8, 8 - lose</t>
  </si>
  <si>
    <t>15.04.2026</t>
  </si>
  <si>
    <t>inferno (2)</t>
  </si>
  <si>
    <t>11.04.2026</t>
  </si>
  <si>
    <t>INFERNO (6/4/0)</t>
  </si>
  <si>
    <t>59 map (nuke)</t>
  </si>
  <si>
    <t>MIRAGE (7/9/0)</t>
  </si>
  <si>
    <t>NUKE (6/3/0)</t>
  </si>
  <si>
    <t>64 map (anc)</t>
  </si>
  <si>
    <t>ANCIENT (3/3/0)</t>
  </si>
  <si>
    <t>DUST (10/9/1)</t>
  </si>
  <si>
    <t>7, 8, 6, 7, 7 - 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</si>
</sst>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5829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4" fillId="0" borderId="0" xfId="0" applyFont="1" applyAlignment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4" fillId="7" borderId="0" xfId="0" applyFont="1" applyFill="1" applyAlignment="1">
      <alignment horizontal="center"/>
    </xf>
    <xf numFmtId="0" fontId="23" fillId="14" borderId="0" xfId="1" applyAlignment="1">
      <alignment horizontal="center"/>
    </xf>
    <xf numFmtId="0" fontId="25" fillId="16" borderId="0" xfId="4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/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5778" t="s">
        <v>0</v>
      </c>
      <c r="C1" s="5779"/>
      <c r="D1" s="5780" t="s">
        <v>1</v>
      </c>
      <c r="E1" s="5779"/>
      <c r="F1" s="5781" t="s">
        <v>177</v>
      </c>
      <c r="G1" s="5779"/>
      <c r="H1" s="5778" t="s">
        <v>174</v>
      </c>
      <c r="I1" s="5779"/>
      <c r="J1" s="5780" t="s">
        <v>175</v>
      </c>
      <c r="K1" s="5779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5782" t="str">
        <f>"Mirage"&amp;" "&amp;H5/SUM(H5:I5)*100</f>
        <v>Mirage 25</v>
      </c>
      <c r="I3" s="5783"/>
      <c r="J3" s="5782" t="str">
        <f>"Inferno"&amp;" "&amp;ROUND(J5/SUM(J5:K5)*100,0)</f>
        <v>Inferno 40</v>
      </c>
      <c r="K3" s="5783"/>
      <c r="L3" s="5782" t="str">
        <f>"Overpass"&amp;" "&amp;ROUND(L5/SUM(L5:M5)*100,0)</f>
        <v>Overpass 67</v>
      </c>
      <c r="M3" s="5783"/>
      <c r="N3" s="5782" t="str">
        <f>"Vertigo"&amp;" "&amp;ROUND(N5/SUM(N5:O5)*100,0)</f>
        <v>Vertigo 80</v>
      </c>
      <c r="O3" s="5783"/>
      <c r="P3" s="5782" t="str">
        <f>"Ancient"&amp;" "&amp;ROUND(P5/SUM(P5:Q5)*100,0)</f>
        <v>Ancient 50</v>
      </c>
      <c r="Q3" s="5783"/>
      <c r="R3" s="5782" t="str">
        <f>"Anubis"&amp;" "&amp;ROUND(R5/SUM(R5:S5)*100,0)</f>
        <v>Anubis 67</v>
      </c>
      <c r="S3" s="5783"/>
      <c r="T3" s="5782" t="str">
        <f>"Dust II"&amp;" "&amp;ROUND(T5/SUM(T5:U5)*100,0)</f>
        <v>Dust II 100</v>
      </c>
      <c r="U3" s="5783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5782" t="s">
        <v>206</v>
      </c>
      <c r="I7" s="5783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5782" t="s">
        <v>373</v>
      </c>
      <c r="G3" s="5783"/>
      <c r="H3" s="5783"/>
      <c r="I3" s="5782" t="s">
        <v>374</v>
      </c>
      <c r="J3" s="5783"/>
      <c r="K3" s="5783"/>
      <c r="L3" s="5782" t="s">
        <v>375</v>
      </c>
      <c r="M3" s="5783"/>
      <c r="N3" s="5783"/>
      <c r="O3" s="5782" t="s">
        <v>376</v>
      </c>
      <c r="P3" s="5783"/>
      <c r="Q3" s="5783"/>
      <c r="R3" s="5782" t="s">
        <v>377</v>
      </c>
      <c r="S3" s="5783"/>
      <c r="T3" s="5782" t="s">
        <v>378</v>
      </c>
      <c r="U3" s="5783"/>
      <c r="V3" s="5782" t="s">
        <v>379</v>
      </c>
      <c r="W3" s="5783"/>
      <c r="X3" s="5783"/>
      <c r="Y3" s="5782" t="s">
        <v>380</v>
      </c>
      <c r="Z3" s="5783"/>
      <c r="AA3" s="5783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5778" t="s">
        <v>641</v>
      </c>
      <c r="B1" s="5787"/>
      <c r="C1" s="5787"/>
      <c r="D1" s="5779"/>
      <c r="E1" s="5780" t="s">
        <v>642</v>
      </c>
      <c r="F1" s="5787"/>
      <c r="G1" s="5787"/>
      <c r="H1" s="5787"/>
      <c r="I1" s="5787"/>
      <c r="J1" s="5779"/>
      <c r="K1" s="5781" t="s">
        <v>643</v>
      </c>
      <c r="L1" s="5787"/>
      <c r="M1" s="5787"/>
      <c r="N1" s="5779"/>
      <c r="O1" s="5788" t="s">
        <v>644</v>
      </c>
      <c r="P1" s="5789"/>
      <c r="Q1" s="5789"/>
      <c r="R1" s="5789"/>
      <c r="S1" s="5790"/>
      <c r="T1" s="5791" t="s">
        <v>645</v>
      </c>
      <c r="U1" s="5792"/>
      <c r="V1" s="5792"/>
      <c r="W1" s="5792"/>
      <c r="X1" s="5793"/>
      <c r="Y1" s="5794" t="s">
        <v>646</v>
      </c>
      <c r="Z1" s="5795"/>
      <c r="AA1" s="5795"/>
      <c r="AB1" s="5796"/>
      <c r="AC1" s="5797" t="s">
        <v>647</v>
      </c>
      <c r="AD1" s="5787"/>
      <c r="AE1" s="5787"/>
      <c r="AF1" s="5787"/>
      <c r="AG1" s="5779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5782" t="s">
        <v>651</v>
      </c>
      <c r="B8" s="5783"/>
      <c r="C8" s="5783"/>
      <c r="D8" s="5783"/>
      <c r="E8" s="5783"/>
      <c r="F8" s="5783"/>
      <c r="G8" s="5783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5784" t="s">
        <v>710</v>
      </c>
      <c r="C20" s="5785"/>
      <c r="D20" s="5785"/>
      <c r="E20" s="5785"/>
      <c r="F20" s="5785"/>
      <c r="G20" s="5785"/>
      <c r="H20" s="5786"/>
    </row>
    <row r="21" spans="1:13" ht="15.75" customHeight="1" x14ac:dyDescent="0.25"/>
    <row r="22" spans="1:13" ht="15.75" customHeight="1" x14ac:dyDescent="0.25">
      <c r="A22" s="5784" t="s">
        <v>711</v>
      </c>
      <c r="B22" s="5785"/>
      <c r="C22" s="5786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5802" t="s">
        <v>1293</v>
      </c>
      <c r="I3" s="5803"/>
      <c r="J3" s="5803"/>
      <c r="K3" s="5803"/>
      <c r="L3" s="5800" t="s">
        <v>1322</v>
      </c>
      <c r="M3" s="5804"/>
      <c r="N3" s="5804"/>
      <c r="O3" s="5804"/>
      <c r="P3" s="5801" t="s">
        <v>944</v>
      </c>
      <c r="Q3" s="5805"/>
      <c r="R3" s="5805"/>
      <c r="S3" s="5805"/>
      <c r="T3" s="5806" t="s">
        <v>941</v>
      </c>
      <c r="U3" s="5783"/>
      <c r="V3" s="5783"/>
      <c r="W3" s="5783"/>
      <c r="X3" s="5807" t="s">
        <v>1324</v>
      </c>
      <c r="Y3" s="5783"/>
      <c r="Z3" s="5783"/>
      <c r="AA3" s="5783"/>
      <c r="AB3" s="5799" t="s">
        <v>1289</v>
      </c>
      <c r="AC3" s="5783"/>
      <c r="AD3" s="5783"/>
      <c r="AE3" s="5783"/>
      <c r="AF3" s="5801" t="s">
        <v>1029</v>
      </c>
      <c r="AG3" s="5801"/>
      <c r="AH3" s="5801"/>
      <c r="AI3" s="5801"/>
      <c r="AJ3" s="5801" t="s">
        <v>1030</v>
      </c>
      <c r="AK3" s="5801"/>
      <c r="AL3" s="5801"/>
      <c r="AM3" s="5801"/>
      <c r="AN3" s="5800" t="s">
        <v>1231</v>
      </c>
      <c r="AO3" s="5800"/>
      <c r="AP3" s="5800"/>
      <c r="AQ3" s="5800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5798">
        <f>AVERAGE(H4:I4)</f>
        <v>1.0193362533692722</v>
      </c>
      <c r="I5" s="5798"/>
      <c r="J5" s="5798"/>
      <c r="K5" s="5798"/>
      <c r="L5" s="5798">
        <f>AVERAGE(L4:M4)</f>
        <v>1.0659129143988122</v>
      </c>
      <c r="M5" s="5798"/>
      <c r="N5" s="5798"/>
      <c r="O5" s="5798"/>
      <c r="P5" s="5798">
        <f>AVERAGE(P4:Q4)</f>
        <v>0.92159926470588238</v>
      </c>
      <c r="Q5" s="5798"/>
      <c r="R5" s="5798"/>
      <c r="S5" s="5798"/>
      <c r="T5" s="5798">
        <f>AVERAGE(T4:U4)</f>
        <v>1.1372058823529412</v>
      </c>
      <c r="U5" s="5798"/>
      <c r="V5" s="5798"/>
      <c r="W5" s="5798"/>
      <c r="X5" s="5798">
        <f>AVERAGE(X4:Y4)</f>
        <v>1.1944506048387096</v>
      </c>
      <c r="Y5" s="5798"/>
      <c r="Z5" s="5798"/>
      <c r="AA5" s="5798"/>
      <c r="AB5" s="5798">
        <f>AVERAGE(AB4:AC4)</f>
        <v>1.0036596218020022</v>
      </c>
      <c r="AC5" s="5798"/>
      <c r="AD5" s="5798"/>
      <c r="AE5" s="5798"/>
      <c r="AF5" s="5798">
        <f>AVERAGE(AF4:AG4)</f>
        <v>0.74166666666666659</v>
      </c>
      <c r="AG5" s="5798"/>
      <c r="AH5" s="5798"/>
      <c r="AI5" s="5798"/>
      <c r="AJ5" s="5798">
        <f>AVERAGE(AJ4:AK4)</f>
        <v>0.75</v>
      </c>
      <c r="AK5" s="5798"/>
      <c r="AL5" s="5798"/>
      <c r="AM5" s="5798"/>
      <c r="AN5" s="5798">
        <f>AVERAGE(AN4:AO4)</f>
        <v>1.4249999999999998</v>
      </c>
      <c r="AO5" s="5798"/>
      <c r="AP5" s="5798"/>
      <c r="AQ5" s="5798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topLeftCell="BX1" zoomScale="80" workbookViewId="0">
      <pane ySplit="1" topLeftCell="A2" activePane="bottomLeft" state="frozen"/>
      <selection pane="bottomLeft" activeCell="CJ1" sqref="CJ1:CO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810" t="s">
        <v>1340</v>
      </c>
      <c r="CK1" s="5810"/>
      <c r="CL1" s="5810"/>
      <c r="CM1" s="5810"/>
      <c r="CN1" s="5810"/>
      <c r="CO1" s="5810"/>
      <c r="CP1" s="5806" t="s">
        <v>1332</v>
      </c>
      <c r="CQ1" s="5806"/>
      <c r="CR1" s="5806"/>
      <c r="CS1" s="5806"/>
      <c r="CT1" s="5806"/>
      <c r="CU1" s="5806"/>
      <c r="CV1" s="5799" t="s">
        <v>1306</v>
      </c>
      <c r="CW1" s="5799"/>
      <c r="CX1" s="5799"/>
      <c r="CY1" s="5799"/>
      <c r="CZ1" s="5799"/>
      <c r="DA1" s="5799"/>
      <c r="DB1" s="5809" t="s">
        <v>1272</v>
      </c>
      <c r="DC1" s="5809"/>
      <c r="DD1" s="5809"/>
      <c r="DE1" s="5809"/>
      <c r="DF1" s="5809"/>
      <c r="DG1" s="5809"/>
      <c r="DH1" s="5799" t="s">
        <v>1333</v>
      </c>
      <c r="DI1" s="5799"/>
      <c r="DJ1" s="5799"/>
      <c r="DK1" s="5799"/>
      <c r="DL1" s="5799"/>
      <c r="DM1" s="5799"/>
      <c r="DN1" s="5806" t="s">
        <v>997</v>
      </c>
      <c r="DO1" s="5806"/>
      <c r="DP1" s="5806"/>
      <c r="DQ1" s="5806"/>
      <c r="DR1" s="5806"/>
      <c r="DS1" s="5806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5782">
        <f>_xlfn.AGGREGATE(1,6,CJ2:CO2)</f>
        <v>1.0302314814814812</v>
      </c>
      <c r="CK3" s="5782"/>
      <c r="CL3" s="5782"/>
      <c r="CM3" s="5782"/>
      <c r="CN3" s="5782"/>
      <c r="CO3" s="5782"/>
      <c r="CP3" s="5782">
        <f t="shared" ref="CP3" si="6">_xlfn.AGGREGATE(1,6,CP2:CU2)</f>
        <v>1.1007646356033451</v>
      </c>
      <c r="CQ3" s="5782"/>
      <c r="CR3" s="5782"/>
      <c r="CS3" s="5782"/>
      <c r="CT3" s="5782"/>
      <c r="CU3" s="5782"/>
      <c r="CV3" s="5782">
        <f t="shared" ref="CV3" si="7">_xlfn.AGGREGATE(1,6,CV2:DA2)</f>
        <v>1.0716666666666665</v>
      </c>
      <c r="CW3" s="5782"/>
      <c r="CX3" s="5782"/>
      <c r="CY3" s="5782"/>
      <c r="CZ3" s="5782"/>
      <c r="DA3" s="5782"/>
      <c r="DB3" s="5782">
        <f t="shared" ref="DB3" si="8">_xlfn.AGGREGATE(1,6,DB2:DG2)</f>
        <v>1.1828888888888889</v>
      </c>
      <c r="DC3" s="5782"/>
      <c r="DD3" s="5782"/>
      <c r="DE3" s="5782"/>
      <c r="DF3" s="5782"/>
      <c r="DG3" s="5782"/>
      <c r="DH3" s="5782">
        <f t="shared" ref="DH3" si="9">_xlfn.AGGREGATE(1,6,DH2:DM2)</f>
        <v>1.1250000000000002</v>
      </c>
      <c r="DI3" s="5782"/>
      <c r="DJ3" s="5782"/>
      <c r="DK3" s="5782"/>
      <c r="DL3" s="5782"/>
      <c r="DM3" s="5782"/>
      <c r="DN3" s="5782" t="e">
        <f t="shared" ref="DN3" si="10">_xlfn.AGGREGATE(1,6,DN2:DS2)</f>
        <v>#DIV/0!</v>
      </c>
      <c r="DO3" s="5782"/>
      <c r="DP3" s="5782"/>
      <c r="DQ3" s="5782"/>
      <c r="DR3" s="5782"/>
      <c r="DS3" s="5782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5799" t="s">
        <v>1303</v>
      </c>
      <c r="CK4" s="5799"/>
      <c r="CL4" s="5799"/>
      <c r="CM4" s="5799"/>
      <c r="CN4" s="5799"/>
      <c r="CO4" s="5799"/>
      <c r="CP4" s="5808" t="s">
        <v>993</v>
      </c>
      <c r="CQ4" s="5808"/>
      <c r="CR4" s="5808"/>
      <c r="CS4" s="5808"/>
      <c r="CT4" s="5808"/>
      <c r="CU4" s="5808"/>
      <c r="CV4" s="5806" t="s">
        <v>994</v>
      </c>
      <c r="CW4" s="5806"/>
      <c r="CX4" s="5806"/>
      <c r="CY4" s="5806"/>
      <c r="CZ4" s="5806"/>
      <c r="DA4" s="5806"/>
      <c r="DB4" s="5799" t="s">
        <v>995</v>
      </c>
      <c r="DC4" s="5799"/>
      <c r="DD4" s="5799"/>
      <c r="DE4" s="5799"/>
      <c r="DF4" s="5799"/>
      <c r="DG4" s="5799"/>
      <c r="DH4" s="5806" t="s">
        <v>996</v>
      </c>
      <c r="DI4" s="5806"/>
      <c r="DJ4" s="5806"/>
      <c r="DK4" s="5806"/>
      <c r="DL4" s="5806"/>
      <c r="DM4" s="5806"/>
      <c r="DN4" s="5809" t="s">
        <v>1308</v>
      </c>
      <c r="DO4" s="5809"/>
      <c r="DP4" s="5809"/>
      <c r="DQ4" s="5809"/>
      <c r="DR4" s="5809"/>
      <c r="DS4" s="5809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5782">
        <f>_xlfn.AGGREGATE(1,6,CJ5:CO5)</f>
        <v>1.098888888888889</v>
      </c>
      <c r="CK6" s="5782"/>
      <c r="CL6" s="5782"/>
      <c r="CM6" s="5782"/>
      <c r="CN6" s="5782"/>
      <c r="CO6" s="5782"/>
      <c r="CP6" s="5782" t="e">
        <f t="shared" ref="CP6" si="17">_xlfn.AGGREGATE(1,6,CP5:CU5)</f>
        <v>#DIV/0!</v>
      </c>
      <c r="CQ6" s="5782"/>
      <c r="CR6" s="5782"/>
      <c r="CS6" s="5782"/>
      <c r="CT6" s="5782"/>
      <c r="CU6" s="5782"/>
      <c r="CV6" s="5782" t="e">
        <f t="shared" ref="CV6" si="18">_xlfn.AGGREGATE(1,6,CV5:DA5)</f>
        <v>#DIV/0!</v>
      </c>
      <c r="CW6" s="5782"/>
      <c r="CX6" s="5782"/>
      <c r="CY6" s="5782"/>
      <c r="CZ6" s="5782"/>
      <c r="DA6" s="5782"/>
      <c r="DB6" s="5782">
        <f t="shared" ref="DB6" si="19">_xlfn.AGGREGATE(1,6,DB5:DG5)</f>
        <v>1.0416666666666667</v>
      </c>
      <c r="DC6" s="5782"/>
      <c r="DD6" s="5782"/>
      <c r="DE6" s="5782"/>
      <c r="DF6" s="5782"/>
      <c r="DG6" s="5782"/>
      <c r="DH6" s="5782" t="e">
        <f t="shared" ref="DH6" si="20">_xlfn.AGGREGATE(1,6,DH5:DM5)</f>
        <v>#DIV/0!</v>
      </c>
      <c r="DI6" s="5782"/>
      <c r="DJ6" s="5782"/>
      <c r="DK6" s="5782"/>
      <c r="DL6" s="5782"/>
      <c r="DM6" s="5782"/>
      <c r="DN6" s="5782">
        <f t="shared" ref="DN6" si="21">_xlfn.AGGREGATE(1,6,DN5:DS5)</f>
        <v>1.0967878787878786</v>
      </c>
      <c r="DO6" s="5782"/>
      <c r="DP6" s="5782"/>
      <c r="DQ6" s="5782"/>
      <c r="DR6" s="5782"/>
      <c r="DS6" s="5782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I1" zoomScale="85" zoomScaleNormal="85" workbookViewId="0">
      <pane ySplit="1" topLeftCell="A2" activePane="bottomLeft" state="frozen"/>
      <selection pane="bottomLeft" activeCell="CP4" sqref="CP4:CU6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5822" t="s">
        <v>1326</v>
      </c>
      <c r="CK1" s="5818"/>
      <c r="CL1" s="5818"/>
      <c r="CM1" s="5818"/>
      <c r="CN1" s="5818"/>
      <c r="CO1" s="5819"/>
      <c r="CP1" s="5821" t="s">
        <v>1338</v>
      </c>
      <c r="CQ1" s="5815"/>
      <c r="CR1" s="5815"/>
      <c r="CS1" s="5815"/>
      <c r="CT1" s="5815"/>
      <c r="CU1" s="5816"/>
      <c r="CV1" s="5822" t="s">
        <v>1313</v>
      </c>
      <c r="CW1" s="5818"/>
      <c r="CX1" s="5818"/>
      <c r="CY1" s="5818"/>
      <c r="CZ1" s="5818"/>
      <c r="DA1" s="5819"/>
      <c r="DB1" s="5823" t="s">
        <v>1336</v>
      </c>
      <c r="DC1" s="5818"/>
      <c r="DD1" s="5818"/>
      <c r="DE1" s="5818"/>
      <c r="DF1" s="5818"/>
      <c r="DG1" s="5819"/>
      <c r="DH1" s="5824" t="s">
        <v>1282</v>
      </c>
      <c r="DI1" s="5825"/>
      <c r="DJ1" s="5825"/>
      <c r="DK1" s="5825"/>
      <c r="DL1" s="5825"/>
      <c r="DM1" s="5826"/>
      <c r="DN1" s="5821" t="s">
        <v>991</v>
      </c>
      <c r="DO1" s="5815"/>
      <c r="DP1" s="5815"/>
      <c r="DQ1" s="5815"/>
      <c r="DR1" s="5815"/>
      <c r="DS1" s="5816"/>
      <c r="DT1" s="5821" t="s">
        <v>992</v>
      </c>
      <c r="DU1" s="5815"/>
      <c r="DV1" s="5815"/>
      <c r="DW1" s="5815"/>
      <c r="DX1" s="5815"/>
      <c r="DY1" s="5816"/>
      <c r="DZ1" s="5811" t="s">
        <v>1121</v>
      </c>
      <c r="EA1" s="5812"/>
      <c r="EB1" s="5812"/>
      <c r="EC1" s="5812"/>
      <c r="ED1" s="5812"/>
      <c r="EE1" s="5813"/>
      <c r="EF1" s="5811" t="s">
        <v>1178</v>
      </c>
      <c r="EG1" s="5812"/>
      <c r="EH1" s="5812"/>
      <c r="EI1" s="5812"/>
      <c r="EJ1" s="5812"/>
      <c r="EK1" s="5813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5782">
        <f>_xlfn.AGGREGATE(1,3,CJ2:CL2)</f>
        <v>1.2020329670329672</v>
      </c>
      <c r="CK3" s="5783"/>
      <c r="CL3" s="5783"/>
      <c r="CM3" s="5783"/>
      <c r="CN3" s="5783"/>
      <c r="CO3" s="5783"/>
      <c r="CP3" s="5782">
        <f>_xlfn.AGGREGATE(1,3,CP2:CR2)</f>
        <v>1.1494795008912657</v>
      </c>
      <c r="CQ3" s="5783"/>
      <c r="CR3" s="5783"/>
      <c r="CS3" s="5783"/>
      <c r="CT3" s="5783"/>
      <c r="CU3" s="5783"/>
      <c r="CV3" s="5782">
        <f>_xlfn.AGGREGATE(1,3,CV2:CX2)</f>
        <v>1.0901058201058202</v>
      </c>
      <c r="CW3" s="5783"/>
      <c r="CX3" s="5783"/>
      <c r="CY3" s="5783"/>
      <c r="CZ3" s="5783"/>
      <c r="DA3" s="5783"/>
      <c r="DB3" s="5782">
        <f>_xlfn.AGGREGATE(1,3,DB2:DD2)</f>
        <v>1.2281853623958889</v>
      </c>
      <c r="DC3" s="5783"/>
      <c r="DD3" s="5783"/>
      <c r="DE3" s="5783"/>
      <c r="DF3" s="5783"/>
      <c r="DG3" s="5783"/>
      <c r="DH3" s="5782">
        <f>_xlfn.AGGREGATE(1,3,DH2:DJ2)</f>
        <v>1.0894419306184009</v>
      </c>
      <c r="DI3" s="5783"/>
      <c r="DJ3" s="5783"/>
      <c r="DK3" s="5783"/>
      <c r="DL3" s="5783"/>
      <c r="DM3" s="5783"/>
      <c r="DN3" s="5782">
        <f t="shared" ref="DN3" si="9">_xlfn.AGGREGATE(1,6,DN2:DS2)</f>
        <v>1.2135555555555557</v>
      </c>
      <c r="DO3" s="5783"/>
      <c r="DP3" s="5783"/>
      <c r="DQ3" s="5783"/>
      <c r="DR3" s="5783"/>
      <c r="DS3" s="5783"/>
      <c r="DT3" s="5782">
        <f>_xlfn.AGGREGATE(1,3,DT2:DV2)</f>
        <v>1.355</v>
      </c>
      <c r="DU3" s="5783"/>
      <c r="DV3" s="5783"/>
      <c r="DW3" s="5783"/>
      <c r="DX3" s="5783"/>
      <c r="DY3" s="5783"/>
      <c r="DZ3" s="5782">
        <f>_xlfn.AGGREGATE(1,3,DZ2:EB2)</f>
        <v>1.0728333333333335</v>
      </c>
      <c r="EA3" s="5783"/>
      <c r="EB3" s="5783"/>
      <c r="EC3" s="5783"/>
      <c r="ED3" s="5783"/>
      <c r="EE3" s="5783"/>
      <c r="EF3" s="5782">
        <f>_xlfn.AGGREGATE(1,3,EF2:EH2)</f>
        <v>0.94666666666666666</v>
      </c>
      <c r="EG3" s="5783"/>
      <c r="EH3" s="5783"/>
      <c r="EI3" s="5783"/>
      <c r="EJ3" s="5783"/>
      <c r="EK3" s="5783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5814" t="s">
        <v>1330</v>
      </c>
      <c r="CK4" s="5815"/>
      <c r="CL4" s="5815"/>
      <c r="CM4" s="5815"/>
      <c r="CN4" s="5815"/>
      <c r="CO4" s="5816"/>
      <c r="CP4" s="5817" t="s">
        <v>1311</v>
      </c>
      <c r="CQ4" s="5818"/>
      <c r="CR4" s="5818"/>
      <c r="CS4" s="5818"/>
      <c r="CT4" s="5818"/>
      <c r="CU4" s="5819"/>
      <c r="CV4" s="5820" t="s">
        <v>1316</v>
      </c>
      <c r="CW4" s="5815"/>
      <c r="CX4" s="5815"/>
      <c r="CY4" s="5815"/>
      <c r="CZ4" s="5815"/>
      <c r="DA4" s="5816"/>
      <c r="DB4" s="5817" t="s">
        <v>1280</v>
      </c>
      <c r="DC4" s="5818"/>
      <c r="DD4" s="5818"/>
      <c r="DE4" s="5818"/>
      <c r="DF4" s="5818"/>
      <c r="DG4" s="5819"/>
      <c r="DH4" s="5821" t="s">
        <v>946</v>
      </c>
      <c r="DI4" s="5815"/>
      <c r="DJ4" s="5815"/>
      <c r="DK4" s="5815"/>
      <c r="DL4" s="5815"/>
      <c r="DM4" s="5816"/>
      <c r="DN4" s="5811" t="s">
        <v>1191</v>
      </c>
      <c r="DO4" s="5812"/>
      <c r="DP4" s="5812"/>
      <c r="DQ4" s="5812"/>
      <c r="DR4" s="5812"/>
      <c r="DS4" s="5813"/>
      <c r="DT4" s="5821" t="s">
        <v>1328</v>
      </c>
      <c r="DU4" s="5815"/>
      <c r="DV4" s="5815"/>
      <c r="DW4" s="5815"/>
      <c r="DX4" s="5815"/>
      <c r="DY4" s="5816"/>
      <c r="DZ4" s="5811" t="s">
        <v>1205</v>
      </c>
      <c r="EA4" s="5812"/>
      <c r="EB4" s="5812"/>
      <c r="EC4" s="5812"/>
      <c r="ED4" s="5812"/>
      <c r="EE4" s="5813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5782">
        <f>_xlfn.AGGREGATE(1,3,CJ5:CL5)</f>
        <v>1.1417748538011698</v>
      </c>
      <c r="CK6" s="5783"/>
      <c r="CL6" s="5783"/>
      <c r="CM6" s="5783"/>
      <c r="CN6" s="5783"/>
      <c r="CO6" s="5783"/>
      <c r="CP6" s="5782">
        <f>_xlfn.AGGREGATE(1,3,CP5:CR5)</f>
        <v>1.2262257187257186</v>
      </c>
      <c r="CQ6" s="5783"/>
      <c r="CR6" s="5783"/>
      <c r="CS6" s="5783"/>
      <c r="CT6" s="5783"/>
      <c r="CU6" s="5783"/>
      <c r="CV6" s="5782">
        <f>_xlfn.AGGREGATE(1,3,CV5:CX5)</f>
        <v>1.1702931473984102</v>
      </c>
      <c r="CW6" s="5783"/>
      <c r="CX6" s="5783"/>
      <c r="CY6" s="5783"/>
      <c r="CZ6" s="5783"/>
      <c r="DA6" s="5783"/>
      <c r="DB6" s="5782">
        <f>_xlfn.AGGREGATE(1,3,DB5:DD5)</f>
        <v>1.2373106060606061</v>
      </c>
      <c r="DC6" s="5783"/>
      <c r="DD6" s="5783"/>
      <c r="DE6" s="5783"/>
      <c r="DF6" s="5783"/>
      <c r="DG6" s="5783"/>
      <c r="DH6" s="5782">
        <f>_xlfn.AGGREGATE(1,3,DH5:DJ5)</f>
        <v>1.1100000000000001</v>
      </c>
      <c r="DI6" s="5783"/>
      <c r="DJ6" s="5783"/>
      <c r="DK6" s="5783"/>
      <c r="DL6" s="5783"/>
      <c r="DM6" s="5783"/>
      <c r="DN6" s="5782">
        <f>_xlfn.AGGREGATE(1,3,DN5:DP5)</f>
        <v>1.0518518518518516</v>
      </c>
      <c r="DO6" s="5783"/>
      <c r="DP6" s="5783"/>
      <c r="DQ6" s="5783"/>
      <c r="DR6" s="5783"/>
      <c r="DS6" s="5783"/>
      <c r="DT6" s="5782">
        <f>_xlfn.AGGREGATE(1,3,DT5:DV5)</f>
        <v>1.2530952380952383</v>
      </c>
      <c r="DU6" s="5783"/>
      <c r="DV6" s="5783"/>
      <c r="DW6" s="5783"/>
      <c r="DX6" s="5783"/>
      <c r="DY6" s="5783"/>
      <c r="DZ6" s="5782">
        <f>_xlfn.AGGREGATE(1,3,DZ5:EB5)</f>
        <v>0.91333333333333344</v>
      </c>
      <c r="EA6" s="5783"/>
      <c r="EB6" s="5783"/>
      <c r="EC6" s="5783"/>
      <c r="ED6" s="5783"/>
      <c r="EE6" s="5783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810" t="s">
        <v>1100</v>
      </c>
      <c r="CK1" s="5810"/>
      <c r="CL1" s="5810"/>
      <c r="CM1" s="5810"/>
      <c r="CN1" s="5810"/>
      <c r="CO1" s="5810"/>
      <c r="CP1" s="5827" t="s">
        <v>1111</v>
      </c>
      <c r="CQ1" s="5808"/>
      <c r="CR1" s="5808"/>
      <c r="CS1" s="5808"/>
      <c r="CT1" s="5808"/>
      <c r="CU1" s="5808"/>
      <c r="CV1" s="5809" t="s">
        <v>1101</v>
      </c>
      <c r="CW1" s="5809"/>
      <c r="CX1" s="5809"/>
      <c r="CY1" s="5809"/>
      <c r="CZ1" s="5809"/>
      <c r="DA1" s="5809"/>
      <c r="DB1" s="5799" t="s">
        <v>1102</v>
      </c>
      <c r="DC1" s="5799"/>
      <c r="DD1" s="5799"/>
      <c r="DE1" s="5799"/>
      <c r="DF1" s="5799"/>
      <c r="DG1" s="5799"/>
      <c r="DH1" s="5809" t="s">
        <v>1104</v>
      </c>
      <c r="DI1" s="5809"/>
      <c r="DJ1" s="5809"/>
      <c r="DK1" s="5809"/>
      <c r="DL1" s="5809"/>
      <c r="DM1" s="5809"/>
      <c r="DN1" s="5806" t="s">
        <v>997</v>
      </c>
      <c r="DO1" s="5806"/>
      <c r="DP1" s="5806"/>
      <c r="DQ1" s="5806"/>
      <c r="DR1" s="5806"/>
      <c r="DS1" s="5806"/>
      <c r="DT1" s="5806" t="s">
        <v>998</v>
      </c>
      <c r="DU1" s="5806"/>
      <c r="DV1" s="5806"/>
      <c r="DW1" s="5806"/>
      <c r="DX1" s="5806"/>
      <c r="DY1" s="5806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5782" t="e">
        <f>_xlfn.AGGREGATE(1,6,CJ2:CO2)</f>
        <v>#DIV/0!</v>
      </c>
      <c r="CK3" s="5782"/>
      <c r="CL3" s="5782"/>
      <c r="CM3" s="5782"/>
      <c r="CN3" s="5782"/>
      <c r="CO3" s="5782"/>
      <c r="CP3" s="5782">
        <f t="shared" ref="CP3" si="1">_xlfn.AGGREGATE(1,6,CP2:CU2)</f>
        <v>1.4500000000000002</v>
      </c>
      <c r="CQ3" s="5782"/>
      <c r="CR3" s="5782"/>
      <c r="CS3" s="5782"/>
      <c r="CT3" s="5782"/>
      <c r="CU3" s="5782"/>
      <c r="CV3" s="5782" t="e">
        <f t="shared" ref="CV3" si="2">_xlfn.AGGREGATE(1,6,CV2:DA2)</f>
        <v>#DIV/0!</v>
      </c>
      <c r="CW3" s="5782"/>
      <c r="CX3" s="5782"/>
      <c r="CY3" s="5782"/>
      <c r="CZ3" s="5782"/>
      <c r="DA3" s="5782"/>
      <c r="DB3" s="5782" t="e">
        <f t="shared" ref="DB3" si="3">_xlfn.AGGREGATE(1,6,DB2:DG2)</f>
        <v>#DIV/0!</v>
      </c>
      <c r="DC3" s="5782"/>
      <c r="DD3" s="5782"/>
      <c r="DE3" s="5782"/>
      <c r="DF3" s="5782"/>
      <c r="DG3" s="5782"/>
      <c r="DH3" s="5782" t="e">
        <f t="shared" ref="DH3" si="4">_xlfn.AGGREGATE(1,6,DH2:DM2)</f>
        <v>#DIV/0!</v>
      </c>
      <c r="DI3" s="5782"/>
      <c r="DJ3" s="5782"/>
      <c r="DK3" s="5782"/>
      <c r="DL3" s="5782"/>
      <c r="DM3" s="5782"/>
      <c r="DN3" s="5782" t="e">
        <f t="shared" ref="DN3" si="5">_xlfn.AGGREGATE(1,6,DN2:DS2)</f>
        <v>#DIV/0!</v>
      </c>
      <c r="DO3" s="5782"/>
      <c r="DP3" s="5782"/>
      <c r="DQ3" s="5782"/>
      <c r="DR3" s="5782"/>
      <c r="DS3" s="5782"/>
      <c r="DT3" s="5782" t="e">
        <f t="shared" ref="DT3" si="6">_xlfn.AGGREGATE(1,6,DT2:DY2)</f>
        <v>#DIV/0!</v>
      </c>
      <c r="DU3" s="5782"/>
      <c r="DV3" s="5782"/>
      <c r="DW3" s="5782"/>
      <c r="DX3" s="5782"/>
      <c r="DY3" s="5782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5799" t="s">
        <v>1099</v>
      </c>
      <c r="CK4" s="5799"/>
      <c r="CL4" s="5799"/>
      <c r="CM4" s="5799"/>
      <c r="CN4" s="5799"/>
      <c r="CO4" s="5799"/>
      <c r="CP4" s="5808" t="s">
        <v>993</v>
      </c>
      <c r="CQ4" s="5808"/>
      <c r="CR4" s="5808"/>
      <c r="CS4" s="5808"/>
      <c r="CT4" s="5808"/>
      <c r="CU4" s="5808"/>
      <c r="CV4" s="5806" t="s">
        <v>994</v>
      </c>
      <c r="CW4" s="5806"/>
      <c r="CX4" s="5806"/>
      <c r="CY4" s="5806"/>
      <c r="CZ4" s="5806"/>
      <c r="DA4" s="5806"/>
      <c r="DB4" s="5799" t="s">
        <v>1103</v>
      </c>
      <c r="DC4" s="5799"/>
      <c r="DD4" s="5799"/>
      <c r="DE4" s="5799"/>
      <c r="DF4" s="5799"/>
      <c r="DG4" s="5799"/>
      <c r="DH4" s="5806" t="s">
        <v>996</v>
      </c>
      <c r="DI4" s="5806"/>
      <c r="DJ4" s="5806"/>
      <c r="DK4" s="5806"/>
      <c r="DL4" s="5806"/>
      <c r="DM4" s="5806"/>
      <c r="DN4" s="5807" t="s">
        <v>1105</v>
      </c>
      <c r="DO4" s="5806"/>
      <c r="DP4" s="5806"/>
      <c r="DQ4" s="5806"/>
      <c r="DR4" s="5806"/>
      <c r="DS4" s="5806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56"/>
  <sheetViews>
    <sheetView workbookViewId="0">
      <pane ySplit="1" topLeftCell="A28" activePane="bottomLeft" state="frozen"/>
      <selection pane="bottomLeft" activeCell="H46" sqref="H46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810" t="s">
        <v>1377</v>
      </c>
      <c r="CK1" s="5810"/>
      <c r="CL1" s="5810"/>
      <c r="CM1" s="5810"/>
      <c r="CN1" s="5810"/>
      <c r="CO1" s="5810"/>
      <c r="CP1" s="5808" t="s">
        <v>1435</v>
      </c>
      <c r="CQ1" s="5808"/>
      <c r="CR1" s="5808"/>
      <c r="CS1" s="5808"/>
      <c r="CT1" s="5808"/>
      <c r="CU1" s="5808"/>
      <c r="CV1" s="5808" t="s">
        <v>1430</v>
      </c>
      <c r="CW1" s="5808"/>
      <c r="CX1" s="5808"/>
      <c r="CY1" s="5808"/>
      <c r="CZ1" s="5808"/>
      <c r="DA1" s="5808"/>
      <c r="DB1" s="5809" t="s">
        <v>1376</v>
      </c>
      <c r="DC1" s="5809"/>
      <c r="DD1" s="5809"/>
      <c r="DE1" s="5809"/>
      <c r="DF1" s="5809"/>
      <c r="DG1" s="5809"/>
      <c r="DH1" s="5810" t="s">
        <v>1433</v>
      </c>
      <c r="DI1" s="5810"/>
      <c r="DJ1" s="5810"/>
      <c r="DK1" s="5810"/>
      <c r="DL1" s="5810"/>
      <c r="DM1" s="5810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AVERAGE(B4,B7,B20,B30)</f>
        <v>1.2275</v>
      </c>
      <c r="CK2" s="4150">
        <f>AVERAGE(C4,C7,C20,C30)</f>
        <v>1.175</v>
      </c>
      <c r="CL2" s="4150">
        <f>AVERAGE(D4,D7,D20,D30)</f>
        <v>0.76500000000000001</v>
      </c>
      <c r="CM2" s="4150" t="e">
        <f>AVERAGE(E4,E7,E20,E30)</f>
        <v>#DIV/0!</v>
      </c>
      <c r="CN2" s="4150" t="e">
        <f>AVERAGE(F4,F7,F20,F30)</f>
        <v>#DIV/0!</v>
      </c>
      <c r="CO2" s="4150">
        <f>AVERAGE(G4,G7,G20)</f>
        <v>1.6666666666666667</v>
      </c>
      <c r="CP2" s="1">
        <f>AVERAGE(B9,B25,B28,B52)</f>
        <v>0.90250000000000008</v>
      </c>
      <c r="CQ2" s="1">
        <f t="shared" ref="CQ2:CT2" si="0">AVERAGE(C9,C25,C28,C52)</f>
        <v>0.58333333333333337</v>
      </c>
      <c r="CR2" s="1">
        <f t="shared" si="0"/>
        <v>1.1299999999999999</v>
      </c>
      <c r="CS2" s="1">
        <f t="shared" si="0"/>
        <v>1.19</v>
      </c>
      <c r="CT2" s="1">
        <f t="shared" si="0"/>
        <v>0.73</v>
      </c>
      <c r="CU2" s="1" t="e">
        <f>AVERAGE(G9,G25,#REF!)</f>
        <v>#REF!</v>
      </c>
      <c r="CV2" s="1">
        <f>AVERAGE(B3,B21,B34,B37,B49)</f>
        <v>1.1679999999999999</v>
      </c>
      <c r="CW2" s="1">
        <f t="shared" ref="CW2:CX2" si="1">AVERAGE(C3,C21,C34,C37,C49)</f>
        <v>1.258</v>
      </c>
      <c r="CX2" s="1">
        <f t="shared" si="1"/>
        <v>1.0933333333333333</v>
      </c>
      <c r="CY2" s="1" t="e">
        <f>AVERAGE(E3,E21,E34)</f>
        <v>#DIV/0!</v>
      </c>
      <c r="CZ2" s="1" t="e">
        <f>AVERAGE(F3,F21,F34)</f>
        <v>#DIV/0!</v>
      </c>
      <c r="DA2" s="1" t="e">
        <f>AVERAGE(G3,G21,#REF!)</f>
        <v>#REF!</v>
      </c>
      <c r="DB2" s="1">
        <f>AVERAGE(B12,B15,B29)</f>
        <v>1.1066666666666667</v>
      </c>
      <c r="DC2" s="1">
        <f t="shared" ref="DC2:DD2" si="2">AVERAGE(C12,C15,C29)</f>
        <v>0.91333333333333344</v>
      </c>
      <c r="DD2" s="1">
        <f t="shared" si="2"/>
        <v>1.2266666666666668</v>
      </c>
      <c r="DE2" s="1" t="e">
        <f>AVERAGE(E12,E15,E29)</f>
        <v>#DIV/0!</v>
      </c>
      <c r="DF2" s="1" t="e">
        <f>AVERAGE(F12,F15,F29)</f>
        <v>#DIV/0!</v>
      </c>
      <c r="DG2" s="1" t="e">
        <f>AVERAGE(G12,G15,#REF!)</f>
        <v>#REF!</v>
      </c>
      <c r="DH2" s="1">
        <f>AVERAGE(B5,B10,B22,B32,B51)</f>
        <v>1.17</v>
      </c>
      <c r="DI2" s="1">
        <f t="shared" ref="DI2:DJ2" si="3">AVERAGE(C5,C10,C22,C32,C51)</f>
        <v>1.1819999999999999</v>
      </c>
      <c r="DJ2" s="1">
        <f t="shared" si="3"/>
        <v>0.48499999999999999</v>
      </c>
      <c r="DK2" s="1" t="e">
        <f>AVERAGE(E5,E10,E22,E32)</f>
        <v>#DIV/0!</v>
      </c>
      <c r="DL2" s="1" t="e">
        <f>AVERAGE(F5,F10,F22,F32)</f>
        <v>#DIV/0!</v>
      </c>
      <c r="DM2" s="1"/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5828">
        <f>_xlfn.AGGREGATE(1,6,CJ2:CO2)</f>
        <v>1.2085416666666666</v>
      </c>
      <c r="CK3" s="5828"/>
      <c r="CL3" s="5828"/>
      <c r="CM3" s="5828"/>
      <c r="CN3" s="5828"/>
      <c r="CO3" s="5828"/>
      <c r="CP3" s="5828">
        <f t="shared" ref="CP3" si="4">_xlfn.AGGREGATE(1,6,CP2:CU2)</f>
        <v>0.90716666666666657</v>
      </c>
      <c r="CQ3" s="5828"/>
      <c r="CR3" s="5828"/>
      <c r="CS3" s="5828"/>
      <c r="CT3" s="5828"/>
      <c r="CU3" s="5828"/>
      <c r="CV3" s="5828">
        <f t="shared" ref="CV3" si="5">_xlfn.AGGREGATE(1,6,CV2:DA2)</f>
        <v>1.1731111111111112</v>
      </c>
      <c r="CW3" s="5828"/>
      <c r="CX3" s="5828"/>
      <c r="CY3" s="5828"/>
      <c r="CZ3" s="5828"/>
      <c r="DA3" s="5828"/>
      <c r="DB3" s="5828">
        <f t="shared" ref="DB3" si="6">_xlfn.AGGREGATE(1,6,DB2:DG2)</f>
        <v>1.0822222222222224</v>
      </c>
      <c r="DC3" s="5828"/>
      <c r="DD3" s="5828"/>
      <c r="DE3" s="5828"/>
      <c r="DF3" s="5828"/>
      <c r="DG3" s="5828"/>
      <c r="DH3" s="5828">
        <f t="shared" ref="DH3" si="7">_xlfn.AGGREGATE(1,6,DH2:DM2)</f>
        <v>0.94566666666666654</v>
      </c>
      <c r="DI3" s="5828"/>
      <c r="DJ3" s="5828"/>
      <c r="DK3" s="5828"/>
      <c r="DL3" s="5828"/>
      <c r="DM3" s="5828"/>
      <c r="DN3" s="4410"/>
      <c r="DO3" s="4410"/>
    </row>
    <row r="4" spans="1:119" ht="15.75" customHeight="1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5802" t="s">
        <v>1378</v>
      </c>
      <c r="CK4" s="5802"/>
      <c r="CL4" s="5802"/>
      <c r="CM4" s="5802"/>
      <c r="CN4" s="5802"/>
      <c r="CO4" s="5802"/>
      <c r="CP4" s="5799" t="s">
        <v>1438</v>
      </c>
      <c r="CQ4" s="5799"/>
      <c r="CR4" s="5799"/>
      <c r="CS4" s="5799"/>
      <c r="CT4" s="5799"/>
      <c r="CU4" s="5799"/>
      <c r="CV4" s="5806" t="s">
        <v>1356</v>
      </c>
      <c r="CW4" s="5806"/>
      <c r="CX4" s="5806"/>
      <c r="CY4" s="5806"/>
      <c r="CZ4" s="5806"/>
      <c r="DA4" s="5806"/>
      <c r="DB4" s="5799" t="s">
        <v>1432</v>
      </c>
      <c r="DC4" s="5799"/>
      <c r="DD4" s="5799"/>
      <c r="DE4" s="5799"/>
      <c r="DF4" s="5799"/>
      <c r="DG4" s="5799"/>
      <c r="DH4" s="5809" t="s">
        <v>1393</v>
      </c>
      <c r="DI4" s="5809"/>
      <c r="DJ4" s="5809"/>
      <c r="DK4" s="5809"/>
      <c r="DL4" s="5809"/>
      <c r="DM4" s="5809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AVERAGE(B11,B19,B33)</f>
        <v>1.1333333333333335</v>
      </c>
      <c r="CK5" s="5352">
        <f t="shared" ref="CK5:CL5" si="8">AVERAGE(C11,C19,C33)</f>
        <v>1.1833333333333333</v>
      </c>
      <c r="CL5" s="5352">
        <f t="shared" si="8"/>
        <v>1.095</v>
      </c>
      <c r="CM5" s="4150" t="e">
        <f>AVERAGE(E11,E19,E33)</f>
        <v>#DIV/0!</v>
      </c>
      <c r="CN5" s="4150" t="e">
        <f>AVERAGE(F11,F19,F33)</f>
        <v>#DIV/0!</v>
      </c>
      <c r="CO5" s="4150" t="e">
        <f>AVERAGE(G11,G19,#REF!)</f>
        <v>#REF!</v>
      </c>
      <c r="CP5" s="4149">
        <f>AVERAGE(B8,B18,B38,B54,B55)</f>
        <v>0.78</v>
      </c>
      <c r="CQ5" s="5352">
        <f t="shared" ref="CQ5:CS5" si="9">AVERAGE(C8,C18,C38,C54,C55)</f>
        <v>0.93599999999999994</v>
      </c>
      <c r="CR5" s="5352">
        <f t="shared" si="9"/>
        <v>1.1200000000000001</v>
      </c>
      <c r="CS5" s="5352" t="e">
        <f t="shared" si="9"/>
        <v>#DIV/0!</v>
      </c>
      <c r="CT5" s="4150" t="e">
        <f t="shared" ref="CT5" si="10">AVERAGE(F8,F18,F38,F54,F55)</f>
        <v>#DIV/0!</v>
      </c>
      <c r="CU5" s="4150" t="e">
        <f>AVERAGE(G8,G18,#REF!)</f>
        <v>#REF!</v>
      </c>
      <c r="CV5" s="4149">
        <f>AVERAGE(B16)</f>
        <v>1.38</v>
      </c>
      <c r="CW5" s="4150">
        <f t="shared" ref="CW5:DA5" si="11">AVERAGE(C16)</f>
        <v>1.64</v>
      </c>
      <c r="CX5" s="4150">
        <f t="shared" si="11"/>
        <v>1</v>
      </c>
      <c r="CY5" s="4150" t="e">
        <f t="shared" si="11"/>
        <v>#DIV/0!</v>
      </c>
      <c r="CZ5" s="4150" t="e">
        <f t="shared" si="11"/>
        <v>#DIV/0!</v>
      </c>
      <c r="DA5" s="4150">
        <f t="shared" si="11"/>
        <v>1</v>
      </c>
      <c r="DB5" s="4149">
        <f>AVERAGE(B23,B43,B44,B45,B46,B47,B50)</f>
        <v>1.0314285714285714</v>
      </c>
      <c r="DC5" s="5352">
        <f t="shared" ref="DC5:DD5" si="12">AVERAGE(C23,C43,C44,C45,C46,C47,C50)</f>
        <v>1.2057142857142857</v>
      </c>
      <c r="DD5" s="5352">
        <f t="shared" si="12"/>
        <v>0.74</v>
      </c>
      <c r="DE5" s="4150" t="e">
        <f t="shared" ref="DE5:DF5" si="13">AVERAGE(E23,E43,E44,E45,E46,E47,E50)</f>
        <v>#DIV/0!</v>
      </c>
      <c r="DF5" s="4150" t="e">
        <f t="shared" si="13"/>
        <v>#DIV/0!</v>
      </c>
      <c r="DG5" s="4150" t="e">
        <f>AVERAGE(G23,#REF!,#REF!,#REF!,#REF!,#REF!)</f>
        <v>#REF!</v>
      </c>
      <c r="DH5" s="1">
        <f>AVERAGE(B13,B27,B31,B36,B39,B41)</f>
        <v>1.2133333333333336</v>
      </c>
      <c r="DI5" s="1">
        <f t="shared" ref="DI5:DJ5" si="14">AVERAGE(C13,C27,C31,C36,C39,C41)</f>
        <v>0.74333333333333351</v>
      </c>
      <c r="DJ5" s="1">
        <f t="shared" si="14"/>
        <v>0.91833333333333345</v>
      </c>
      <c r="DK5" s="1" t="e">
        <f t="shared" ref="DK5:DL5" si="15">AVERAGE(E13,E27,E31,E36,E39,E41)</f>
        <v>#DIV/0!</v>
      </c>
      <c r="DL5" s="1" t="e">
        <f t="shared" si="15"/>
        <v>#DIV/0!</v>
      </c>
      <c r="DM5" s="1"/>
    </row>
    <row r="6" spans="1:119" x14ac:dyDescent="0.25">
      <c r="A6" s="40" t="s">
        <v>1345</v>
      </c>
      <c r="B6" s="40"/>
      <c r="C6" s="40"/>
      <c r="D6" s="40"/>
      <c r="E6" s="40"/>
      <c r="F6" s="40"/>
      <c r="G6" s="4153"/>
      <c r="O6" s="4154"/>
      <c r="T6" s="4155"/>
      <c r="AB6" s="4156"/>
      <c r="AG6" s="4157"/>
      <c r="AO6" s="4158"/>
      <c r="AT6" s="4159"/>
      <c r="BB6" s="4160"/>
      <c r="BG6" s="4161"/>
      <c r="BO6" s="4162"/>
      <c r="BT6" s="4163"/>
      <c r="CB6" s="4164"/>
      <c r="CJ6" s="5798">
        <f>_xlfn.AGGREGATE(1,6,CJ5:CO5)</f>
        <v>1.1372222222222224</v>
      </c>
      <c r="CK6" s="5798"/>
      <c r="CL6" s="5798"/>
      <c r="CM6" s="5798"/>
      <c r="CN6" s="5798"/>
      <c r="CO6" s="5798"/>
      <c r="CP6" s="5798">
        <f t="shared" ref="CP6" si="16">_xlfn.AGGREGATE(1,6,CP5:CU5)</f>
        <v>0.94533333333333347</v>
      </c>
      <c r="CQ6" s="5798"/>
      <c r="CR6" s="5798"/>
      <c r="CS6" s="5798"/>
      <c r="CT6" s="5798"/>
      <c r="CU6" s="5798"/>
      <c r="CV6" s="5798">
        <f t="shared" ref="CV6" si="17">_xlfn.AGGREGATE(1,6,CV5:DA5)</f>
        <v>1.2549999999999999</v>
      </c>
      <c r="CW6" s="5798"/>
      <c r="CX6" s="5798"/>
      <c r="CY6" s="5798"/>
      <c r="CZ6" s="5798"/>
      <c r="DA6" s="5798"/>
      <c r="DB6" s="5798">
        <f t="shared" ref="DB6" si="18">_xlfn.AGGREGATE(1,6,DB5:DG5)</f>
        <v>0.99238095238095225</v>
      </c>
      <c r="DC6" s="5798"/>
      <c r="DD6" s="5798"/>
      <c r="DE6" s="5798"/>
      <c r="DF6" s="5798"/>
      <c r="DG6" s="5798"/>
      <c r="DH6" s="5782">
        <f>_xlfn.AGGREGATE(1,3,DH5:DJ5)</f>
        <v>0.95833333333333348</v>
      </c>
      <c r="DI6" s="5783"/>
      <c r="DJ6" s="5783"/>
      <c r="DK6" s="5783"/>
      <c r="DL6" s="5783"/>
      <c r="DM6" s="5783"/>
    </row>
    <row r="7" spans="1:119" x14ac:dyDescent="0.25">
      <c r="A7" s="4165" t="s">
        <v>1349</v>
      </c>
      <c r="B7">
        <v>0.75</v>
      </c>
      <c r="C7">
        <v>0.93</v>
      </c>
      <c r="D7">
        <v>0.72</v>
      </c>
      <c r="G7" s="4166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67">
        <v>0</v>
      </c>
      <c r="P7">
        <v>0</v>
      </c>
      <c r="Q7">
        <v>0</v>
      </c>
      <c r="R7">
        <v>0</v>
      </c>
      <c r="S7">
        <v>0</v>
      </c>
      <c r="T7" s="4168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69">
        <v>0</v>
      </c>
      <c r="AC7">
        <v>0</v>
      </c>
      <c r="AD7">
        <v>0</v>
      </c>
      <c r="AE7">
        <v>0</v>
      </c>
      <c r="AF7">
        <v>0</v>
      </c>
      <c r="AG7" s="4170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1">
        <v>0</v>
      </c>
      <c r="AP7">
        <v>0</v>
      </c>
      <c r="AQ7">
        <v>0</v>
      </c>
      <c r="AR7">
        <v>0</v>
      </c>
      <c r="AS7">
        <v>0</v>
      </c>
      <c r="AT7" s="4172"/>
      <c r="BB7" s="4173"/>
      <c r="BG7" s="4174"/>
      <c r="BO7" s="4175"/>
      <c r="BT7" s="4176"/>
      <c r="CB7" s="4177"/>
      <c r="CJ7" s="4150"/>
      <c r="DH7" s="4150"/>
      <c r="DI7" s="4150"/>
    </row>
    <row r="8" spans="1:119" x14ac:dyDescent="0.25">
      <c r="A8" s="4178" t="s">
        <v>1350</v>
      </c>
      <c r="B8">
        <v>0.33</v>
      </c>
      <c r="C8">
        <v>0.64</v>
      </c>
      <c r="D8">
        <v>0.98</v>
      </c>
      <c r="G8" s="4179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0">
        <v>0</v>
      </c>
      <c r="P8">
        <v>0</v>
      </c>
      <c r="Q8">
        <v>0</v>
      </c>
      <c r="R8">
        <v>0</v>
      </c>
      <c r="S8">
        <v>0</v>
      </c>
      <c r="T8" s="4181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82">
        <v>0</v>
      </c>
      <c r="AC8">
        <v>0</v>
      </c>
      <c r="AD8">
        <v>0</v>
      </c>
      <c r="AE8">
        <v>0</v>
      </c>
      <c r="AF8">
        <v>0</v>
      </c>
      <c r="AG8" s="4183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84">
        <v>0</v>
      </c>
      <c r="AP8">
        <v>0</v>
      </c>
      <c r="AQ8">
        <v>0</v>
      </c>
      <c r="AR8">
        <v>0</v>
      </c>
      <c r="AS8">
        <v>0</v>
      </c>
      <c r="AT8" s="4185"/>
      <c r="BB8" s="4186"/>
      <c r="BG8" s="4187"/>
      <c r="BO8" s="4188"/>
      <c r="BT8" s="4189"/>
      <c r="CB8" s="4190"/>
    </row>
    <row r="9" spans="1:119" x14ac:dyDescent="0.25">
      <c r="A9" s="4191" t="s">
        <v>329</v>
      </c>
      <c r="B9">
        <v>1.1000000000000001</v>
      </c>
      <c r="C9">
        <v>0.32</v>
      </c>
      <c r="D9">
        <v>1.22</v>
      </c>
      <c r="G9" s="4192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193">
        <v>0</v>
      </c>
      <c r="P9">
        <v>0</v>
      </c>
      <c r="Q9">
        <v>0</v>
      </c>
      <c r="R9">
        <v>0</v>
      </c>
      <c r="S9">
        <v>0</v>
      </c>
      <c r="T9" s="4194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195">
        <v>0</v>
      </c>
      <c r="AC9">
        <v>0</v>
      </c>
      <c r="AD9">
        <v>0</v>
      </c>
      <c r="AE9">
        <v>0</v>
      </c>
      <c r="AF9">
        <v>0</v>
      </c>
      <c r="AG9" s="4196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197">
        <v>0</v>
      </c>
      <c r="AP9">
        <v>0</v>
      </c>
      <c r="AQ9">
        <v>0</v>
      </c>
      <c r="AR9">
        <v>0</v>
      </c>
      <c r="AS9">
        <v>0</v>
      </c>
      <c r="AT9" s="4198"/>
      <c r="BB9" s="4199"/>
      <c r="BG9" s="4200"/>
      <c r="BO9" s="4201"/>
      <c r="BT9" s="4202"/>
      <c r="CB9" s="4203"/>
    </row>
    <row r="10" spans="1:119" x14ac:dyDescent="0.25">
      <c r="A10" s="4204" t="s">
        <v>330</v>
      </c>
      <c r="B10">
        <v>1.51</v>
      </c>
      <c r="C10">
        <v>1.27</v>
      </c>
      <c r="G10" s="4205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06">
        <v>1</v>
      </c>
      <c r="P10">
        <v>0</v>
      </c>
      <c r="Q10">
        <v>0</v>
      </c>
      <c r="R10">
        <v>0</v>
      </c>
      <c r="S10">
        <v>0</v>
      </c>
      <c r="T10" s="4207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08">
        <v>0</v>
      </c>
      <c r="AC10">
        <v>0</v>
      </c>
      <c r="AD10">
        <v>0</v>
      </c>
      <c r="AE10">
        <v>0</v>
      </c>
      <c r="AF10">
        <v>0</v>
      </c>
      <c r="AG10" s="4209"/>
      <c r="AO10" s="4210"/>
      <c r="AT10" s="4211"/>
      <c r="BB10" s="4212"/>
      <c r="BG10" s="4213"/>
      <c r="BO10" s="4214"/>
      <c r="BT10" s="4215"/>
      <c r="CB10" s="4216"/>
    </row>
    <row r="11" spans="1:119" x14ac:dyDescent="0.25">
      <c r="A11" s="4217" t="s">
        <v>1351</v>
      </c>
      <c r="B11">
        <v>1.71</v>
      </c>
      <c r="C11">
        <v>1.47</v>
      </c>
      <c r="D11">
        <v>1.23</v>
      </c>
      <c r="G11" s="4218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19">
        <v>0</v>
      </c>
      <c r="P11">
        <v>0</v>
      </c>
      <c r="Q11">
        <v>0</v>
      </c>
      <c r="R11">
        <v>0</v>
      </c>
      <c r="S11">
        <v>0</v>
      </c>
      <c r="T11" s="4220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1">
        <v>1</v>
      </c>
      <c r="AC11">
        <v>0</v>
      </c>
      <c r="AD11">
        <v>0</v>
      </c>
      <c r="AE11">
        <v>0</v>
      </c>
      <c r="AF11">
        <v>0</v>
      </c>
      <c r="AG11" s="4222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23">
        <v>0</v>
      </c>
      <c r="AP11">
        <v>0</v>
      </c>
      <c r="AQ11">
        <v>0</v>
      </c>
      <c r="AR11">
        <v>0</v>
      </c>
      <c r="AS11">
        <v>0</v>
      </c>
      <c r="AT11" s="4224"/>
      <c r="BB11" s="4225"/>
      <c r="BG11" s="4226"/>
      <c r="BO11" s="4227"/>
      <c r="BT11" s="4228"/>
      <c r="CB11" s="4229"/>
    </row>
    <row r="12" spans="1:119" x14ac:dyDescent="0.25">
      <c r="A12" s="4230" t="s">
        <v>832</v>
      </c>
      <c r="B12">
        <v>1.42</v>
      </c>
      <c r="C12">
        <v>0.93</v>
      </c>
      <c r="D12">
        <v>1.03</v>
      </c>
      <c r="G12" s="4231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32">
        <v>0</v>
      </c>
      <c r="P12">
        <v>0</v>
      </c>
      <c r="Q12">
        <v>0</v>
      </c>
      <c r="R12">
        <v>0</v>
      </c>
      <c r="S12">
        <v>0</v>
      </c>
      <c r="T12" s="4233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34">
        <v>0</v>
      </c>
      <c r="AC12">
        <v>0</v>
      </c>
      <c r="AD12">
        <v>0</v>
      </c>
      <c r="AE12">
        <v>0</v>
      </c>
      <c r="AF12">
        <v>0</v>
      </c>
      <c r="AG12" s="4235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36">
        <v>0</v>
      </c>
      <c r="AP12">
        <v>0</v>
      </c>
      <c r="AQ12">
        <v>0</v>
      </c>
      <c r="AR12">
        <v>0</v>
      </c>
      <c r="AS12">
        <v>0</v>
      </c>
      <c r="AT12" s="4237"/>
      <c r="BB12" s="4238"/>
      <c r="BG12" s="4239"/>
      <c r="BO12" s="4240"/>
      <c r="BT12" s="4241"/>
      <c r="CB12" s="4242"/>
    </row>
    <row r="13" spans="1:119" x14ac:dyDescent="0.25">
      <c r="A13" s="4243" t="s">
        <v>1352</v>
      </c>
      <c r="B13">
        <v>1.76</v>
      </c>
      <c r="C13">
        <v>1.4</v>
      </c>
      <c r="D13">
        <v>1.42</v>
      </c>
      <c r="G13" s="4244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45">
        <v>1</v>
      </c>
      <c r="P13">
        <v>1</v>
      </c>
      <c r="Q13">
        <v>0</v>
      </c>
      <c r="R13">
        <v>0</v>
      </c>
      <c r="S13">
        <v>0</v>
      </c>
      <c r="T13" s="4246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47">
        <v>1</v>
      </c>
      <c r="AC13">
        <v>0</v>
      </c>
      <c r="AD13">
        <v>1</v>
      </c>
      <c r="AE13">
        <v>0</v>
      </c>
      <c r="AF13">
        <v>0</v>
      </c>
      <c r="AG13" s="4248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49">
        <v>0</v>
      </c>
      <c r="AP13">
        <v>0</v>
      </c>
      <c r="AQ13">
        <v>1</v>
      </c>
      <c r="AR13">
        <v>0</v>
      </c>
      <c r="AS13">
        <v>0</v>
      </c>
      <c r="AT13" s="4250"/>
      <c r="BB13" s="4251"/>
      <c r="BG13" s="4252"/>
      <c r="BO13" s="4253"/>
      <c r="BT13" s="4254"/>
      <c r="CB13" s="4255"/>
    </row>
    <row r="14" spans="1:119" x14ac:dyDescent="0.25">
      <c r="A14" s="44" t="s">
        <v>1353</v>
      </c>
      <c r="B14" s="44"/>
      <c r="C14" s="44"/>
      <c r="D14" s="44"/>
      <c r="E14" s="44"/>
      <c r="F14" s="44"/>
      <c r="G14" s="4256"/>
      <c r="O14" s="4257"/>
      <c r="T14" s="4258"/>
      <c r="AB14" s="4259"/>
      <c r="AG14" s="4260"/>
      <c r="AO14" s="4261"/>
      <c r="AT14" s="4262"/>
      <c r="BB14" s="4263"/>
      <c r="BG14" s="4264"/>
      <c r="BO14" s="4265"/>
      <c r="BT14" s="4266"/>
      <c r="CB14" s="4267"/>
    </row>
    <row r="15" spans="1:119" x14ac:dyDescent="0.25">
      <c r="A15" s="4268" t="s">
        <v>1354</v>
      </c>
      <c r="B15">
        <v>1.49</v>
      </c>
      <c r="C15">
        <v>1.38</v>
      </c>
      <c r="D15">
        <v>1.1200000000000001</v>
      </c>
      <c r="G15" s="4269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0">
        <v>0</v>
      </c>
      <c r="P15">
        <v>0</v>
      </c>
      <c r="Q15">
        <v>0</v>
      </c>
      <c r="R15">
        <v>0</v>
      </c>
      <c r="S15">
        <v>0</v>
      </c>
      <c r="T15" s="4271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72">
        <v>1</v>
      </c>
      <c r="AC15">
        <v>0</v>
      </c>
      <c r="AD15">
        <v>0</v>
      </c>
      <c r="AE15">
        <v>0</v>
      </c>
      <c r="AF15">
        <v>0</v>
      </c>
      <c r="AG15" s="4273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74">
        <v>0</v>
      </c>
      <c r="AP15">
        <v>1</v>
      </c>
      <c r="AQ15">
        <v>0</v>
      </c>
      <c r="AR15">
        <v>0</v>
      </c>
      <c r="AS15">
        <v>0</v>
      </c>
      <c r="AT15" s="4275"/>
      <c r="BB15" s="4276"/>
      <c r="BG15" s="4277"/>
      <c r="BO15" s="4278"/>
      <c r="BT15" s="4279"/>
      <c r="CB15" s="4280"/>
    </row>
    <row r="16" spans="1:119" x14ac:dyDescent="0.25">
      <c r="A16" s="4281" t="s">
        <v>1355</v>
      </c>
      <c r="B16">
        <v>1.38</v>
      </c>
      <c r="C16">
        <v>1.64</v>
      </c>
      <c r="D16">
        <v>1</v>
      </c>
      <c r="G16" s="4282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83">
        <v>0</v>
      </c>
      <c r="P16">
        <v>0</v>
      </c>
      <c r="Q16">
        <v>0</v>
      </c>
      <c r="R16">
        <v>0</v>
      </c>
      <c r="S16">
        <v>0</v>
      </c>
      <c r="T16" s="4284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85">
        <v>0</v>
      </c>
      <c r="AC16">
        <v>0</v>
      </c>
      <c r="AD16">
        <v>0</v>
      </c>
      <c r="AE16">
        <v>0</v>
      </c>
      <c r="AF16">
        <v>0</v>
      </c>
      <c r="AG16" s="4286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87">
        <v>0</v>
      </c>
      <c r="AP16">
        <v>0</v>
      </c>
      <c r="AQ16">
        <v>0</v>
      </c>
      <c r="AR16">
        <v>0</v>
      </c>
      <c r="AS16">
        <v>0</v>
      </c>
      <c r="AT16" s="4288"/>
      <c r="BB16" s="4289"/>
      <c r="BG16" s="4290"/>
      <c r="BO16" s="4291"/>
      <c r="BT16" s="4292"/>
      <c r="CB16" s="4293"/>
    </row>
    <row r="17" spans="1:113" x14ac:dyDescent="0.25">
      <c r="A17" s="40" t="s">
        <v>1357</v>
      </c>
      <c r="B17" s="40"/>
      <c r="C17" s="40"/>
      <c r="D17" s="40"/>
      <c r="E17" s="40"/>
      <c r="F17" s="40"/>
      <c r="G17" s="4294"/>
      <c r="O17" s="4295"/>
      <c r="T17" s="4296"/>
      <c r="AB17" s="4297"/>
      <c r="AG17" s="4298"/>
      <c r="AO17" s="4299"/>
      <c r="AT17" s="4300"/>
      <c r="BB17" s="4301"/>
      <c r="BG17" s="4302"/>
      <c r="BO17" s="4303"/>
      <c r="BT17" s="4304"/>
      <c r="CB17" s="4305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06" t="s">
        <v>1358</v>
      </c>
      <c r="B18">
        <v>1.1000000000000001</v>
      </c>
      <c r="C18">
        <v>1.66</v>
      </c>
      <c r="G18" s="4307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08">
        <v>0</v>
      </c>
      <c r="P18">
        <v>0</v>
      </c>
      <c r="Q18">
        <v>0</v>
      </c>
      <c r="R18">
        <v>0</v>
      </c>
      <c r="S18">
        <v>0</v>
      </c>
      <c r="T18" s="4309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0">
        <v>1</v>
      </c>
      <c r="AC18">
        <v>0</v>
      </c>
      <c r="AD18">
        <v>0</v>
      </c>
      <c r="AE18">
        <v>0</v>
      </c>
      <c r="AF18">
        <v>0</v>
      </c>
      <c r="AG18" s="4311"/>
      <c r="AO18" s="4312"/>
      <c r="AT18" s="4313"/>
      <c r="BB18" s="4314"/>
      <c r="BG18" s="4315"/>
      <c r="BO18" s="4316"/>
      <c r="BT18" s="4317"/>
      <c r="CB18" s="4318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19" t="s">
        <v>1359</v>
      </c>
      <c r="B19">
        <v>1.1599999999999999</v>
      </c>
      <c r="C19">
        <v>1.05</v>
      </c>
      <c r="G19" s="4320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1">
        <v>0</v>
      </c>
      <c r="P19">
        <v>0</v>
      </c>
      <c r="Q19">
        <v>0</v>
      </c>
      <c r="R19">
        <v>0</v>
      </c>
      <c r="S19">
        <v>0</v>
      </c>
      <c r="T19" s="4322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23">
        <v>0</v>
      </c>
      <c r="AC19">
        <v>0</v>
      </c>
      <c r="AD19">
        <v>0</v>
      </c>
      <c r="AE19">
        <v>0</v>
      </c>
      <c r="AF19">
        <v>0</v>
      </c>
      <c r="AG19" s="4324"/>
      <c r="AO19" s="4325"/>
      <c r="AT19" s="4326"/>
      <c r="BB19" s="4327"/>
      <c r="BG19" s="4328"/>
      <c r="BO19" s="4329"/>
      <c r="BT19" s="4330"/>
      <c r="CB19" s="4331"/>
      <c r="CI19" t="s">
        <v>1363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32" t="s">
        <v>838</v>
      </c>
      <c r="B20">
        <v>1.99</v>
      </c>
      <c r="C20">
        <v>1.2</v>
      </c>
      <c r="G20" s="4333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34">
        <v>0</v>
      </c>
      <c r="P20">
        <v>0</v>
      </c>
      <c r="Q20">
        <v>0</v>
      </c>
      <c r="R20">
        <v>0</v>
      </c>
      <c r="S20">
        <v>0</v>
      </c>
      <c r="T20" s="4335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36">
        <v>0</v>
      </c>
      <c r="AC20">
        <v>0</v>
      </c>
      <c r="AD20">
        <v>0</v>
      </c>
      <c r="AE20">
        <v>0</v>
      </c>
      <c r="AF20">
        <v>0</v>
      </c>
      <c r="AG20" s="4337"/>
      <c r="AO20" s="4338"/>
      <c r="AT20" s="4339"/>
      <c r="BB20" s="4340"/>
      <c r="BG20" s="4341"/>
      <c r="BO20" s="4342"/>
      <c r="BT20" s="4343"/>
      <c r="CB20" s="4344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45" t="s">
        <v>1360</v>
      </c>
      <c r="B21">
        <v>0.91</v>
      </c>
      <c r="C21">
        <v>0.99</v>
      </c>
      <c r="G21" s="4346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47">
        <v>0</v>
      </c>
      <c r="P21">
        <v>0</v>
      </c>
      <c r="Q21">
        <v>0</v>
      </c>
      <c r="R21">
        <v>0</v>
      </c>
      <c r="S21">
        <v>0</v>
      </c>
      <c r="T21" s="4348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49">
        <v>0</v>
      </c>
      <c r="AC21">
        <v>1</v>
      </c>
      <c r="AD21">
        <v>0</v>
      </c>
      <c r="AE21">
        <v>0</v>
      </c>
      <c r="AF21">
        <v>0</v>
      </c>
      <c r="AG21" s="4350"/>
      <c r="AO21" s="4351"/>
      <c r="AT21" s="4352"/>
      <c r="BB21" s="4353"/>
      <c r="BG21" s="4354"/>
      <c r="BO21" s="4355"/>
      <c r="BT21" s="4356"/>
      <c r="CB21" s="4357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58" t="s">
        <v>1361</v>
      </c>
      <c r="B22">
        <v>1.61</v>
      </c>
      <c r="C22">
        <v>1.56</v>
      </c>
      <c r="G22" s="4359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0">
        <v>0</v>
      </c>
      <c r="P22">
        <v>0</v>
      </c>
      <c r="Q22">
        <v>0</v>
      </c>
      <c r="R22">
        <v>0</v>
      </c>
      <c r="S22">
        <v>0</v>
      </c>
      <c r="T22" s="4361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62">
        <v>0</v>
      </c>
      <c r="AC22">
        <v>0</v>
      </c>
      <c r="AD22">
        <v>0</v>
      </c>
      <c r="AE22">
        <v>0</v>
      </c>
      <c r="AF22">
        <v>0</v>
      </c>
      <c r="AG22" s="4363"/>
      <c r="AO22" s="4364"/>
      <c r="AT22" s="4365"/>
      <c r="BB22" s="4366"/>
      <c r="BG22" s="4367"/>
      <c r="BO22" s="4368"/>
      <c r="BT22" s="4369"/>
      <c r="CB22" s="4370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1" t="s">
        <v>727</v>
      </c>
      <c r="B23">
        <v>1.08</v>
      </c>
      <c r="C23">
        <v>1.55</v>
      </c>
      <c r="G23" s="4372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73">
        <v>0</v>
      </c>
      <c r="P23">
        <v>0</v>
      </c>
      <c r="Q23">
        <v>0</v>
      </c>
      <c r="R23">
        <v>0</v>
      </c>
      <c r="S23">
        <v>0</v>
      </c>
      <c r="T23" s="4374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75">
        <v>1</v>
      </c>
      <c r="AC23">
        <v>0</v>
      </c>
      <c r="AD23">
        <v>0</v>
      </c>
      <c r="AE23">
        <v>0</v>
      </c>
      <c r="AF23">
        <v>0</v>
      </c>
      <c r="AG23" s="4376"/>
      <c r="AO23" s="4377"/>
      <c r="AT23" s="4378"/>
      <c r="BB23" s="4379"/>
      <c r="BG23" s="4380"/>
      <c r="BO23" s="4381"/>
      <c r="BT23" s="4382"/>
      <c r="CB23" s="4383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1347</v>
      </c>
      <c r="B24" s="619"/>
      <c r="C24" s="619"/>
      <c r="D24" s="619"/>
      <c r="E24" s="619"/>
      <c r="F24" s="619"/>
      <c r="G24" s="4384"/>
      <c r="O24" s="4385"/>
      <c r="T24" s="4386"/>
      <c r="AB24" s="4387"/>
      <c r="AG24" s="4388"/>
      <c r="AO24" s="4389"/>
      <c r="AT24" s="4390"/>
      <c r="BB24" s="4391"/>
      <c r="BG24" s="4392"/>
      <c r="BO24" s="4393"/>
      <c r="BT24" s="4394"/>
      <c r="CB24" s="4395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396" t="s">
        <v>1033</v>
      </c>
      <c r="B25">
        <v>0.32</v>
      </c>
      <c r="E25" s="4147">
        <v>1.19</v>
      </c>
      <c r="F25" s="4147">
        <v>0.73</v>
      </c>
      <c r="G25" s="4397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398">
        <v>0</v>
      </c>
      <c r="P25">
        <v>0</v>
      </c>
      <c r="Q25">
        <v>0</v>
      </c>
      <c r="R25">
        <v>0</v>
      </c>
      <c r="S25">
        <v>0</v>
      </c>
      <c r="T25" s="4399"/>
      <c r="AB25" s="4400"/>
      <c r="AG25" s="4401"/>
      <c r="AO25" s="4402"/>
      <c r="AT25" s="4403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04">
        <v>0</v>
      </c>
      <c r="BC25">
        <v>0</v>
      </c>
      <c r="BD25">
        <v>0</v>
      </c>
      <c r="BE25">
        <v>0</v>
      </c>
      <c r="BF25">
        <v>0</v>
      </c>
      <c r="BG25" s="4405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06">
        <v>0</v>
      </c>
      <c r="BP25">
        <v>0</v>
      </c>
      <c r="BQ25">
        <v>0</v>
      </c>
      <c r="BR25">
        <v>0</v>
      </c>
      <c r="BS25">
        <v>0</v>
      </c>
      <c r="BT25" s="4407"/>
      <c r="CB25" s="4408"/>
      <c r="CI25" t="s">
        <v>1364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A26" s="40" t="s">
        <v>1375</v>
      </c>
      <c r="B26" s="40"/>
      <c r="C26" s="40"/>
      <c r="D26" s="40"/>
      <c r="E26" s="40"/>
      <c r="F26" s="40"/>
      <c r="G26" s="4471"/>
      <c r="O26" s="4472"/>
      <c r="T26" s="4473"/>
      <c r="AB26" s="4474"/>
      <c r="AG26" s="4475"/>
      <c r="AO26" s="4476"/>
      <c r="AT26" s="4477"/>
      <c r="BB26" s="4478"/>
      <c r="BG26" s="4479"/>
      <c r="BO26" s="4480"/>
      <c r="BT26" s="4481"/>
      <c r="CB26" s="4482"/>
    </row>
    <row r="27" spans="1:113" x14ac:dyDescent="0.25">
      <c r="A27" s="4483" t="s">
        <v>343</v>
      </c>
      <c r="B27">
        <v>0.83</v>
      </c>
      <c r="C27">
        <v>0.75</v>
      </c>
      <c r="D27">
        <v>1.1299999999999999</v>
      </c>
      <c r="G27" s="4484">
        <v>1</v>
      </c>
      <c r="H27">
        <v>2</v>
      </c>
      <c r="I27">
        <v>2</v>
      </c>
      <c r="J27">
        <v>0</v>
      </c>
      <c r="K27">
        <v>0</v>
      </c>
      <c r="L27">
        <v>0</v>
      </c>
      <c r="M27">
        <v>2</v>
      </c>
      <c r="N27">
        <v>1</v>
      </c>
      <c r="O27" s="4485">
        <v>1</v>
      </c>
      <c r="P27">
        <v>0</v>
      </c>
      <c r="Q27">
        <v>0</v>
      </c>
      <c r="R27">
        <v>0</v>
      </c>
      <c r="S27">
        <v>0</v>
      </c>
      <c r="T27" s="4486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2</v>
      </c>
      <c r="AA27">
        <v>0</v>
      </c>
      <c r="AB27" s="4487">
        <v>0</v>
      </c>
      <c r="AC27">
        <v>0</v>
      </c>
      <c r="AD27">
        <v>0</v>
      </c>
      <c r="AE27">
        <v>0</v>
      </c>
      <c r="AF27">
        <v>0</v>
      </c>
      <c r="AG27" s="4488">
        <v>1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3</v>
      </c>
      <c r="AN27">
        <v>1</v>
      </c>
      <c r="AO27" s="4489">
        <v>1</v>
      </c>
      <c r="AP27">
        <v>1</v>
      </c>
      <c r="AQ27">
        <v>0</v>
      </c>
      <c r="AR27">
        <v>0</v>
      </c>
      <c r="AS27">
        <v>0</v>
      </c>
      <c r="AT27" s="4490"/>
      <c r="BB27" s="4491"/>
      <c r="BG27" s="4492"/>
      <c r="BO27" s="4493"/>
      <c r="BT27" s="4494"/>
      <c r="CB27" s="4495"/>
    </row>
    <row r="28" spans="1:113" x14ac:dyDescent="0.25">
      <c r="A28" s="4496" t="s">
        <v>1034</v>
      </c>
      <c r="B28">
        <v>0.89</v>
      </c>
      <c r="C28">
        <v>0.43</v>
      </c>
      <c r="D28">
        <v>1.08</v>
      </c>
      <c r="G28" s="4497">
        <v>2</v>
      </c>
      <c r="H28">
        <v>2</v>
      </c>
      <c r="I28">
        <v>0</v>
      </c>
      <c r="J28">
        <v>0</v>
      </c>
      <c r="K28">
        <v>0</v>
      </c>
      <c r="L28">
        <v>0</v>
      </c>
      <c r="M28">
        <v>4</v>
      </c>
      <c r="N28">
        <v>1</v>
      </c>
      <c r="O28" s="4498">
        <v>1</v>
      </c>
      <c r="P28">
        <v>0</v>
      </c>
      <c r="Q28">
        <v>0</v>
      </c>
      <c r="R28">
        <v>0</v>
      </c>
      <c r="S28">
        <v>0</v>
      </c>
      <c r="T28" s="449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1</v>
      </c>
      <c r="AB28" s="4500">
        <v>0</v>
      </c>
      <c r="AC28">
        <v>0</v>
      </c>
      <c r="AD28">
        <v>0</v>
      </c>
      <c r="AE28">
        <v>0</v>
      </c>
      <c r="AF28">
        <v>0</v>
      </c>
      <c r="AG28" s="4501">
        <v>4</v>
      </c>
      <c r="AH28">
        <v>1</v>
      </c>
      <c r="AI28">
        <v>1</v>
      </c>
      <c r="AJ28">
        <v>1</v>
      </c>
      <c r="AK28">
        <v>0</v>
      </c>
      <c r="AL28">
        <v>0</v>
      </c>
      <c r="AM28">
        <v>5</v>
      </c>
      <c r="AN28">
        <v>1</v>
      </c>
      <c r="AO28" s="4502">
        <v>0</v>
      </c>
      <c r="AP28">
        <v>0</v>
      </c>
      <c r="AQ28">
        <v>0</v>
      </c>
      <c r="AR28">
        <v>0</v>
      </c>
      <c r="AS28">
        <v>0</v>
      </c>
      <c r="AT28" s="4503"/>
      <c r="BB28" s="4504"/>
      <c r="BG28" s="4505"/>
      <c r="BO28" s="4506"/>
      <c r="BT28" s="4507"/>
      <c r="CB28" s="4508"/>
    </row>
    <row r="29" spans="1:113" x14ac:dyDescent="0.25">
      <c r="A29" s="4509" t="s">
        <v>1381</v>
      </c>
      <c r="B29">
        <v>0.41</v>
      </c>
      <c r="C29">
        <v>0.43</v>
      </c>
      <c r="D29">
        <v>1.53</v>
      </c>
      <c r="G29" s="4510">
        <v>0</v>
      </c>
      <c r="H29">
        <v>2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511">
        <v>0</v>
      </c>
      <c r="P29">
        <v>0</v>
      </c>
      <c r="Q29">
        <v>0</v>
      </c>
      <c r="R29">
        <v>0</v>
      </c>
      <c r="S29">
        <v>0</v>
      </c>
      <c r="T29" s="4512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4513">
        <v>0</v>
      </c>
      <c r="AC29">
        <v>0</v>
      </c>
      <c r="AD29">
        <v>0</v>
      </c>
      <c r="AE29">
        <v>0</v>
      </c>
      <c r="AF29">
        <v>0</v>
      </c>
      <c r="AG29" s="4514">
        <v>0</v>
      </c>
      <c r="AH29">
        <v>1</v>
      </c>
      <c r="AI29">
        <v>2</v>
      </c>
      <c r="AJ29">
        <v>1</v>
      </c>
      <c r="AK29">
        <v>0</v>
      </c>
      <c r="AL29">
        <v>0</v>
      </c>
      <c r="AM29">
        <v>3</v>
      </c>
      <c r="AN29">
        <v>0</v>
      </c>
      <c r="AO29" s="4515">
        <v>3</v>
      </c>
      <c r="AP29">
        <v>0</v>
      </c>
      <c r="AQ29">
        <v>0</v>
      </c>
      <c r="AR29">
        <v>0</v>
      </c>
      <c r="AS29">
        <v>0</v>
      </c>
      <c r="AT29" s="4516"/>
      <c r="BB29" s="4517"/>
      <c r="BG29" s="4518"/>
      <c r="BO29" s="4519"/>
      <c r="BT29" s="4520"/>
      <c r="CB29" s="4521"/>
    </row>
    <row r="30" spans="1:113" x14ac:dyDescent="0.25">
      <c r="A30" s="4522" t="s">
        <v>1035</v>
      </c>
      <c r="B30">
        <v>0.67</v>
      </c>
      <c r="C30">
        <v>0.96</v>
      </c>
      <c r="D30">
        <v>0.81</v>
      </c>
      <c r="G30" s="4523">
        <v>3</v>
      </c>
      <c r="H30">
        <v>2</v>
      </c>
      <c r="I30">
        <v>0</v>
      </c>
      <c r="J30">
        <v>0</v>
      </c>
      <c r="K30">
        <v>0</v>
      </c>
      <c r="L30">
        <v>1</v>
      </c>
      <c r="M30">
        <v>0</v>
      </c>
      <c r="N30">
        <v>2</v>
      </c>
      <c r="O30" s="4524">
        <v>0</v>
      </c>
      <c r="P30">
        <v>0</v>
      </c>
      <c r="Q30">
        <v>0</v>
      </c>
      <c r="R30">
        <v>0</v>
      </c>
      <c r="S30">
        <v>0</v>
      </c>
      <c r="T30" s="4525">
        <v>0</v>
      </c>
      <c r="U30">
        <v>1</v>
      </c>
      <c r="V30">
        <v>1</v>
      </c>
      <c r="W30">
        <v>0</v>
      </c>
      <c r="X30">
        <v>0</v>
      </c>
      <c r="Y30">
        <v>0</v>
      </c>
      <c r="Z30">
        <v>5</v>
      </c>
      <c r="AA30">
        <v>1</v>
      </c>
      <c r="AB30" s="4526">
        <v>1</v>
      </c>
      <c r="AC30">
        <v>0</v>
      </c>
      <c r="AD30">
        <v>0</v>
      </c>
      <c r="AE30">
        <v>0</v>
      </c>
      <c r="AF30">
        <v>0</v>
      </c>
      <c r="AG30" s="4527">
        <v>0</v>
      </c>
      <c r="AH30">
        <v>3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 s="4528">
        <v>0</v>
      </c>
      <c r="AP30">
        <v>0</v>
      </c>
      <c r="AQ30">
        <v>0</v>
      </c>
      <c r="AR30">
        <v>0</v>
      </c>
      <c r="AS30">
        <v>0</v>
      </c>
      <c r="AT30" s="4529"/>
      <c r="BB30" s="4530"/>
      <c r="BG30" s="4531"/>
      <c r="BO30" s="4532"/>
      <c r="BT30" s="4533"/>
      <c r="CB30" s="4534"/>
    </row>
    <row r="31" spans="1:113" x14ac:dyDescent="0.25">
      <c r="A31" s="4535" t="s">
        <v>347</v>
      </c>
      <c r="B31">
        <v>1.7</v>
      </c>
      <c r="C31">
        <v>0.18</v>
      </c>
      <c r="D31">
        <v>0.83</v>
      </c>
      <c r="G31" s="4536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 s="4537">
        <v>0</v>
      </c>
      <c r="P31">
        <v>0</v>
      </c>
      <c r="Q31">
        <v>0</v>
      </c>
      <c r="R31">
        <v>0</v>
      </c>
      <c r="S31">
        <v>0</v>
      </c>
      <c r="T31" s="4538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 s="4539">
        <v>0</v>
      </c>
      <c r="AC31">
        <v>0</v>
      </c>
      <c r="AD31">
        <v>0</v>
      </c>
      <c r="AE31">
        <v>0</v>
      </c>
      <c r="AF31">
        <v>0</v>
      </c>
      <c r="AG31" s="4540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s="4541">
        <v>0</v>
      </c>
      <c r="AP31">
        <v>0</v>
      </c>
      <c r="AQ31">
        <v>0</v>
      </c>
      <c r="AR31">
        <v>0</v>
      </c>
      <c r="AS31">
        <v>0</v>
      </c>
      <c r="AT31" s="4542"/>
      <c r="BB31" s="4543"/>
      <c r="BG31" s="4544"/>
      <c r="BO31" s="4545"/>
      <c r="BT31" s="4546"/>
      <c r="CB31" s="4547"/>
    </row>
    <row r="32" spans="1:113" x14ac:dyDescent="0.25">
      <c r="A32" s="4548" t="s">
        <v>348</v>
      </c>
      <c r="B32">
        <v>0.84</v>
      </c>
      <c r="C32">
        <v>0.89</v>
      </c>
      <c r="D32">
        <v>0.6</v>
      </c>
      <c r="G32" s="454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2</v>
      </c>
      <c r="N32">
        <v>1</v>
      </c>
      <c r="O32" s="4550">
        <v>0</v>
      </c>
      <c r="P32">
        <v>0</v>
      </c>
      <c r="Q32">
        <v>0</v>
      </c>
      <c r="R32">
        <v>0</v>
      </c>
      <c r="S32">
        <v>0</v>
      </c>
      <c r="T32" s="4551">
        <v>0</v>
      </c>
      <c r="U32">
        <v>1</v>
      </c>
      <c r="V32">
        <v>1</v>
      </c>
      <c r="W32">
        <v>0</v>
      </c>
      <c r="X32">
        <v>0</v>
      </c>
      <c r="Y32">
        <v>0</v>
      </c>
      <c r="Z32">
        <v>4</v>
      </c>
      <c r="AA32">
        <v>0</v>
      </c>
      <c r="AB32" s="4552">
        <v>1</v>
      </c>
      <c r="AC32">
        <v>1</v>
      </c>
      <c r="AD32">
        <v>0</v>
      </c>
      <c r="AE32">
        <v>0</v>
      </c>
      <c r="AF32">
        <v>0</v>
      </c>
      <c r="AG32" s="4553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 s="4554">
        <v>0</v>
      </c>
      <c r="AP32">
        <v>0</v>
      </c>
      <c r="AQ32">
        <v>0</v>
      </c>
      <c r="AR32">
        <v>0</v>
      </c>
      <c r="AS32">
        <v>0</v>
      </c>
      <c r="AT32" s="4555"/>
      <c r="BB32" s="4556"/>
      <c r="BG32" s="4557"/>
      <c r="BO32" s="4558"/>
      <c r="BT32" s="4559"/>
      <c r="CB32" s="4560"/>
    </row>
    <row r="33" spans="1:80" x14ac:dyDescent="0.25">
      <c r="A33" s="4561" t="s">
        <v>1382</v>
      </c>
      <c r="B33">
        <v>0.53</v>
      </c>
      <c r="C33">
        <v>1.03</v>
      </c>
      <c r="D33">
        <v>0.96</v>
      </c>
      <c r="G33" s="4562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563">
        <v>0</v>
      </c>
      <c r="P33">
        <v>0</v>
      </c>
      <c r="Q33">
        <v>0</v>
      </c>
      <c r="R33">
        <v>0</v>
      </c>
      <c r="S33">
        <v>0</v>
      </c>
      <c r="T33" s="4564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</v>
      </c>
      <c r="AA33">
        <v>1</v>
      </c>
      <c r="AB33" s="4565">
        <v>1</v>
      </c>
      <c r="AC33">
        <v>0</v>
      </c>
      <c r="AD33">
        <v>0</v>
      </c>
      <c r="AE33">
        <v>0</v>
      </c>
      <c r="AF33">
        <v>0</v>
      </c>
      <c r="AG33" s="4566">
        <v>1</v>
      </c>
      <c r="AH33">
        <v>2</v>
      </c>
      <c r="AI33">
        <v>1</v>
      </c>
      <c r="AJ33">
        <v>0</v>
      </c>
      <c r="AK33">
        <v>0</v>
      </c>
      <c r="AL33">
        <v>0</v>
      </c>
      <c r="AM33">
        <v>3</v>
      </c>
      <c r="AN33">
        <v>0</v>
      </c>
      <c r="AO33" s="4567">
        <v>1</v>
      </c>
      <c r="AP33">
        <v>1</v>
      </c>
      <c r="AQ33">
        <v>0</v>
      </c>
      <c r="AR33">
        <v>0</v>
      </c>
      <c r="AS33">
        <v>0</v>
      </c>
      <c r="AT33" s="4568"/>
      <c r="BB33" s="4569"/>
      <c r="BG33" s="4570"/>
      <c r="BO33" s="4571"/>
      <c r="BT33" s="4572"/>
      <c r="CB33" s="4573"/>
    </row>
    <row r="34" spans="1:80" x14ac:dyDescent="0.25">
      <c r="A34" s="4638" t="s">
        <v>350</v>
      </c>
      <c r="B34">
        <v>0.81</v>
      </c>
      <c r="C34">
        <v>0.87</v>
      </c>
      <c r="D34">
        <v>1.1299999999999999</v>
      </c>
      <c r="G34" s="4639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1</v>
      </c>
      <c r="N34">
        <v>0</v>
      </c>
      <c r="O34" s="4640">
        <v>2</v>
      </c>
      <c r="P34">
        <v>0</v>
      </c>
      <c r="Q34">
        <v>0</v>
      </c>
      <c r="R34">
        <v>0</v>
      </c>
      <c r="S34">
        <v>0</v>
      </c>
      <c r="T34" s="4641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3</v>
      </c>
      <c r="AA34">
        <v>0</v>
      </c>
      <c r="AB34" s="4642">
        <v>0</v>
      </c>
      <c r="AC34">
        <v>0</v>
      </c>
      <c r="AD34">
        <v>0</v>
      </c>
      <c r="AE34">
        <v>0</v>
      </c>
      <c r="AF34">
        <v>0</v>
      </c>
      <c r="AG34" s="4643">
        <v>1</v>
      </c>
      <c r="AH34">
        <v>1</v>
      </c>
      <c r="AI34">
        <v>2</v>
      </c>
      <c r="AJ34">
        <v>0</v>
      </c>
      <c r="AK34">
        <v>0</v>
      </c>
      <c r="AL34">
        <v>1</v>
      </c>
      <c r="AM34">
        <v>4</v>
      </c>
      <c r="AN34">
        <v>0</v>
      </c>
      <c r="AO34" s="4644">
        <v>0</v>
      </c>
      <c r="AP34">
        <v>1</v>
      </c>
      <c r="AQ34">
        <v>0</v>
      </c>
      <c r="AR34">
        <v>0</v>
      </c>
      <c r="AS34">
        <v>0</v>
      </c>
      <c r="AT34" s="4645"/>
      <c r="BB34" s="4646"/>
      <c r="BG34" s="4647"/>
      <c r="BO34" s="4648"/>
      <c r="BT34" s="4649"/>
      <c r="CB34" s="4650"/>
    </row>
    <row r="35" spans="1:80" x14ac:dyDescent="0.25">
      <c r="A35" s="40" t="s">
        <v>1384</v>
      </c>
      <c r="B35" s="40"/>
      <c r="C35" s="40"/>
      <c r="D35" s="40"/>
      <c r="E35" s="40"/>
      <c r="F35" s="40"/>
      <c r="G35" s="4654"/>
      <c r="O35" s="4655"/>
      <c r="T35" s="4656"/>
      <c r="AB35" s="4657"/>
      <c r="AG35" s="4658"/>
      <c r="AO35" s="4659"/>
      <c r="AT35" s="4660"/>
      <c r="BB35" s="4661"/>
      <c r="BG35" s="4662"/>
      <c r="BO35" s="4663"/>
      <c r="BT35" s="4664"/>
      <c r="CB35" s="4665"/>
    </row>
    <row r="36" spans="1:80" x14ac:dyDescent="0.25">
      <c r="A36" s="4666" t="s">
        <v>1385</v>
      </c>
      <c r="B36">
        <v>1.1000000000000001</v>
      </c>
      <c r="C36">
        <v>0.41</v>
      </c>
      <c r="D36">
        <v>0.65</v>
      </c>
      <c r="G36" s="4667">
        <v>0</v>
      </c>
      <c r="H36">
        <v>1</v>
      </c>
      <c r="I36">
        <v>1</v>
      </c>
      <c r="J36">
        <v>1</v>
      </c>
      <c r="K36">
        <v>0</v>
      </c>
      <c r="L36">
        <v>0</v>
      </c>
      <c r="M36">
        <v>2</v>
      </c>
      <c r="N36">
        <v>2</v>
      </c>
      <c r="O36" s="4668">
        <v>0</v>
      </c>
      <c r="P36">
        <v>0</v>
      </c>
      <c r="Q36">
        <v>0</v>
      </c>
      <c r="R36">
        <v>0</v>
      </c>
      <c r="S36">
        <v>0</v>
      </c>
      <c r="T36" s="4669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 s="4670">
        <v>0</v>
      </c>
      <c r="AC36">
        <v>0</v>
      </c>
      <c r="AD36">
        <v>0</v>
      </c>
      <c r="AE36">
        <v>0</v>
      </c>
      <c r="AF36">
        <v>0</v>
      </c>
      <c r="AG36" s="4671">
        <v>1</v>
      </c>
      <c r="AH36">
        <v>0</v>
      </c>
      <c r="AI36">
        <v>0</v>
      </c>
      <c r="AJ36">
        <v>1</v>
      </c>
      <c r="AK36">
        <v>0</v>
      </c>
      <c r="AL36">
        <v>0</v>
      </c>
      <c r="AM36">
        <v>3</v>
      </c>
      <c r="AN36">
        <v>1</v>
      </c>
      <c r="AO36" s="4672">
        <v>0</v>
      </c>
      <c r="AP36">
        <v>0</v>
      </c>
      <c r="AQ36">
        <v>0</v>
      </c>
      <c r="AR36">
        <v>0</v>
      </c>
      <c r="AS36">
        <v>0</v>
      </c>
      <c r="AT36" s="4673"/>
      <c r="BB36" s="4674"/>
      <c r="BG36" s="4675"/>
      <c r="BO36" s="4676"/>
      <c r="BT36" s="4677"/>
      <c r="CB36" s="4678"/>
    </row>
    <row r="37" spans="1:80" x14ac:dyDescent="0.25">
      <c r="A37" s="4679" t="s">
        <v>1386</v>
      </c>
      <c r="B37">
        <v>1.39</v>
      </c>
      <c r="C37">
        <v>1.49</v>
      </c>
      <c r="D37">
        <v>1.42</v>
      </c>
      <c r="G37" s="4680">
        <v>1</v>
      </c>
      <c r="H37">
        <v>5</v>
      </c>
      <c r="I37">
        <v>3</v>
      </c>
      <c r="J37">
        <v>0</v>
      </c>
      <c r="K37">
        <v>0</v>
      </c>
      <c r="L37">
        <v>0</v>
      </c>
      <c r="M37">
        <v>4</v>
      </c>
      <c r="N37">
        <v>2</v>
      </c>
      <c r="O37" s="4681">
        <v>1</v>
      </c>
      <c r="P37">
        <v>0</v>
      </c>
      <c r="Q37">
        <v>0</v>
      </c>
      <c r="R37">
        <v>0</v>
      </c>
      <c r="S37">
        <v>0</v>
      </c>
      <c r="T37" s="4682">
        <v>0</v>
      </c>
      <c r="U37">
        <v>3</v>
      </c>
      <c r="V37">
        <v>2</v>
      </c>
      <c r="W37">
        <v>0</v>
      </c>
      <c r="X37">
        <v>0</v>
      </c>
      <c r="Y37">
        <v>0</v>
      </c>
      <c r="Z37">
        <v>1</v>
      </c>
      <c r="AA37">
        <v>4</v>
      </c>
      <c r="AB37" s="4683">
        <v>1</v>
      </c>
      <c r="AC37">
        <v>0</v>
      </c>
      <c r="AD37">
        <v>1</v>
      </c>
      <c r="AE37">
        <v>0</v>
      </c>
      <c r="AF37">
        <v>0</v>
      </c>
      <c r="AG37" s="4684">
        <v>2</v>
      </c>
      <c r="AH37">
        <v>6</v>
      </c>
      <c r="AI37">
        <v>1</v>
      </c>
      <c r="AJ37">
        <v>0</v>
      </c>
      <c r="AK37">
        <v>1</v>
      </c>
      <c r="AL37">
        <v>0</v>
      </c>
      <c r="AM37">
        <v>3</v>
      </c>
      <c r="AN37">
        <v>0</v>
      </c>
      <c r="AO37" s="4685">
        <v>1</v>
      </c>
      <c r="AP37">
        <v>0</v>
      </c>
      <c r="AQ37">
        <v>0</v>
      </c>
      <c r="AR37">
        <v>0</v>
      </c>
      <c r="AS37">
        <v>0</v>
      </c>
      <c r="AT37" s="4686"/>
      <c r="BB37" s="4687"/>
      <c r="BG37" s="4688"/>
      <c r="BO37" s="4689"/>
      <c r="BT37" s="4690"/>
      <c r="CB37" s="4691"/>
    </row>
    <row r="38" spans="1:80" x14ac:dyDescent="0.25">
      <c r="A38" s="4692" t="s">
        <v>1387</v>
      </c>
      <c r="B38">
        <v>0.88</v>
      </c>
      <c r="C38">
        <v>0.84</v>
      </c>
      <c r="D38">
        <v>1.26</v>
      </c>
      <c r="G38" s="4693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2</v>
      </c>
      <c r="N38">
        <v>0</v>
      </c>
      <c r="O38" s="4694">
        <v>0</v>
      </c>
      <c r="P38">
        <v>1</v>
      </c>
      <c r="Q38">
        <v>1</v>
      </c>
      <c r="R38">
        <v>0</v>
      </c>
      <c r="S38">
        <v>0</v>
      </c>
      <c r="T38" s="4695">
        <v>0</v>
      </c>
      <c r="U38">
        <v>0</v>
      </c>
      <c r="V38">
        <v>2</v>
      </c>
      <c r="W38">
        <v>0</v>
      </c>
      <c r="X38">
        <v>0</v>
      </c>
      <c r="Y38">
        <v>0</v>
      </c>
      <c r="Z38">
        <v>3</v>
      </c>
      <c r="AA38">
        <v>0</v>
      </c>
      <c r="AB38" s="4696">
        <v>0</v>
      </c>
      <c r="AC38">
        <v>0</v>
      </c>
      <c r="AD38">
        <v>0</v>
      </c>
      <c r="AE38">
        <v>0</v>
      </c>
      <c r="AF38">
        <v>0</v>
      </c>
      <c r="AG38" s="4697">
        <v>1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7</v>
      </c>
      <c r="AN38">
        <v>0</v>
      </c>
      <c r="AO38" s="4698">
        <v>2</v>
      </c>
      <c r="AP38">
        <v>0</v>
      </c>
      <c r="AQ38">
        <v>0</v>
      </c>
      <c r="AR38">
        <v>0</v>
      </c>
      <c r="AS38">
        <v>0</v>
      </c>
      <c r="AT38" s="4699"/>
      <c r="BB38" s="4700"/>
      <c r="BG38" s="4701"/>
      <c r="BO38" s="4702"/>
      <c r="BT38" s="4703"/>
      <c r="CB38" s="4704"/>
    </row>
    <row r="39" spans="1:80" x14ac:dyDescent="0.25">
      <c r="A39" s="4705" t="s">
        <v>1388</v>
      </c>
      <c r="B39">
        <v>0.66</v>
      </c>
      <c r="C39">
        <v>0.43</v>
      </c>
      <c r="D39">
        <v>0.45</v>
      </c>
      <c r="G39" s="4706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1</v>
      </c>
      <c r="N39">
        <v>1</v>
      </c>
      <c r="O39" s="4707">
        <v>0</v>
      </c>
      <c r="P39">
        <v>0</v>
      </c>
      <c r="Q39">
        <v>0</v>
      </c>
      <c r="R39">
        <v>0</v>
      </c>
      <c r="S39">
        <v>0</v>
      </c>
      <c r="T39" s="4708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 s="4709">
        <v>0</v>
      </c>
      <c r="AC39">
        <v>0</v>
      </c>
      <c r="AD39">
        <v>0</v>
      </c>
      <c r="AE39">
        <v>0</v>
      </c>
      <c r="AF39">
        <v>0</v>
      </c>
      <c r="AG39" s="4710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2</v>
      </c>
      <c r="AN39">
        <v>0</v>
      </c>
      <c r="AO39" s="4711">
        <v>1</v>
      </c>
      <c r="AP39">
        <v>0</v>
      </c>
      <c r="AQ39">
        <v>0</v>
      </c>
      <c r="AR39">
        <v>0</v>
      </c>
      <c r="AS39">
        <v>0</v>
      </c>
      <c r="AT39" s="4712"/>
      <c r="BB39" s="4713"/>
      <c r="BG39" s="4714"/>
      <c r="BO39" s="4715"/>
      <c r="BT39" s="4716"/>
      <c r="CB39" s="4717"/>
    </row>
    <row r="40" spans="1:80" x14ac:dyDescent="0.25">
      <c r="A40" s="44" t="s">
        <v>1399</v>
      </c>
      <c r="B40" s="44"/>
      <c r="C40" s="44"/>
      <c r="D40" s="44"/>
      <c r="E40" s="44"/>
      <c r="F40" s="44"/>
      <c r="G40" s="4811"/>
      <c r="O40" s="4812"/>
      <c r="T40" s="4813"/>
      <c r="AB40" s="4814"/>
      <c r="AG40" s="4815"/>
      <c r="AO40" s="4816"/>
      <c r="AT40" s="4817"/>
      <c r="BB40" s="4818"/>
      <c r="BG40" s="4819"/>
      <c r="BO40" s="4820"/>
      <c r="BT40" s="4821"/>
      <c r="CB40" s="4822"/>
    </row>
    <row r="41" spans="1:80" x14ac:dyDescent="0.25">
      <c r="A41" s="4823" t="s">
        <v>1400</v>
      </c>
      <c r="B41">
        <v>1.23</v>
      </c>
      <c r="C41">
        <v>1.29</v>
      </c>
      <c r="D41">
        <v>1.03</v>
      </c>
      <c r="G41" s="4824">
        <v>0</v>
      </c>
      <c r="H41">
        <v>2</v>
      </c>
      <c r="I41">
        <v>1</v>
      </c>
      <c r="J41">
        <v>0</v>
      </c>
      <c r="K41">
        <v>0</v>
      </c>
      <c r="L41">
        <v>0</v>
      </c>
      <c r="M41">
        <v>3</v>
      </c>
      <c r="N41">
        <v>1</v>
      </c>
      <c r="O41" s="4825">
        <v>0</v>
      </c>
      <c r="P41">
        <v>0</v>
      </c>
      <c r="Q41">
        <v>0</v>
      </c>
      <c r="R41">
        <v>0</v>
      </c>
      <c r="S41">
        <v>0</v>
      </c>
      <c r="T41" s="4826">
        <v>1</v>
      </c>
      <c r="U41">
        <v>2</v>
      </c>
      <c r="V41">
        <v>1</v>
      </c>
      <c r="W41">
        <v>0</v>
      </c>
      <c r="X41">
        <v>0</v>
      </c>
      <c r="Y41">
        <v>0</v>
      </c>
      <c r="Z41">
        <v>2</v>
      </c>
      <c r="AA41">
        <v>0</v>
      </c>
      <c r="AB41" s="4827">
        <v>1</v>
      </c>
      <c r="AC41">
        <v>0</v>
      </c>
      <c r="AD41">
        <v>0</v>
      </c>
      <c r="AE41">
        <v>0</v>
      </c>
      <c r="AF41">
        <v>0</v>
      </c>
      <c r="AG41" s="4828">
        <v>1</v>
      </c>
      <c r="AH41">
        <v>4</v>
      </c>
      <c r="AI41">
        <v>0</v>
      </c>
      <c r="AJ41">
        <v>0</v>
      </c>
      <c r="AK41">
        <v>0</v>
      </c>
      <c r="AL41">
        <v>0</v>
      </c>
      <c r="AM41">
        <v>2</v>
      </c>
      <c r="AN41">
        <v>1</v>
      </c>
      <c r="AO41" s="4829">
        <v>1</v>
      </c>
      <c r="AP41">
        <v>0</v>
      </c>
      <c r="AQ41">
        <v>0</v>
      </c>
      <c r="AR41">
        <v>0</v>
      </c>
      <c r="AS41">
        <v>0</v>
      </c>
      <c r="AT41" s="4830"/>
      <c r="BB41" s="4831"/>
      <c r="BG41" s="4832"/>
      <c r="BO41" s="4833"/>
      <c r="BT41" s="4834"/>
      <c r="CB41" s="4835"/>
    </row>
    <row r="42" spans="1:80" x14ac:dyDescent="0.25">
      <c r="A42" s="40" t="s">
        <v>1394</v>
      </c>
      <c r="B42" s="40"/>
      <c r="C42" s="40"/>
      <c r="D42" s="40"/>
      <c r="E42" s="40"/>
      <c r="F42" s="40"/>
      <c r="G42" s="4836"/>
      <c r="O42" s="4837"/>
      <c r="T42" s="4838"/>
      <c r="AB42" s="4839"/>
      <c r="AG42" s="4840"/>
      <c r="AO42" s="4841"/>
      <c r="AT42" s="4842"/>
      <c r="BB42" s="4843"/>
      <c r="BG42" s="4844"/>
      <c r="BO42" s="4845"/>
      <c r="BT42" s="4846"/>
      <c r="CB42" s="4847"/>
    </row>
    <row r="43" spans="1:80" x14ac:dyDescent="0.25">
      <c r="A43" s="4848" t="s">
        <v>356</v>
      </c>
      <c r="B43">
        <v>0.59</v>
      </c>
      <c r="C43">
        <v>1.01</v>
      </c>
      <c r="G43" s="4849">
        <v>0</v>
      </c>
      <c r="H43">
        <v>0</v>
      </c>
      <c r="I43">
        <v>1</v>
      </c>
      <c r="J43">
        <v>0</v>
      </c>
      <c r="K43">
        <v>0</v>
      </c>
      <c r="L43">
        <v>0</v>
      </c>
      <c r="M43">
        <v>1</v>
      </c>
      <c r="N43">
        <v>1</v>
      </c>
      <c r="O43" s="4850">
        <v>0</v>
      </c>
      <c r="P43">
        <v>0</v>
      </c>
      <c r="Q43">
        <v>0</v>
      </c>
      <c r="R43">
        <v>0</v>
      </c>
      <c r="S43">
        <v>0</v>
      </c>
      <c r="T43" s="4851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3</v>
      </c>
      <c r="AA43">
        <v>1</v>
      </c>
      <c r="AB43" s="4852">
        <v>1</v>
      </c>
      <c r="AC43">
        <v>0</v>
      </c>
      <c r="AD43">
        <v>0</v>
      </c>
      <c r="AE43">
        <v>0</v>
      </c>
      <c r="AF43">
        <v>0</v>
      </c>
      <c r="AG43" s="4853"/>
      <c r="AO43" s="4854"/>
      <c r="AT43" s="4855"/>
      <c r="BB43" s="4856"/>
      <c r="BG43" s="4857"/>
      <c r="BO43" s="4858"/>
      <c r="BT43" s="4859"/>
      <c r="CB43" s="4860"/>
    </row>
    <row r="44" spans="1:80" x14ac:dyDescent="0.25">
      <c r="A44" s="4861" t="s">
        <v>737</v>
      </c>
      <c r="B44">
        <v>0.88</v>
      </c>
      <c r="C44">
        <v>1.1299999999999999</v>
      </c>
      <c r="G44" s="4862">
        <v>1</v>
      </c>
      <c r="H44">
        <v>0</v>
      </c>
      <c r="I44">
        <v>2</v>
      </c>
      <c r="J44">
        <v>0</v>
      </c>
      <c r="K44">
        <v>0</v>
      </c>
      <c r="L44">
        <v>0</v>
      </c>
      <c r="M44">
        <v>1</v>
      </c>
      <c r="N44">
        <v>0</v>
      </c>
      <c r="O44" s="4863">
        <v>0</v>
      </c>
      <c r="P44">
        <v>0</v>
      </c>
      <c r="Q44">
        <v>0</v>
      </c>
      <c r="R44">
        <v>0</v>
      </c>
      <c r="S44">
        <v>0</v>
      </c>
      <c r="T44" s="4864">
        <v>2</v>
      </c>
      <c r="U44">
        <v>0</v>
      </c>
      <c r="V44">
        <v>2</v>
      </c>
      <c r="W44">
        <v>0</v>
      </c>
      <c r="X44">
        <v>0</v>
      </c>
      <c r="Y44">
        <v>0</v>
      </c>
      <c r="Z44">
        <v>9</v>
      </c>
      <c r="AA44">
        <v>3</v>
      </c>
      <c r="AB44" s="4865">
        <v>0</v>
      </c>
      <c r="AC44">
        <v>0</v>
      </c>
      <c r="AD44">
        <v>0</v>
      </c>
      <c r="AE44">
        <v>0</v>
      </c>
      <c r="AF44">
        <v>0</v>
      </c>
      <c r="AG44" s="4866"/>
      <c r="AO44" s="4867"/>
      <c r="AT44" s="4868"/>
      <c r="BB44" s="4869"/>
      <c r="BG44" s="4870"/>
      <c r="BO44" s="4871"/>
      <c r="BT44" s="4872"/>
      <c r="CB44" s="4873"/>
    </row>
    <row r="45" spans="1:80" x14ac:dyDescent="0.25">
      <c r="A45" s="4874" t="s">
        <v>738</v>
      </c>
      <c r="B45">
        <v>1.33</v>
      </c>
      <c r="C45">
        <v>1.1599999999999999</v>
      </c>
      <c r="G45" s="4875">
        <v>1</v>
      </c>
      <c r="H45">
        <v>2</v>
      </c>
      <c r="I45">
        <v>2</v>
      </c>
      <c r="J45">
        <v>0</v>
      </c>
      <c r="K45">
        <v>0</v>
      </c>
      <c r="L45">
        <v>0</v>
      </c>
      <c r="M45">
        <v>4</v>
      </c>
      <c r="N45">
        <v>0</v>
      </c>
      <c r="O45" s="4876">
        <v>1</v>
      </c>
      <c r="P45">
        <v>0</v>
      </c>
      <c r="Q45">
        <v>0</v>
      </c>
      <c r="R45">
        <v>0</v>
      </c>
      <c r="S45">
        <v>0</v>
      </c>
      <c r="T45" s="4877">
        <v>1</v>
      </c>
      <c r="U45">
        <v>0</v>
      </c>
      <c r="V45">
        <v>1</v>
      </c>
      <c r="W45">
        <v>0</v>
      </c>
      <c r="X45">
        <v>0</v>
      </c>
      <c r="Y45">
        <v>3</v>
      </c>
      <c r="Z45">
        <v>5</v>
      </c>
      <c r="AA45">
        <v>1</v>
      </c>
      <c r="AB45" s="4878">
        <v>1</v>
      </c>
      <c r="AC45">
        <v>0</v>
      </c>
      <c r="AD45">
        <v>0</v>
      </c>
      <c r="AE45">
        <v>0</v>
      </c>
      <c r="AF45">
        <v>0</v>
      </c>
      <c r="AG45" s="4879"/>
      <c r="AO45" s="4880"/>
      <c r="AT45" s="4881"/>
      <c r="BB45" s="4882"/>
      <c r="BG45" s="4883"/>
      <c r="BO45" s="4884"/>
      <c r="BT45" s="4885"/>
      <c r="CB45" s="4886"/>
    </row>
    <row r="46" spans="1:80" x14ac:dyDescent="0.25">
      <c r="A46" s="4887" t="s">
        <v>1401</v>
      </c>
      <c r="B46">
        <v>0.89</v>
      </c>
      <c r="C46">
        <v>0.97</v>
      </c>
      <c r="G46" s="4888">
        <v>1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O46" s="4889">
        <v>0</v>
      </c>
      <c r="P46">
        <v>0</v>
      </c>
      <c r="Q46">
        <v>0</v>
      </c>
      <c r="R46">
        <v>0</v>
      </c>
      <c r="S46">
        <v>0</v>
      </c>
      <c r="T46" s="4890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6</v>
      </c>
      <c r="AA46">
        <v>0</v>
      </c>
      <c r="AB46" s="4891">
        <v>1</v>
      </c>
      <c r="AC46">
        <v>0</v>
      </c>
      <c r="AD46">
        <v>0</v>
      </c>
      <c r="AE46">
        <v>0</v>
      </c>
      <c r="AF46">
        <v>0</v>
      </c>
      <c r="AG46" s="4892"/>
      <c r="AO46" s="4893"/>
      <c r="AT46" s="4894"/>
      <c r="BB46" s="4895"/>
      <c r="BG46" s="4896"/>
      <c r="BO46" s="4897"/>
      <c r="BT46" s="4898"/>
      <c r="CB46" s="4899"/>
    </row>
    <row r="47" spans="1:80" x14ac:dyDescent="0.25">
      <c r="A47" s="4900" t="s">
        <v>1402</v>
      </c>
      <c r="B47">
        <v>1.54</v>
      </c>
      <c r="C47">
        <v>1.29</v>
      </c>
      <c r="G47" s="4901">
        <v>0</v>
      </c>
      <c r="H47">
        <v>3</v>
      </c>
      <c r="I47">
        <v>1</v>
      </c>
      <c r="J47">
        <v>1</v>
      </c>
      <c r="K47">
        <v>0</v>
      </c>
      <c r="L47">
        <v>1</v>
      </c>
      <c r="M47">
        <v>3</v>
      </c>
      <c r="N47">
        <v>1</v>
      </c>
      <c r="O47" s="4902">
        <v>0</v>
      </c>
      <c r="P47">
        <v>0</v>
      </c>
      <c r="Q47">
        <v>0</v>
      </c>
      <c r="R47">
        <v>0</v>
      </c>
      <c r="S47">
        <v>0</v>
      </c>
      <c r="T47" s="4903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6</v>
      </c>
      <c r="AA47">
        <v>0</v>
      </c>
      <c r="AB47" s="4904">
        <v>0</v>
      </c>
      <c r="AC47">
        <v>1</v>
      </c>
      <c r="AD47">
        <v>0</v>
      </c>
      <c r="AE47">
        <v>0</v>
      </c>
      <c r="AF47">
        <v>0</v>
      </c>
      <c r="AG47" s="4905"/>
      <c r="AO47" s="4906"/>
      <c r="AT47" s="4907"/>
      <c r="BB47" s="4908"/>
      <c r="BG47" s="4909"/>
      <c r="BO47" s="4910"/>
      <c r="BT47" s="4911"/>
      <c r="CB47" s="4912"/>
    </row>
    <row r="48" spans="1:80" x14ac:dyDescent="0.25">
      <c r="A48" s="40" t="s">
        <v>1428</v>
      </c>
      <c r="B48" s="40"/>
      <c r="C48" s="40"/>
      <c r="D48" s="40"/>
      <c r="E48" s="40"/>
      <c r="F48" s="40"/>
      <c r="G48" s="5353"/>
      <c r="O48" s="5354"/>
      <c r="T48" s="5355"/>
      <c r="AB48" s="5356"/>
      <c r="AG48" s="5357"/>
      <c r="AO48" s="5358"/>
      <c r="AT48" s="5359"/>
      <c r="BB48" s="5360"/>
      <c r="BG48" s="5361"/>
      <c r="BO48" s="5362"/>
      <c r="BT48" s="5363"/>
      <c r="CB48" s="5364"/>
    </row>
    <row r="49" spans="1:113" x14ac:dyDescent="0.25">
      <c r="A49" s="5365" t="s">
        <v>1429</v>
      </c>
      <c r="B49">
        <v>1.54</v>
      </c>
      <c r="C49">
        <v>1.45</v>
      </c>
      <c r="D49">
        <v>0.73</v>
      </c>
      <c r="G49" s="5366">
        <v>0</v>
      </c>
      <c r="H49">
        <v>2</v>
      </c>
      <c r="I49">
        <v>2</v>
      </c>
      <c r="J49">
        <v>0</v>
      </c>
      <c r="K49">
        <v>0</v>
      </c>
      <c r="L49">
        <v>0</v>
      </c>
      <c r="M49">
        <v>2</v>
      </c>
      <c r="N49">
        <v>1</v>
      </c>
      <c r="O49" s="5367">
        <v>0</v>
      </c>
      <c r="P49">
        <v>0</v>
      </c>
      <c r="Q49">
        <v>0</v>
      </c>
      <c r="R49">
        <v>0</v>
      </c>
      <c r="S49">
        <v>0</v>
      </c>
      <c r="T49" s="5368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v>5</v>
      </c>
      <c r="AA49">
        <v>1</v>
      </c>
      <c r="AB49" s="5369">
        <v>1</v>
      </c>
      <c r="AC49">
        <v>1</v>
      </c>
      <c r="AD49">
        <v>0</v>
      </c>
      <c r="AE49">
        <v>0</v>
      </c>
      <c r="AF49">
        <v>0</v>
      </c>
      <c r="AG49" s="5370">
        <v>1</v>
      </c>
      <c r="AH49">
        <v>1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 s="5371">
        <v>0</v>
      </c>
      <c r="AP49">
        <v>0</v>
      </c>
      <c r="AQ49">
        <v>0</v>
      </c>
      <c r="AR49">
        <v>0</v>
      </c>
      <c r="AS49">
        <v>0</v>
      </c>
      <c r="AT49" s="5372"/>
      <c r="BB49" s="5373"/>
      <c r="BG49" s="5374"/>
      <c r="BO49" s="5375"/>
      <c r="BT49" s="5376"/>
      <c r="CB49" s="5377"/>
    </row>
    <row r="50" spans="1:113" x14ac:dyDescent="0.25">
      <c r="A50" s="5378" t="s">
        <v>1431</v>
      </c>
      <c r="B50">
        <v>0.91</v>
      </c>
      <c r="C50">
        <v>1.33</v>
      </c>
      <c r="D50">
        <v>0.74</v>
      </c>
      <c r="G50" s="5379">
        <v>0</v>
      </c>
      <c r="H50">
        <v>2</v>
      </c>
      <c r="I50">
        <v>0</v>
      </c>
      <c r="J50">
        <v>0</v>
      </c>
      <c r="K50">
        <v>0</v>
      </c>
      <c r="L50">
        <v>1</v>
      </c>
      <c r="M50">
        <v>0</v>
      </c>
      <c r="N50">
        <v>0</v>
      </c>
      <c r="O50" s="5380">
        <v>0</v>
      </c>
      <c r="P50">
        <v>0</v>
      </c>
      <c r="Q50">
        <v>0</v>
      </c>
      <c r="R50">
        <v>0</v>
      </c>
      <c r="S50">
        <v>0</v>
      </c>
      <c r="T50" s="5381">
        <v>1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v>1</v>
      </c>
      <c r="AB50" s="5382">
        <v>0</v>
      </c>
      <c r="AC50">
        <v>1</v>
      </c>
      <c r="AD50">
        <v>0</v>
      </c>
      <c r="AE50">
        <v>0</v>
      </c>
      <c r="AF50">
        <v>0</v>
      </c>
      <c r="AG50" s="5383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 s="5384">
        <v>0</v>
      </c>
      <c r="AP50">
        <v>0</v>
      </c>
      <c r="AQ50">
        <v>0</v>
      </c>
      <c r="AR50">
        <v>0</v>
      </c>
      <c r="AS50">
        <v>0</v>
      </c>
      <c r="AT50" s="5385"/>
      <c r="BB50" s="5386"/>
      <c r="BG50" s="5387"/>
      <c r="BO50" s="5388"/>
      <c r="BT50" s="5389"/>
      <c r="CB50" s="5390"/>
    </row>
    <row r="51" spans="1:113" x14ac:dyDescent="0.25">
      <c r="A51" s="5391" t="s">
        <v>419</v>
      </c>
      <c r="B51">
        <v>0.84</v>
      </c>
      <c r="C51">
        <v>1.02</v>
      </c>
      <c r="D51">
        <v>0.37</v>
      </c>
      <c r="G51" s="5392">
        <v>1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1</v>
      </c>
      <c r="O51" s="5393">
        <v>0</v>
      </c>
      <c r="P51">
        <v>0</v>
      </c>
      <c r="Q51">
        <v>0</v>
      </c>
      <c r="R51">
        <v>0</v>
      </c>
      <c r="S51">
        <v>0</v>
      </c>
      <c r="T51" s="5394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5</v>
      </c>
      <c r="AA51">
        <v>0</v>
      </c>
      <c r="AB51" s="5395">
        <v>0</v>
      </c>
      <c r="AC51">
        <v>0</v>
      </c>
      <c r="AD51">
        <v>0</v>
      </c>
      <c r="AE51">
        <v>0</v>
      </c>
      <c r="AF51">
        <v>0</v>
      </c>
      <c r="AG51" s="5396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  <c r="AN51">
        <v>0</v>
      </c>
      <c r="AO51" s="5397">
        <v>0</v>
      </c>
      <c r="AP51">
        <v>0</v>
      </c>
      <c r="AQ51">
        <v>0</v>
      </c>
      <c r="AR51">
        <v>0</v>
      </c>
      <c r="AS51">
        <v>0</v>
      </c>
      <c r="AT51" s="5398"/>
      <c r="BB51" s="5399"/>
      <c r="BG51" s="5400"/>
      <c r="BO51" s="5401"/>
      <c r="BT51" s="5402"/>
      <c r="CB51" s="5403"/>
    </row>
    <row r="52" spans="1:113" x14ac:dyDescent="0.25">
      <c r="A52" s="5404" t="s">
        <v>1434</v>
      </c>
      <c r="B52">
        <v>1.3</v>
      </c>
      <c r="C52">
        <v>1</v>
      </c>
      <c r="D52">
        <v>1.0900000000000001</v>
      </c>
      <c r="G52" s="5405">
        <v>0</v>
      </c>
      <c r="H52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1</v>
      </c>
      <c r="O52" s="5406">
        <v>0</v>
      </c>
      <c r="P52">
        <v>1</v>
      </c>
      <c r="Q52">
        <v>0</v>
      </c>
      <c r="R52">
        <v>0</v>
      </c>
      <c r="S52">
        <v>0</v>
      </c>
      <c r="T52" s="5407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 s="5408">
        <v>0</v>
      </c>
      <c r="AC52">
        <v>0</v>
      </c>
      <c r="AD52">
        <v>0</v>
      </c>
      <c r="AE52">
        <v>0</v>
      </c>
      <c r="AF52">
        <v>0</v>
      </c>
      <c r="AG52" s="5409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1</v>
      </c>
      <c r="AN52">
        <v>0</v>
      </c>
      <c r="AO52" s="5410">
        <v>0</v>
      </c>
      <c r="AP52">
        <v>0</v>
      </c>
      <c r="AQ52">
        <v>0</v>
      </c>
      <c r="AR52">
        <v>0</v>
      </c>
      <c r="AS52">
        <v>0</v>
      </c>
      <c r="AT52" s="5411"/>
      <c r="BB52" s="5412"/>
      <c r="BG52" s="5413"/>
      <c r="BO52" s="5414"/>
      <c r="BT52" s="5415"/>
      <c r="CB52" s="5416"/>
    </row>
    <row r="53" spans="1:113" x14ac:dyDescent="0.25">
      <c r="A53" s="619" t="s">
        <v>1436</v>
      </c>
      <c r="B53" s="619"/>
      <c r="C53" s="619"/>
      <c r="D53" s="619"/>
      <c r="E53" s="619"/>
      <c r="F53" s="619"/>
      <c r="G53" s="5417"/>
      <c r="O53" s="5418"/>
      <c r="T53" s="5419"/>
      <c r="AB53" s="5420"/>
      <c r="AG53" s="5421"/>
      <c r="AO53" s="5422"/>
      <c r="AT53" s="5423"/>
      <c r="BB53" s="5424"/>
      <c r="BG53" s="5425"/>
      <c r="BO53" s="5426"/>
      <c r="BT53" s="5427"/>
      <c r="CB53" s="5428"/>
    </row>
    <row r="54" spans="1:113" x14ac:dyDescent="0.25">
      <c r="A54" s="5429" t="s">
        <v>1135</v>
      </c>
      <c r="B54">
        <v>0.78</v>
      </c>
      <c r="C54">
        <v>0.77</v>
      </c>
      <c r="G54" s="5430">
        <v>0</v>
      </c>
      <c r="H54">
        <v>7</v>
      </c>
      <c r="I54">
        <v>0</v>
      </c>
      <c r="J54">
        <v>0</v>
      </c>
      <c r="K54">
        <v>0</v>
      </c>
      <c r="L54">
        <v>0</v>
      </c>
      <c r="M54">
        <v>1</v>
      </c>
      <c r="N54">
        <v>0</v>
      </c>
      <c r="O54" s="5431">
        <v>0</v>
      </c>
      <c r="P54">
        <v>0</v>
      </c>
      <c r="Q54">
        <v>0</v>
      </c>
      <c r="R54">
        <v>0</v>
      </c>
      <c r="S54">
        <v>0</v>
      </c>
      <c r="T54" s="5432">
        <v>1</v>
      </c>
      <c r="U54">
        <v>0</v>
      </c>
      <c r="V54">
        <v>0</v>
      </c>
      <c r="W54">
        <v>0</v>
      </c>
      <c r="X54">
        <v>0</v>
      </c>
      <c r="Y54">
        <v>0</v>
      </c>
      <c r="Z54">
        <v>3</v>
      </c>
      <c r="AA54">
        <v>1</v>
      </c>
      <c r="AB54" s="5433">
        <v>0</v>
      </c>
      <c r="AC54">
        <v>0</v>
      </c>
      <c r="AD54">
        <v>0</v>
      </c>
      <c r="AE54">
        <v>0</v>
      </c>
      <c r="AF54">
        <v>0</v>
      </c>
      <c r="AG54" s="5434"/>
      <c r="AO54" s="5435"/>
      <c r="AT54" s="5436"/>
      <c r="BB54" s="5437"/>
      <c r="BG54" s="5438"/>
      <c r="BO54" s="5439"/>
      <c r="BT54" s="5440"/>
      <c r="CB54" s="5441"/>
    </row>
    <row r="55" spans="1:113" x14ac:dyDescent="0.25">
      <c r="A55" s="5442" t="s">
        <v>1437</v>
      </c>
      <c r="B55">
        <v>0.81</v>
      </c>
      <c r="C55">
        <v>0.77</v>
      </c>
      <c r="G55" s="5443">
        <v>0</v>
      </c>
      <c r="H55">
        <v>3</v>
      </c>
      <c r="I55">
        <v>0</v>
      </c>
      <c r="J55">
        <v>0</v>
      </c>
      <c r="K55">
        <v>0</v>
      </c>
      <c r="L55">
        <v>0</v>
      </c>
      <c r="M55">
        <v>2</v>
      </c>
      <c r="N55">
        <v>0</v>
      </c>
      <c r="O55" s="5444">
        <v>0</v>
      </c>
      <c r="P55">
        <v>0</v>
      </c>
      <c r="Q55">
        <v>0</v>
      </c>
      <c r="R55">
        <v>0</v>
      </c>
      <c r="S55">
        <v>0</v>
      </c>
      <c r="T55" s="544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7</v>
      </c>
      <c r="AA55">
        <v>0</v>
      </c>
      <c r="AB55" s="5446">
        <v>0</v>
      </c>
      <c r="AC55">
        <v>0</v>
      </c>
      <c r="AD55">
        <v>0</v>
      </c>
      <c r="AE55">
        <v>0</v>
      </c>
      <c r="AF55">
        <v>0</v>
      </c>
      <c r="AG55" s="5447"/>
      <c r="AO55" s="5448"/>
      <c r="AT55" s="5449"/>
      <c r="BB55" s="5450"/>
      <c r="BG55" s="5451"/>
      <c r="BO55" s="5452"/>
      <c r="BT55" s="5453"/>
      <c r="CB55" s="5454"/>
      <c r="CI55" t="s">
        <v>1451</v>
      </c>
    </row>
    <row r="56" spans="1:113" x14ac:dyDescent="0.25">
      <c r="B56" s="4070">
        <f>AVERAGE(B3:B55)</f>
        <v>1.0862790697674418</v>
      </c>
      <c r="C56" s="4470">
        <f t="shared" ref="C56:AG56" si="19">AVERAGE(C3:C55)</f>
        <v>1.0514285714285716</v>
      </c>
      <c r="D56" s="4470">
        <f t="shared" si="19"/>
        <v>0.98120000000000007</v>
      </c>
      <c r="E56" s="4470">
        <f t="shared" si="19"/>
        <v>1.19</v>
      </c>
      <c r="F56" s="4470">
        <f t="shared" si="19"/>
        <v>0.73</v>
      </c>
      <c r="G56" s="4150">
        <f>AVERAGE(G3:G55)</f>
        <v>0.78378378378378377</v>
      </c>
      <c r="H56" s="4150">
        <f t="shared" si="19"/>
        <v>1.6216216216216217</v>
      </c>
      <c r="I56" s="4150">
        <f t="shared" si="19"/>
        <v>0.83783783783783783</v>
      </c>
      <c r="J56" s="4150">
        <f t="shared" si="19"/>
        <v>0.1891891891891892</v>
      </c>
      <c r="K56" s="4150">
        <f t="shared" si="19"/>
        <v>0</v>
      </c>
      <c r="L56" s="4150">
        <f t="shared" si="19"/>
        <v>0.1891891891891892</v>
      </c>
      <c r="M56" s="4150">
        <f t="shared" si="19"/>
        <v>2.0270270270270272</v>
      </c>
      <c r="N56" s="4150">
        <f t="shared" si="19"/>
        <v>0.64864864864864868</v>
      </c>
      <c r="O56" s="4150">
        <f t="shared" si="19"/>
        <v>0.21621621621621623</v>
      </c>
      <c r="P56" s="4150">
        <f t="shared" si="19"/>
        <v>5.4054054054054057E-2</v>
      </c>
      <c r="Q56" s="4150">
        <f t="shared" si="19"/>
        <v>2.7027027027027029E-2</v>
      </c>
      <c r="R56" s="4150">
        <f t="shared" si="19"/>
        <v>0</v>
      </c>
      <c r="S56" s="4150">
        <f t="shared" si="19"/>
        <v>0</v>
      </c>
      <c r="T56" s="4150">
        <f t="shared" si="19"/>
        <v>0.44444444444444442</v>
      </c>
      <c r="U56" s="4150">
        <f t="shared" si="19"/>
        <v>0.63888888888888884</v>
      </c>
      <c r="V56" s="4150">
        <f t="shared" si="19"/>
        <v>0.58333333333333337</v>
      </c>
      <c r="W56" s="4150">
        <f t="shared" si="19"/>
        <v>0.19444444444444445</v>
      </c>
      <c r="X56" s="4150">
        <f t="shared" si="19"/>
        <v>0</v>
      </c>
      <c r="Y56" s="4150">
        <f t="shared" si="19"/>
        <v>8.3333333333333329E-2</v>
      </c>
      <c r="Z56" s="4150">
        <f t="shared" si="19"/>
        <v>3.3055555555555554</v>
      </c>
      <c r="AA56" s="4150">
        <f t="shared" si="19"/>
        <v>0.52777777777777779</v>
      </c>
      <c r="AB56" s="4150">
        <f t="shared" si="19"/>
        <v>0.3611111111111111</v>
      </c>
      <c r="AC56" s="4150">
        <f t="shared" si="19"/>
        <v>8.3333333333333329E-2</v>
      </c>
      <c r="AD56" s="4150">
        <f t="shared" si="19"/>
        <v>5.5555555555555552E-2</v>
      </c>
      <c r="AE56" s="4150">
        <f t="shared" si="19"/>
        <v>0</v>
      </c>
      <c r="AF56" s="4150">
        <f t="shared" si="19"/>
        <v>0</v>
      </c>
      <c r="AG56" s="4150">
        <f t="shared" si="19"/>
        <v>0.8571428571428571</v>
      </c>
      <c r="AH56" s="4150">
        <f t="shared" ref="AH56:BM56" si="20">AVERAGE(AH3:AH55)</f>
        <v>1.8571428571428572</v>
      </c>
      <c r="AI56" s="4150">
        <f t="shared" si="20"/>
        <v>0.95238095238095233</v>
      </c>
      <c r="AJ56" s="4150">
        <f t="shared" si="20"/>
        <v>0.14285714285714285</v>
      </c>
      <c r="AK56" s="4150">
        <f t="shared" si="20"/>
        <v>4.7619047619047616E-2</v>
      </c>
      <c r="AL56" s="4150">
        <f t="shared" si="20"/>
        <v>0.42857142857142855</v>
      </c>
      <c r="AM56" s="4150">
        <f t="shared" si="20"/>
        <v>2.5238095238095237</v>
      </c>
      <c r="AN56" s="4150">
        <f t="shared" si="20"/>
        <v>0.23809523809523808</v>
      </c>
      <c r="AO56" s="4150">
        <f t="shared" si="20"/>
        <v>0.47619047619047616</v>
      </c>
      <c r="AP56" s="4150">
        <f t="shared" si="20"/>
        <v>0.19047619047619047</v>
      </c>
      <c r="AQ56" s="4150">
        <f t="shared" si="20"/>
        <v>4.7619047619047616E-2</v>
      </c>
      <c r="AR56" s="4150">
        <f t="shared" si="20"/>
        <v>0</v>
      </c>
      <c r="AS56" s="4150">
        <f t="shared" si="20"/>
        <v>0</v>
      </c>
      <c r="AT56" s="4150">
        <f t="shared" si="20"/>
        <v>0</v>
      </c>
      <c r="AU56" s="4150">
        <f t="shared" si="20"/>
        <v>1</v>
      </c>
      <c r="AV56" s="4150">
        <f t="shared" si="20"/>
        <v>1</v>
      </c>
      <c r="AW56" s="4150">
        <f t="shared" si="20"/>
        <v>1</v>
      </c>
      <c r="AX56" s="4150">
        <f t="shared" si="20"/>
        <v>0</v>
      </c>
      <c r="AY56" s="4150">
        <f t="shared" si="20"/>
        <v>0</v>
      </c>
      <c r="AZ56" s="4150">
        <f t="shared" si="20"/>
        <v>3</v>
      </c>
      <c r="BA56" s="4150">
        <f t="shared" si="20"/>
        <v>2</v>
      </c>
      <c r="BB56" s="4150">
        <f t="shared" si="20"/>
        <v>0</v>
      </c>
      <c r="BC56" s="4150">
        <f t="shared" si="20"/>
        <v>0</v>
      </c>
      <c r="BD56" s="4150">
        <f t="shared" si="20"/>
        <v>0</v>
      </c>
      <c r="BE56" s="4150">
        <f t="shared" si="20"/>
        <v>0</v>
      </c>
      <c r="BF56" s="4150">
        <f t="shared" si="20"/>
        <v>0</v>
      </c>
      <c r="BG56" s="4150">
        <f t="shared" si="20"/>
        <v>2</v>
      </c>
      <c r="BH56" s="4150">
        <f t="shared" si="20"/>
        <v>3</v>
      </c>
      <c r="BI56" s="4150">
        <f t="shared" si="20"/>
        <v>0</v>
      </c>
      <c r="BJ56" s="4150">
        <f t="shared" si="20"/>
        <v>0</v>
      </c>
      <c r="BK56" s="4150">
        <f t="shared" si="20"/>
        <v>0</v>
      </c>
      <c r="BL56" s="4150">
        <f t="shared" si="20"/>
        <v>0</v>
      </c>
      <c r="BM56" s="4150">
        <f t="shared" si="20"/>
        <v>3</v>
      </c>
      <c r="BN56" s="4150">
        <f t="shared" ref="BN56:BS56" si="21">AVERAGE(BN3:BN55)</f>
        <v>0</v>
      </c>
      <c r="BO56" s="4150">
        <f t="shared" si="21"/>
        <v>0</v>
      </c>
      <c r="BP56" s="4150">
        <f t="shared" si="21"/>
        <v>0</v>
      </c>
      <c r="BQ56" s="4150">
        <f t="shared" si="21"/>
        <v>0</v>
      </c>
      <c r="BR56" s="4150">
        <f t="shared" si="21"/>
        <v>0</v>
      </c>
      <c r="BS56" s="4150">
        <f t="shared" si="21"/>
        <v>0</v>
      </c>
      <c r="CK56" s="4150"/>
      <c r="CL56" s="4150"/>
      <c r="CM56" s="4150"/>
      <c r="CN56" s="4150"/>
      <c r="CO56" s="4150"/>
      <c r="CP56" s="4150"/>
      <c r="CQ56" s="4150"/>
      <c r="CR56" s="4150"/>
      <c r="CS56" s="4150"/>
      <c r="CT56" s="4150"/>
      <c r="CU56" s="4150"/>
      <c r="CV56" s="4150"/>
      <c r="CW56" s="4150"/>
      <c r="CX56" s="4150"/>
      <c r="CY56" s="4150"/>
      <c r="CZ56" s="4150"/>
      <c r="DA56" s="4150"/>
      <c r="DB56" s="4150"/>
      <c r="DC56" s="4150"/>
      <c r="DD56" s="4150"/>
      <c r="DE56" s="4150"/>
      <c r="DF56" s="4150"/>
      <c r="DG56" s="4150"/>
      <c r="DH56" s="4150"/>
      <c r="DI56" s="4150"/>
    </row>
  </sheetData>
  <mergeCells count="20">
    <mergeCell ref="DH6:DM6"/>
    <mergeCell ref="CJ6:CO6"/>
    <mergeCell ref="CP6:CU6"/>
    <mergeCell ref="CV6:DA6"/>
    <mergeCell ref="DB6:DG6"/>
    <mergeCell ref="CJ4:CO4"/>
    <mergeCell ref="CP4:CU4"/>
    <mergeCell ref="CV4:DA4"/>
    <mergeCell ref="DB4:DG4"/>
    <mergeCell ref="DH1:DM1"/>
    <mergeCell ref="CJ3:CO3"/>
    <mergeCell ref="DH3:DM3"/>
    <mergeCell ref="DH4:DM4"/>
    <mergeCell ref="CJ1:CO1"/>
    <mergeCell ref="CP1:CU1"/>
    <mergeCell ref="CV1:DA1"/>
    <mergeCell ref="DB1:DG1"/>
    <mergeCell ref="CP3:CU3"/>
    <mergeCell ref="CV3:DA3"/>
    <mergeCell ref="DB3:DG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M80"/>
  <sheetViews>
    <sheetView tabSelected="1" workbookViewId="0">
      <pane ySplit="1" topLeftCell="A2" activePane="bottomLeft" state="frozen"/>
      <selection pane="bottomLeft" activeCell="L22" sqref="L22"/>
    </sheetView>
  </sheetViews>
  <sheetFormatPr defaultRowHeight="15" x14ac:dyDescent="0.25"/>
  <cols>
    <col min="1" max="1" width="12.85546875" customWidth="1"/>
    <col min="5" max="5" width="14.140625" style="4147" customWidth="1"/>
    <col min="6" max="6" width="9.140625" style="4147"/>
    <col min="88" max="88" width="10.28515625" bestFit="1" customWidth="1"/>
  </cols>
  <sheetData>
    <row r="1" spans="1:117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827" t="s">
        <v>1463</v>
      </c>
      <c r="CK1" s="5808"/>
      <c r="CL1" s="5808"/>
      <c r="CM1" s="5808"/>
      <c r="CN1" s="5808" t="s">
        <v>1111</v>
      </c>
      <c r="CO1" s="5808"/>
      <c r="CP1" s="5809" t="s">
        <v>1459</v>
      </c>
      <c r="CQ1" s="5809"/>
      <c r="CR1" s="5809"/>
      <c r="CS1" s="5809"/>
      <c r="CT1" s="5809" t="s">
        <v>1362</v>
      </c>
      <c r="CU1" s="5809"/>
      <c r="CV1" s="5800" t="s">
        <v>1457</v>
      </c>
      <c r="CW1" s="5800"/>
      <c r="CX1" s="5800"/>
      <c r="CY1" s="5800"/>
      <c r="CZ1" s="5800"/>
      <c r="DA1" s="5800"/>
      <c r="DB1" s="5799" t="s">
        <v>1102</v>
      </c>
      <c r="DC1" s="5799"/>
      <c r="DD1" s="5799"/>
      <c r="DE1" s="5799"/>
      <c r="DF1" s="5799" t="s">
        <v>1380</v>
      </c>
      <c r="DG1" s="5799"/>
      <c r="DH1" s="5800" t="s">
        <v>1460</v>
      </c>
      <c r="DI1" s="5800"/>
      <c r="DJ1" s="5800"/>
      <c r="DK1" s="5800"/>
      <c r="DL1" s="5800"/>
      <c r="DM1" s="5800"/>
    </row>
    <row r="2" spans="1:117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J2" s="1">
        <f>AVERAGE(B6,B10,B12,B15,B16,B22,B23,B24,B36,B39,B44,B51,B57,B60,B61,B65,B66,B69,B73,B79)</f>
        <v>0.88444444444444459</v>
      </c>
      <c r="CK2" s="1">
        <f t="shared" ref="CK2:CL2" si="0">AVERAGE(C6,C10,C12,C15,C16,C22,C23,C24,C36,C39,C44,C51,C57,C60,C61,C65,C66,C69,C73,C79)</f>
        <v>0.96999999999999986</v>
      </c>
      <c r="CL2" s="1">
        <f t="shared" si="0"/>
        <v>1.1052941176470588</v>
      </c>
      <c r="CM2" s="1" t="e">
        <f t="shared" ref="CM2:CN2" si="1">AVERAGE(E6,E10,E12,E15,E16,E22,E23,E24)</f>
        <v>#DIV/0!</v>
      </c>
      <c r="CN2" s="1" t="e">
        <f t="shared" si="1"/>
        <v>#DIV/0!</v>
      </c>
      <c r="CO2" s="1"/>
      <c r="CP2" s="1">
        <f>AVERAGE(B3,B7,B8,B17,B20,B25,B26,B27,B29,B37,B46,B53,B56,B58,B74,B76)</f>
        <v>0.84857142857142875</v>
      </c>
      <c r="CQ2" s="1">
        <f t="shared" ref="CQ2:CR2" si="2">AVERAGE(C3,C7,C8,C17,C20,C25,C26,C27,C29,C37,C46,C53,C56,C58,C74,C76)</f>
        <v>1.0921428571428573</v>
      </c>
      <c r="CR2" s="1">
        <f t="shared" si="2"/>
        <v>0.97461538461538444</v>
      </c>
      <c r="CS2" s="1" t="e">
        <f t="shared" ref="CS2:CT2" si="3">AVERAGE(E3,E7,E8,E17,E20,E25,E26,E27,E29)</f>
        <v>#DIV/0!</v>
      </c>
      <c r="CT2" s="1" t="e">
        <f t="shared" si="3"/>
        <v>#DIV/0!</v>
      </c>
      <c r="CU2" s="1"/>
      <c r="CV2" s="1">
        <f>AVERAGE(B5,B13,B32,B38,B49,B52,B54,B67,B68,B71)</f>
        <v>1.2944444444444445</v>
      </c>
      <c r="CW2" s="1">
        <f t="shared" ref="CW2:CX2" si="4">AVERAGE(C5,C13,C32,C38,C49,C52,C54,C67,C68,C71)</f>
        <v>1.1388888888888888</v>
      </c>
      <c r="CX2" s="1">
        <f t="shared" si="4"/>
        <v>1.2844444444444445</v>
      </c>
      <c r="CY2" s="1" t="e">
        <f t="shared" ref="CY2:CZ2" si="5">AVERAGE(E5,E13,E32)</f>
        <v>#DIV/0!</v>
      </c>
      <c r="CZ2" s="1" t="e">
        <f t="shared" si="5"/>
        <v>#DIV/0!</v>
      </c>
      <c r="DA2" s="1"/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AVERAGE(#REF!,B11)</f>
        <v>#REF!</v>
      </c>
      <c r="DG2" s="1"/>
      <c r="DH2" s="1">
        <f>AVERAGE(B11,B18,B28,B40,B43,B48,B64,B72,B77)</f>
        <v>1.0271428571428571</v>
      </c>
      <c r="DI2" s="1">
        <f t="shared" ref="DI2:DJ2" si="6">AVERAGE(C11,C18,C28,C40,C43,C48,C64,C72,C77)</f>
        <v>1.0371428571428571</v>
      </c>
      <c r="DJ2" s="1">
        <f t="shared" si="6"/>
        <v>1.1914285714285715</v>
      </c>
      <c r="DK2" s="1" t="e">
        <f t="shared" ref="DK2:DL2" si="7">AVERAGE(E11,E18,E28)</f>
        <v>#DIV/0!</v>
      </c>
      <c r="DL2" s="1" t="e">
        <f t="shared" si="7"/>
        <v>#DIV/0!</v>
      </c>
      <c r="DM2" s="1"/>
    </row>
    <row r="3" spans="1:117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J3" s="5782">
        <f>_xlfn.AGGREGATE(1,6,CJ2:CO2)</f>
        <v>0.98657952069716759</v>
      </c>
      <c r="CK3" s="5782"/>
      <c r="CL3" s="5782"/>
      <c r="CM3" s="5782"/>
      <c r="CN3" s="5782"/>
      <c r="CO3" s="5782"/>
      <c r="CP3" s="5782">
        <f t="shared" ref="CP3" si="8">_xlfn.AGGREGATE(1,6,CP2:CU2)</f>
        <v>0.97177655677655694</v>
      </c>
      <c r="CQ3" s="5782"/>
      <c r="CR3" s="5782"/>
      <c r="CS3" s="5782"/>
      <c r="CT3" s="5782"/>
      <c r="CU3" s="5782"/>
      <c r="CV3" s="5782">
        <f t="shared" ref="CV3" si="9">_xlfn.AGGREGATE(1,6,CV2:DA2)</f>
        <v>1.2392592592592593</v>
      </c>
      <c r="CW3" s="5782"/>
      <c r="CX3" s="5782"/>
      <c r="CY3" s="5782"/>
      <c r="CZ3" s="5782"/>
      <c r="DA3" s="5782"/>
      <c r="DB3" s="5782" t="e">
        <f t="shared" ref="DB3" si="10">_xlfn.AGGREGATE(1,6,DB2:DG2)</f>
        <v>#DIV/0!</v>
      </c>
      <c r="DC3" s="5782"/>
      <c r="DD3" s="5782"/>
      <c r="DE3" s="5782"/>
      <c r="DF3" s="5782"/>
      <c r="DG3" s="5782"/>
      <c r="DH3" s="5782">
        <f t="shared" ref="DH3" si="11">_xlfn.AGGREGATE(1,6,DH2:DM2)</f>
        <v>1.0852380952380951</v>
      </c>
      <c r="DI3" s="5782"/>
      <c r="DJ3" s="5782"/>
      <c r="DK3" s="5782"/>
      <c r="DL3" s="5782"/>
      <c r="DM3" s="5782"/>
    </row>
    <row r="4" spans="1:117" x14ac:dyDescent="0.25">
      <c r="A4" s="4457" t="s">
        <v>1365</v>
      </c>
      <c r="B4" s="4457"/>
      <c r="C4" s="4457"/>
      <c r="D4" s="4457"/>
      <c r="E4" s="4457"/>
      <c r="F4" s="4457"/>
      <c r="G4" s="4418"/>
      <c r="O4" s="4419"/>
      <c r="T4" s="4420"/>
      <c r="AB4" s="4421"/>
      <c r="AG4" s="4422"/>
      <c r="AO4" s="4423"/>
      <c r="AT4" s="4424"/>
      <c r="BB4" s="4425"/>
      <c r="BG4" s="4426"/>
      <c r="BO4" s="4427"/>
      <c r="BT4" s="4428"/>
      <c r="CB4" s="4429"/>
      <c r="CJ4" s="5800" t="s">
        <v>1462</v>
      </c>
      <c r="CK4" s="5800"/>
      <c r="CL4" s="5800"/>
      <c r="CM4" s="5800"/>
      <c r="CN4" s="5800"/>
      <c r="CO4" s="5800"/>
      <c r="CP4" s="5806" t="s">
        <v>994</v>
      </c>
      <c r="CQ4" s="5806"/>
      <c r="CR4" s="5806"/>
      <c r="CS4" s="5806"/>
      <c r="CT4" s="5806"/>
      <c r="CU4" s="5806"/>
      <c r="CV4" s="5799" t="s">
        <v>1443</v>
      </c>
      <c r="CW4" s="5799"/>
      <c r="CX4" s="5799"/>
      <c r="CY4" s="5799"/>
      <c r="CZ4" s="5799"/>
      <c r="DA4" s="5799"/>
      <c r="DB4" s="5809" t="s">
        <v>1422</v>
      </c>
      <c r="DC4" s="5809"/>
      <c r="DD4" s="5809"/>
      <c r="DE4" s="5809"/>
      <c r="DF4" s="5809"/>
      <c r="DG4" s="5809"/>
    </row>
    <row r="5" spans="1:117" x14ac:dyDescent="0.25">
      <c r="A5" s="4430" t="s">
        <v>381</v>
      </c>
      <c r="B5">
        <v>1.03</v>
      </c>
      <c r="C5">
        <v>0.86</v>
      </c>
      <c r="D5">
        <v>1.3</v>
      </c>
      <c r="G5" s="4431">
        <v>1</v>
      </c>
      <c r="H5">
        <v>3</v>
      </c>
      <c r="I5">
        <v>1</v>
      </c>
      <c r="J5">
        <v>0</v>
      </c>
      <c r="K5">
        <v>0</v>
      </c>
      <c r="L5">
        <v>0</v>
      </c>
      <c r="M5">
        <v>1</v>
      </c>
      <c r="N5">
        <v>0</v>
      </c>
      <c r="O5" s="4432">
        <v>0</v>
      </c>
      <c r="P5">
        <v>0</v>
      </c>
      <c r="Q5">
        <v>0</v>
      </c>
      <c r="R5">
        <v>0</v>
      </c>
      <c r="S5">
        <v>0</v>
      </c>
      <c r="T5" s="4433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</v>
      </c>
      <c r="AA5">
        <v>0</v>
      </c>
      <c r="AB5" s="4434">
        <v>0</v>
      </c>
      <c r="AC5">
        <v>1</v>
      </c>
      <c r="AD5">
        <v>0</v>
      </c>
      <c r="AE5">
        <v>0</v>
      </c>
      <c r="AF5">
        <v>0</v>
      </c>
      <c r="AG5" s="4435">
        <v>2</v>
      </c>
      <c r="AH5">
        <v>1</v>
      </c>
      <c r="AI5">
        <v>0</v>
      </c>
      <c r="AJ5">
        <v>2</v>
      </c>
      <c r="AK5">
        <v>0</v>
      </c>
      <c r="AL5">
        <v>0</v>
      </c>
      <c r="AM5">
        <v>2</v>
      </c>
      <c r="AN5">
        <v>1</v>
      </c>
      <c r="AO5" s="4436">
        <v>0</v>
      </c>
      <c r="AP5">
        <v>1</v>
      </c>
      <c r="AQ5">
        <v>0</v>
      </c>
      <c r="AR5">
        <v>0</v>
      </c>
      <c r="AS5">
        <v>0</v>
      </c>
      <c r="AT5" s="4437"/>
      <c r="BB5" s="4438"/>
      <c r="BG5" s="4439"/>
      <c r="BO5" s="4440"/>
      <c r="BT5" s="4441"/>
      <c r="CB5" s="4442"/>
      <c r="CJ5" s="4149">
        <f>AVERAGE(B19,B30,B34,B50,B63,B78)</f>
        <v>1.0920000000000001</v>
      </c>
      <c r="CK5" s="5352">
        <f t="shared" ref="CK5:CL5" si="12">AVERAGE(C19,C30,C34,C50,C63,C78)</f>
        <v>1.024</v>
      </c>
      <c r="CL5" s="5352">
        <f t="shared" si="12"/>
        <v>1.0760000000000001</v>
      </c>
      <c r="CM5" s="4653" t="e">
        <f t="shared" ref="CM5:CN5" si="13">AVERAGE(E19,E30)</f>
        <v>#DIV/0!</v>
      </c>
      <c r="CN5" s="4653" t="e">
        <f t="shared" si="13"/>
        <v>#DIV/0!</v>
      </c>
      <c r="CO5" s="4470"/>
      <c r="CP5" s="4149" t="e">
        <f>AVERAGE(CP8)</f>
        <v>#DIV/0!</v>
      </c>
      <c r="CQ5" s="4653" t="e">
        <f t="shared" ref="CQ5:CT5" si="14">AVERAGE(CQ8)</f>
        <v>#DIV/0!</v>
      </c>
      <c r="CR5" s="4653" t="e">
        <f t="shared" si="14"/>
        <v>#DIV/0!</v>
      </c>
      <c r="CS5" s="4653" t="e">
        <f t="shared" si="14"/>
        <v>#DIV/0!</v>
      </c>
      <c r="CT5" s="4653" t="e">
        <f t="shared" si="14"/>
        <v>#DIV/0!</v>
      </c>
      <c r="CU5" s="4149"/>
      <c r="CV5" s="4149">
        <f>AVERAGE(B41,B59)</f>
        <v>1.125</v>
      </c>
      <c r="CW5" s="5352">
        <f t="shared" ref="CW5:CX5" si="15">AVERAGE(C41,C59)</f>
        <v>1.0150000000000001</v>
      </c>
      <c r="CX5" s="5352">
        <f t="shared" si="15"/>
        <v>1.1499999999999999</v>
      </c>
      <c r="CY5" s="4653" t="e">
        <f t="shared" ref="CY5:CZ5" si="16">AVERAGE(CY8,E41)</f>
        <v>#DIV/0!</v>
      </c>
      <c r="CZ5" s="4653" t="e">
        <f t="shared" si="16"/>
        <v>#DIV/0!</v>
      </c>
      <c r="DA5" s="4149"/>
      <c r="DB5" s="4149">
        <f>AVERAGE(B31,B45)</f>
        <v>0.77499999999999991</v>
      </c>
      <c r="DC5" s="5352">
        <f t="shared" ref="DC5:DD5" si="17">AVERAGE(C31,C45)</f>
        <v>0.73499999999999999</v>
      </c>
      <c r="DD5" s="5352">
        <f t="shared" si="17"/>
        <v>1.1850000000000001</v>
      </c>
      <c r="DE5" s="4808" t="e">
        <f>AVERAGE(E31)</f>
        <v>#DIV/0!</v>
      </c>
      <c r="DF5" s="4808" t="e">
        <f>AVERAGE(F31)</f>
        <v>#DIV/0!</v>
      </c>
      <c r="DG5" s="4149"/>
    </row>
    <row r="6" spans="1:117" x14ac:dyDescent="0.25">
      <c r="A6" s="4443" t="s">
        <v>1374</v>
      </c>
      <c r="B6">
        <v>1.25</v>
      </c>
      <c r="C6">
        <v>1.42</v>
      </c>
      <c r="D6">
        <v>0.99</v>
      </c>
      <c r="G6" s="4444">
        <v>2</v>
      </c>
      <c r="H6">
        <v>1</v>
      </c>
      <c r="I6">
        <v>0</v>
      </c>
      <c r="J6">
        <v>0</v>
      </c>
      <c r="K6">
        <v>0</v>
      </c>
      <c r="L6">
        <v>1</v>
      </c>
      <c r="M6">
        <v>2</v>
      </c>
      <c r="N6">
        <v>0</v>
      </c>
      <c r="O6" s="4445">
        <v>0</v>
      </c>
      <c r="P6">
        <v>0</v>
      </c>
      <c r="Q6">
        <v>0</v>
      </c>
      <c r="R6">
        <v>0</v>
      </c>
      <c r="S6">
        <v>0</v>
      </c>
      <c r="T6" s="444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3</v>
      </c>
      <c r="AA6">
        <v>2</v>
      </c>
      <c r="AB6" s="4447">
        <v>0</v>
      </c>
      <c r="AC6">
        <v>0</v>
      </c>
      <c r="AD6">
        <v>0</v>
      </c>
      <c r="AE6">
        <v>0</v>
      </c>
      <c r="AF6">
        <v>0</v>
      </c>
      <c r="AG6" s="4448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 s="4449">
        <v>0</v>
      </c>
      <c r="AP6">
        <v>1</v>
      </c>
      <c r="AQ6">
        <v>0</v>
      </c>
      <c r="AR6">
        <v>0</v>
      </c>
      <c r="AS6">
        <v>0</v>
      </c>
      <c r="AT6" s="4450"/>
      <c r="BB6" s="4451"/>
      <c r="BG6" s="4452"/>
      <c r="BO6" s="4453"/>
      <c r="BT6" s="4454"/>
      <c r="CB6" s="4455"/>
      <c r="CJ6" s="5782">
        <f>_xlfn.AGGREGATE(1,6,CJ5:CO5)</f>
        <v>1.0640000000000001</v>
      </c>
      <c r="CK6" s="5782"/>
      <c r="CL6" s="5782"/>
      <c r="CM6" s="5782"/>
      <c r="CN6" s="5782"/>
      <c r="CO6" s="5782"/>
      <c r="CP6" s="5782" t="e">
        <f>_xlfn.AGGREGATE(1,6,CP5:CU5)</f>
        <v>#DIV/0!</v>
      </c>
      <c r="CQ6" s="5782"/>
      <c r="CR6" s="5782"/>
      <c r="CS6" s="5782"/>
      <c r="CT6" s="5782"/>
      <c r="CU6" s="5782"/>
      <c r="CV6" s="5782">
        <f>_xlfn.AGGREGATE(1,6,CV5:DA5)</f>
        <v>1.0966666666666667</v>
      </c>
      <c r="CW6" s="5782"/>
      <c r="CX6" s="5782"/>
      <c r="CY6" s="5782"/>
      <c r="CZ6" s="5782"/>
      <c r="DA6" s="5782"/>
      <c r="DB6" s="5782">
        <f>_xlfn.AGGREGATE(1,6,DB5:DG5)</f>
        <v>0.89833333333333332</v>
      </c>
      <c r="DC6" s="5782"/>
      <c r="DD6" s="5782"/>
      <c r="DE6" s="5782"/>
      <c r="DF6" s="5782"/>
      <c r="DG6" s="5782"/>
    </row>
    <row r="7" spans="1:117" x14ac:dyDescent="0.25">
      <c r="A7" s="4456" t="s">
        <v>327</v>
      </c>
      <c r="B7">
        <v>1.67</v>
      </c>
      <c r="C7">
        <v>1.1000000000000001</v>
      </c>
      <c r="D7">
        <v>0.92</v>
      </c>
      <c r="G7" s="4457">
        <v>0</v>
      </c>
      <c r="H7">
        <v>5</v>
      </c>
      <c r="I7">
        <v>2</v>
      </c>
      <c r="J7">
        <v>0</v>
      </c>
      <c r="K7">
        <v>0</v>
      </c>
      <c r="L7">
        <v>0</v>
      </c>
      <c r="M7">
        <v>4</v>
      </c>
      <c r="N7">
        <v>0</v>
      </c>
      <c r="O7" s="4458">
        <v>0</v>
      </c>
      <c r="P7">
        <v>0</v>
      </c>
      <c r="Q7">
        <v>0</v>
      </c>
      <c r="R7">
        <v>0</v>
      </c>
      <c r="S7">
        <v>0</v>
      </c>
      <c r="T7" s="445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1</v>
      </c>
      <c r="AB7" s="4460">
        <v>0</v>
      </c>
      <c r="AC7">
        <v>1</v>
      </c>
      <c r="AD7">
        <v>0</v>
      </c>
      <c r="AE7">
        <v>0</v>
      </c>
      <c r="AF7">
        <v>0</v>
      </c>
      <c r="AG7" s="4461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3</v>
      </c>
      <c r="AO7" s="4462">
        <v>0</v>
      </c>
      <c r="AP7">
        <v>0</v>
      </c>
      <c r="AQ7">
        <v>0</v>
      </c>
      <c r="AR7">
        <v>0</v>
      </c>
      <c r="AS7">
        <v>0</v>
      </c>
      <c r="AT7" s="4463"/>
      <c r="BB7" s="4464"/>
      <c r="BG7" s="4465"/>
      <c r="BO7" s="4466"/>
      <c r="BT7" s="4467"/>
      <c r="CB7" s="4468"/>
    </row>
    <row r="8" spans="1:117" x14ac:dyDescent="0.25">
      <c r="A8" s="4457" t="s">
        <v>328</v>
      </c>
      <c r="B8">
        <v>1.28</v>
      </c>
      <c r="C8">
        <v>1.21</v>
      </c>
      <c r="D8">
        <v>1.04</v>
      </c>
      <c r="G8" s="4457">
        <v>2</v>
      </c>
      <c r="H8">
        <v>1</v>
      </c>
      <c r="I8">
        <v>2</v>
      </c>
      <c r="J8">
        <v>0</v>
      </c>
      <c r="K8">
        <v>0</v>
      </c>
      <c r="L8">
        <v>1</v>
      </c>
      <c r="M8">
        <v>5</v>
      </c>
      <c r="N8">
        <v>2</v>
      </c>
      <c r="O8" s="4468">
        <v>0</v>
      </c>
      <c r="P8">
        <v>0</v>
      </c>
      <c r="Q8">
        <v>0</v>
      </c>
      <c r="R8">
        <v>0</v>
      </c>
      <c r="S8">
        <v>0</v>
      </c>
      <c r="T8" s="4459">
        <v>1</v>
      </c>
      <c r="U8">
        <v>2</v>
      </c>
      <c r="V8">
        <v>0</v>
      </c>
      <c r="W8">
        <v>0</v>
      </c>
      <c r="X8">
        <v>0</v>
      </c>
      <c r="Y8">
        <v>0</v>
      </c>
      <c r="Z8">
        <v>3</v>
      </c>
      <c r="AA8">
        <v>0</v>
      </c>
      <c r="AB8" s="4468">
        <v>1</v>
      </c>
      <c r="AC8">
        <v>0</v>
      </c>
      <c r="AD8">
        <v>0</v>
      </c>
      <c r="AE8">
        <v>0</v>
      </c>
      <c r="AF8">
        <v>0</v>
      </c>
      <c r="AG8" s="4461">
        <v>0</v>
      </c>
      <c r="AH8">
        <v>1</v>
      </c>
      <c r="AI8">
        <v>2</v>
      </c>
      <c r="AJ8">
        <v>0</v>
      </c>
      <c r="AK8">
        <v>0</v>
      </c>
      <c r="AL8">
        <v>1</v>
      </c>
      <c r="AM8">
        <v>4</v>
      </c>
      <c r="AN8">
        <v>1</v>
      </c>
      <c r="AO8" s="4468">
        <v>0</v>
      </c>
      <c r="AP8">
        <v>0</v>
      </c>
      <c r="AQ8">
        <v>0</v>
      </c>
      <c r="AR8">
        <v>0</v>
      </c>
      <c r="AS8">
        <v>0</v>
      </c>
      <c r="AT8" s="4463"/>
      <c r="BB8" s="4468"/>
      <c r="BG8" s="4465"/>
      <c r="BO8" s="4468"/>
      <c r="BT8" s="4467"/>
      <c r="CB8" s="4468"/>
    </row>
    <row r="9" spans="1:117" x14ac:dyDescent="0.25">
      <c r="A9" s="40" t="s">
        <v>1375</v>
      </c>
      <c r="B9" s="40"/>
      <c r="C9" s="40"/>
      <c r="D9" s="40"/>
      <c r="E9" s="40"/>
      <c r="F9" s="40"/>
      <c r="G9" s="4574"/>
      <c r="O9" s="4575"/>
      <c r="T9" s="4576"/>
      <c r="AB9" s="4577"/>
      <c r="AG9" s="4578"/>
      <c r="AO9" s="4579"/>
      <c r="AT9" s="4580"/>
      <c r="BB9" s="4581"/>
      <c r="BG9" s="4582"/>
      <c r="BO9" s="4583"/>
      <c r="BT9" s="4584"/>
      <c r="CB9" s="4585"/>
    </row>
    <row r="10" spans="1:117" x14ac:dyDescent="0.25">
      <c r="A10" s="4586" t="s">
        <v>1379</v>
      </c>
      <c r="B10">
        <v>0.28999999999999998</v>
      </c>
      <c r="C10">
        <v>0.88</v>
      </c>
      <c r="D10">
        <v>0.87</v>
      </c>
      <c r="G10" s="4587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1</v>
      </c>
      <c r="N10">
        <v>1</v>
      </c>
      <c r="O10" s="4588">
        <v>1</v>
      </c>
      <c r="P10">
        <v>0</v>
      </c>
      <c r="Q10">
        <v>0</v>
      </c>
      <c r="R10">
        <v>0</v>
      </c>
      <c r="S10">
        <v>0</v>
      </c>
      <c r="T10" s="4589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8</v>
      </c>
      <c r="AA10">
        <v>0</v>
      </c>
      <c r="AB10" s="4590">
        <v>0</v>
      </c>
      <c r="AC10">
        <v>1</v>
      </c>
      <c r="AD10">
        <v>0</v>
      </c>
      <c r="AE10">
        <v>0</v>
      </c>
      <c r="AF10">
        <v>0</v>
      </c>
      <c r="AG10" s="4591">
        <v>1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7</v>
      </c>
      <c r="AN10">
        <v>0</v>
      </c>
      <c r="AO10" s="4592">
        <v>1</v>
      </c>
      <c r="AP10">
        <v>0</v>
      </c>
      <c r="AQ10">
        <v>0</v>
      </c>
      <c r="AR10">
        <v>0</v>
      </c>
      <c r="AS10">
        <v>0</v>
      </c>
      <c r="AT10" s="4593"/>
      <c r="BB10" s="4594"/>
      <c r="BG10" s="4595"/>
      <c r="BO10" s="4596"/>
      <c r="BT10" s="4597"/>
      <c r="CB10" s="4598"/>
      <c r="CD10" t="s">
        <v>1410</v>
      </c>
    </row>
    <row r="11" spans="1:117" x14ac:dyDescent="0.25">
      <c r="A11" s="4599" t="s">
        <v>330</v>
      </c>
      <c r="B11">
        <v>1.77</v>
      </c>
      <c r="C11">
        <v>1.07</v>
      </c>
      <c r="D11">
        <v>1.58</v>
      </c>
      <c r="G11" s="4600">
        <v>0</v>
      </c>
      <c r="H11">
        <v>1</v>
      </c>
      <c r="I11">
        <v>0</v>
      </c>
      <c r="J11">
        <v>0</v>
      </c>
      <c r="K11">
        <v>1</v>
      </c>
      <c r="L11">
        <v>0</v>
      </c>
      <c r="M11">
        <v>3</v>
      </c>
      <c r="N11">
        <v>1</v>
      </c>
      <c r="O11" s="4601">
        <v>2</v>
      </c>
      <c r="P11">
        <v>0</v>
      </c>
      <c r="Q11">
        <v>1</v>
      </c>
      <c r="R11">
        <v>0</v>
      </c>
      <c r="S11">
        <v>0</v>
      </c>
      <c r="T11" s="4602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s="4603">
        <v>0</v>
      </c>
      <c r="AC11">
        <v>0</v>
      </c>
      <c r="AD11">
        <v>0</v>
      </c>
      <c r="AE11">
        <v>0</v>
      </c>
      <c r="AF11">
        <v>0</v>
      </c>
      <c r="AG11" s="4604">
        <v>2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2</v>
      </c>
      <c r="AN11">
        <v>0</v>
      </c>
      <c r="AO11" s="4605">
        <v>0</v>
      </c>
      <c r="AP11">
        <v>0</v>
      </c>
      <c r="AQ11">
        <v>0</v>
      </c>
      <c r="AR11">
        <v>0</v>
      </c>
      <c r="AS11">
        <v>0</v>
      </c>
      <c r="AT11" s="4606"/>
      <c r="BB11" s="4607"/>
      <c r="BG11" s="4608"/>
      <c r="BO11" s="4609"/>
      <c r="BT11" s="4610"/>
      <c r="CB11" s="4611"/>
    </row>
    <row r="12" spans="1:117" x14ac:dyDescent="0.25">
      <c r="A12" s="4612" t="s">
        <v>831</v>
      </c>
      <c r="B12">
        <v>1.23</v>
      </c>
      <c r="C12">
        <v>1.18</v>
      </c>
      <c r="D12">
        <v>0.78</v>
      </c>
      <c r="G12" s="4613">
        <v>0</v>
      </c>
      <c r="H12">
        <v>2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 s="4614">
        <v>1</v>
      </c>
      <c r="P12">
        <v>1</v>
      </c>
      <c r="Q12">
        <v>0</v>
      </c>
      <c r="R12">
        <v>0</v>
      </c>
      <c r="S12">
        <v>0</v>
      </c>
      <c r="T12" s="4615">
        <v>1</v>
      </c>
      <c r="U12">
        <v>0</v>
      </c>
      <c r="V12">
        <v>1</v>
      </c>
      <c r="W12">
        <v>1</v>
      </c>
      <c r="X12">
        <v>0</v>
      </c>
      <c r="Y12">
        <v>0</v>
      </c>
      <c r="Z12">
        <v>3</v>
      </c>
      <c r="AA12">
        <v>1</v>
      </c>
      <c r="AB12" s="4616">
        <v>0</v>
      </c>
      <c r="AC12">
        <v>0</v>
      </c>
      <c r="AD12">
        <v>0</v>
      </c>
      <c r="AE12">
        <v>0</v>
      </c>
      <c r="AF12">
        <v>0</v>
      </c>
      <c r="AG12" s="4617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4618">
        <v>0</v>
      </c>
      <c r="AP12">
        <v>0</v>
      </c>
      <c r="AQ12">
        <v>0</v>
      </c>
      <c r="AR12">
        <v>0</v>
      </c>
      <c r="AS12">
        <v>0</v>
      </c>
      <c r="AT12" s="4619"/>
      <c r="BB12" s="4620"/>
      <c r="BG12" s="4621"/>
      <c r="BO12" s="4622"/>
      <c r="BT12" s="4623"/>
      <c r="CB12" s="4624"/>
    </row>
    <row r="13" spans="1:117" x14ac:dyDescent="0.25">
      <c r="A13" s="4625" t="s">
        <v>388</v>
      </c>
      <c r="B13">
        <v>1.51</v>
      </c>
      <c r="C13">
        <v>1.1000000000000001</v>
      </c>
      <c r="D13">
        <v>1</v>
      </c>
      <c r="G13" s="4626">
        <v>4</v>
      </c>
      <c r="H13">
        <v>6</v>
      </c>
      <c r="I13">
        <v>2</v>
      </c>
      <c r="J13">
        <v>0</v>
      </c>
      <c r="K13">
        <v>0</v>
      </c>
      <c r="L13">
        <v>0</v>
      </c>
      <c r="M13">
        <v>0</v>
      </c>
      <c r="N13">
        <v>1</v>
      </c>
      <c r="O13" s="4627">
        <v>1</v>
      </c>
      <c r="P13">
        <v>0</v>
      </c>
      <c r="Q13">
        <v>0</v>
      </c>
      <c r="R13">
        <v>0</v>
      </c>
      <c r="S13">
        <v>0</v>
      </c>
      <c r="T13" s="4628">
        <v>3</v>
      </c>
      <c r="U13">
        <v>1</v>
      </c>
      <c r="V13">
        <v>1</v>
      </c>
      <c r="W13">
        <v>0</v>
      </c>
      <c r="X13">
        <v>0</v>
      </c>
      <c r="Y13">
        <v>0</v>
      </c>
      <c r="Z13">
        <v>4</v>
      </c>
      <c r="AA13">
        <v>0</v>
      </c>
      <c r="AB13" s="4629">
        <v>0</v>
      </c>
      <c r="AC13">
        <v>0</v>
      </c>
      <c r="AD13">
        <v>0</v>
      </c>
      <c r="AE13">
        <v>0</v>
      </c>
      <c r="AF13">
        <v>0</v>
      </c>
      <c r="AG13" s="4630">
        <v>2</v>
      </c>
      <c r="AH13">
        <v>2</v>
      </c>
      <c r="AI13">
        <v>0</v>
      </c>
      <c r="AJ13">
        <v>0</v>
      </c>
      <c r="AK13">
        <v>0</v>
      </c>
      <c r="AL13">
        <v>1</v>
      </c>
      <c r="AM13">
        <v>3</v>
      </c>
      <c r="AN13">
        <v>1</v>
      </c>
      <c r="AO13" s="4631">
        <v>0</v>
      </c>
      <c r="AP13">
        <v>0</v>
      </c>
      <c r="AQ13">
        <v>0</v>
      </c>
      <c r="AR13">
        <v>0</v>
      </c>
      <c r="AS13">
        <v>0</v>
      </c>
      <c r="AT13" s="4632"/>
      <c r="BB13" s="4633"/>
      <c r="BG13" s="4634"/>
      <c r="BO13" s="4635"/>
      <c r="BT13" s="4636"/>
      <c r="CB13" s="4637"/>
    </row>
    <row r="14" spans="1:117" x14ac:dyDescent="0.25">
      <c r="A14" s="40" t="s">
        <v>1384</v>
      </c>
      <c r="B14" s="40"/>
      <c r="C14" s="40"/>
      <c r="D14" s="40"/>
      <c r="E14" s="40"/>
      <c r="F14" s="40"/>
      <c r="G14" s="4718"/>
      <c r="O14" s="4719"/>
      <c r="T14" s="4720"/>
      <c r="AB14" s="4721"/>
      <c r="AG14" s="4722"/>
      <c r="AO14" s="4723"/>
      <c r="AT14" s="4724"/>
      <c r="BB14" s="4725"/>
      <c r="BG14" s="4726"/>
      <c r="BO14" s="4727"/>
      <c r="BT14" s="4728"/>
      <c r="CB14" s="4729"/>
    </row>
    <row r="15" spans="1:117" x14ac:dyDescent="0.25">
      <c r="A15" s="4730" t="s">
        <v>1389</v>
      </c>
      <c r="B15">
        <v>0.57999999999999996</v>
      </c>
      <c r="C15">
        <v>0.59</v>
      </c>
      <c r="D15">
        <v>0.99</v>
      </c>
      <c r="G15" s="4731">
        <v>2</v>
      </c>
      <c r="H15">
        <v>1</v>
      </c>
      <c r="I15">
        <v>0</v>
      </c>
      <c r="J15">
        <v>0</v>
      </c>
      <c r="K15">
        <v>0</v>
      </c>
      <c r="L15">
        <v>0</v>
      </c>
      <c r="M15">
        <v>2</v>
      </c>
      <c r="N15">
        <v>0</v>
      </c>
      <c r="O15" s="4732">
        <v>0</v>
      </c>
      <c r="P15">
        <v>0</v>
      </c>
      <c r="Q15">
        <v>0</v>
      </c>
      <c r="R15">
        <v>0</v>
      </c>
      <c r="S15">
        <v>0</v>
      </c>
      <c r="T15" s="4733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1</v>
      </c>
      <c r="AB15" s="4734">
        <v>0</v>
      </c>
      <c r="AC15">
        <v>0</v>
      </c>
      <c r="AD15">
        <v>0</v>
      </c>
      <c r="AE15">
        <v>0</v>
      </c>
      <c r="AF15">
        <v>0</v>
      </c>
      <c r="AG15" s="4735">
        <v>0</v>
      </c>
      <c r="AH15">
        <v>1</v>
      </c>
      <c r="AI15">
        <v>1</v>
      </c>
      <c r="AJ15">
        <v>0</v>
      </c>
      <c r="AK15">
        <v>0</v>
      </c>
      <c r="AL15">
        <v>0</v>
      </c>
      <c r="AM15">
        <v>2</v>
      </c>
      <c r="AN15">
        <v>0</v>
      </c>
      <c r="AO15" s="4736">
        <v>0</v>
      </c>
      <c r="AP15">
        <v>0</v>
      </c>
      <c r="AQ15">
        <v>0</v>
      </c>
      <c r="AR15">
        <v>0</v>
      </c>
      <c r="AS15">
        <v>0</v>
      </c>
      <c r="AT15" s="4737"/>
      <c r="BB15" s="4738"/>
      <c r="BG15" s="4739"/>
      <c r="BO15" s="4740"/>
      <c r="BT15" s="4741"/>
      <c r="CB15" s="4742"/>
    </row>
    <row r="16" spans="1:117" x14ac:dyDescent="0.25">
      <c r="A16" s="4743" t="s">
        <v>1390</v>
      </c>
      <c r="B16">
        <v>1.1100000000000001</v>
      </c>
      <c r="C16">
        <v>0.97</v>
      </c>
      <c r="D16">
        <v>1.2</v>
      </c>
      <c r="G16" s="4744">
        <v>2</v>
      </c>
      <c r="H16">
        <v>1</v>
      </c>
      <c r="I16">
        <v>2</v>
      </c>
      <c r="J16">
        <v>0</v>
      </c>
      <c r="K16">
        <v>0</v>
      </c>
      <c r="L16">
        <v>1</v>
      </c>
      <c r="M16">
        <v>3</v>
      </c>
      <c r="N16">
        <v>0</v>
      </c>
      <c r="O16" s="4745">
        <v>1</v>
      </c>
      <c r="P16">
        <v>0</v>
      </c>
      <c r="Q16">
        <v>0</v>
      </c>
      <c r="R16">
        <v>0</v>
      </c>
      <c r="S16">
        <v>0</v>
      </c>
      <c r="T16" s="4746">
        <v>0</v>
      </c>
      <c r="U16">
        <v>3</v>
      </c>
      <c r="V16">
        <v>0</v>
      </c>
      <c r="W16">
        <v>0</v>
      </c>
      <c r="X16">
        <v>0</v>
      </c>
      <c r="Y16">
        <v>0</v>
      </c>
      <c r="Z16">
        <v>3</v>
      </c>
      <c r="AA16">
        <v>1</v>
      </c>
      <c r="AB16" s="4747">
        <v>0</v>
      </c>
      <c r="AC16">
        <v>0</v>
      </c>
      <c r="AD16">
        <v>0</v>
      </c>
      <c r="AE16">
        <v>0</v>
      </c>
      <c r="AF16">
        <v>0</v>
      </c>
      <c r="AG16" s="4748">
        <v>0</v>
      </c>
      <c r="AH16">
        <v>3</v>
      </c>
      <c r="AI16">
        <v>2</v>
      </c>
      <c r="AJ16">
        <v>0</v>
      </c>
      <c r="AK16">
        <v>0</v>
      </c>
      <c r="AL16">
        <v>0</v>
      </c>
      <c r="AM16">
        <v>4</v>
      </c>
      <c r="AN16">
        <v>0</v>
      </c>
      <c r="AO16" s="4749">
        <v>0</v>
      </c>
      <c r="AP16">
        <v>0</v>
      </c>
      <c r="AQ16">
        <v>0</v>
      </c>
      <c r="AR16">
        <v>0</v>
      </c>
      <c r="AS16">
        <v>0</v>
      </c>
      <c r="AT16" s="4750"/>
      <c r="BB16" s="4751"/>
      <c r="BG16" s="4752"/>
      <c r="BO16" s="4753"/>
      <c r="BT16" s="4754"/>
      <c r="CB16" s="4755"/>
    </row>
    <row r="17" spans="1:82" x14ac:dyDescent="0.25">
      <c r="A17" s="4756" t="s">
        <v>335</v>
      </c>
      <c r="B17">
        <v>0.8</v>
      </c>
      <c r="C17">
        <v>1.38</v>
      </c>
      <c r="D17">
        <v>1.07</v>
      </c>
      <c r="G17" s="4757">
        <v>1</v>
      </c>
      <c r="H17">
        <v>2</v>
      </c>
      <c r="I17">
        <v>1</v>
      </c>
      <c r="J17">
        <v>0</v>
      </c>
      <c r="K17">
        <v>0</v>
      </c>
      <c r="L17">
        <v>0</v>
      </c>
      <c r="M17">
        <v>2</v>
      </c>
      <c r="N17">
        <v>0</v>
      </c>
      <c r="O17" s="4758">
        <v>0</v>
      </c>
      <c r="P17">
        <v>0</v>
      </c>
      <c r="Q17">
        <v>0</v>
      </c>
      <c r="R17">
        <v>0</v>
      </c>
      <c r="S17">
        <v>0</v>
      </c>
      <c r="T17" s="4759">
        <v>0</v>
      </c>
      <c r="U17">
        <v>1</v>
      </c>
      <c r="V17">
        <v>0</v>
      </c>
      <c r="W17">
        <v>1</v>
      </c>
      <c r="X17">
        <v>0</v>
      </c>
      <c r="Y17">
        <v>1</v>
      </c>
      <c r="Z17">
        <v>6</v>
      </c>
      <c r="AA17">
        <v>3</v>
      </c>
      <c r="AB17" s="4760">
        <v>1</v>
      </c>
      <c r="AC17">
        <v>1</v>
      </c>
      <c r="AD17">
        <v>0</v>
      </c>
      <c r="AE17">
        <v>0</v>
      </c>
      <c r="AF17">
        <v>0</v>
      </c>
      <c r="AG17" s="4761">
        <v>0</v>
      </c>
      <c r="AH17">
        <v>2</v>
      </c>
      <c r="AI17">
        <v>0</v>
      </c>
      <c r="AJ17">
        <v>0</v>
      </c>
      <c r="AK17">
        <v>0</v>
      </c>
      <c r="AL17">
        <v>2</v>
      </c>
      <c r="AM17">
        <v>6</v>
      </c>
      <c r="AN17">
        <v>2</v>
      </c>
      <c r="AO17" s="4762">
        <v>1</v>
      </c>
      <c r="AP17">
        <v>0</v>
      </c>
      <c r="AQ17">
        <v>0</v>
      </c>
      <c r="AR17">
        <v>0</v>
      </c>
      <c r="AS17">
        <v>0</v>
      </c>
      <c r="AT17" s="4763"/>
      <c r="BB17" s="4764"/>
      <c r="BG17" s="4765"/>
      <c r="BO17" s="4766"/>
      <c r="BT17" s="4767"/>
      <c r="CB17" s="4768"/>
    </row>
    <row r="18" spans="1:82" x14ac:dyDescent="0.25">
      <c r="A18" s="4769" t="s">
        <v>1391</v>
      </c>
      <c r="B18">
        <v>0.59</v>
      </c>
      <c r="C18">
        <v>0.61</v>
      </c>
      <c r="D18">
        <v>0.91</v>
      </c>
      <c r="G18" s="4770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 s="4771">
        <v>0</v>
      </c>
      <c r="P18">
        <v>0</v>
      </c>
      <c r="Q18">
        <v>0</v>
      </c>
      <c r="R18">
        <v>0</v>
      </c>
      <c r="S18">
        <v>0</v>
      </c>
      <c r="T18" s="4772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 s="4773">
        <v>0</v>
      </c>
      <c r="AC18">
        <v>0</v>
      </c>
      <c r="AD18">
        <v>0</v>
      </c>
      <c r="AE18">
        <v>0</v>
      </c>
      <c r="AF18">
        <v>0</v>
      </c>
      <c r="AG18" s="4774">
        <v>1</v>
      </c>
      <c r="AH18">
        <v>1</v>
      </c>
      <c r="AI18">
        <v>1</v>
      </c>
      <c r="AJ18">
        <v>0</v>
      </c>
      <c r="AK18">
        <v>0</v>
      </c>
      <c r="AL18">
        <v>0</v>
      </c>
      <c r="AM18">
        <v>3</v>
      </c>
      <c r="AN18">
        <v>2</v>
      </c>
      <c r="AO18" s="4775">
        <v>0</v>
      </c>
      <c r="AP18">
        <v>1</v>
      </c>
      <c r="AQ18">
        <v>0</v>
      </c>
      <c r="AR18">
        <v>0</v>
      </c>
      <c r="AS18">
        <v>0</v>
      </c>
      <c r="AT18" s="4776"/>
      <c r="BB18" s="4777"/>
      <c r="BG18" s="4778"/>
      <c r="BO18" s="4779"/>
      <c r="BT18" s="4780"/>
      <c r="CB18" s="4781"/>
    </row>
    <row r="19" spans="1:82" x14ac:dyDescent="0.25">
      <c r="A19" s="4782" t="s">
        <v>1359</v>
      </c>
      <c r="B19">
        <v>0.93</v>
      </c>
      <c r="C19">
        <v>0.84</v>
      </c>
      <c r="D19">
        <v>1.27</v>
      </c>
      <c r="G19" s="4783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6</v>
      </c>
      <c r="N19">
        <v>0</v>
      </c>
      <c r="O19" s="4784">
        <v>0</v>
      </c>
      <c r="P19">
        <v>0</v>
      </c>
      <c r="Q19">
        <v>0</v>
      </c>
      <c r="R19">
        <v>0</v>
      </c>
      <c r="S19">
        <v>0</v>
      </c>
      <c r="T19" s="4785">
        <v>0</v>
      </c>
      <c r="U19">
        <v>2</v>
      </c>
      <c r="V19">
        <v>1</v>
      </c>
      <c r="W19">
        <v>0</v>
      </c>
      <c r="X19">
        <v>0</v>
      </c>
      <c r="Y19">
        <v>0</v>
      </c>
      <c r="Z19">
        <v>4</v>
      </c>
      <c r="AA19">
        <v>0</v>
      </c>
      <c r="AB19" s="4786">
        <v>0</v>
      </c>
      <c r="AC19">
        <v>0</v>
      </c>
      <c r="AD19">
        <v>0</v>
      </c>
      <c r="AE19">
        <v>0</v>
      </c>
      <c r="AF19">
        <v>0</v>
      </c>
      <c r="AG19" s="4787">
        <v>0</v>
      </c>
      <c r="AH19">
        <v>4</v>
      </c>
      <c r="AI19">
        <v>1</v>
      </c>
      <c r="AJ19">
        <v>1</v>
      </c>
      <c r="AK19">
        <v>0</v>
      </c>
      <c r="AL19">
        <v>0</v>
      </c>
      <c r="AM19">
        <v>3</v>
      </c>
      <c r="AN19">
        <v>1</v>
      </c>
      <c r="AO19" s="4788">
        <v>1</v>
      </c>
      <c r="AP19">
        <v>0</v>
      </c>
      <c r="AQ19">
        <v>0</v>
      </c>
      <c r="AR19">
        <v>0</v>
      </c>
      <c r="AS19">
        <v>0</v>
      </c>
      <c r="AT19" s="4789"/>
      <c r="BB19" s="4790"/>
      <c r="BG19" s="4791"/>
      <c r="BO19" s="4792"/>
      <c r="BT19" s="4793"/>
      <c r="CB19" s="4794"/>
    </row>
    <row r="20" spans="1:82" x14ac:dyDescent="0.25">
      <c r="A20" s="4795" t="s">
        <v>1392</v>
      </c>
      <c r="B20">
        <v>0.79</v>
      </c>
      <c r="C20">
        <v>0.59</v>
      </c>
      <c r="D20">
        <v>0.9</v>
      </c>
      <c r="G20" s="4796">
        <v>2</v>
      </c>
      <c r="H20">
        <v>1</v>
      </c>
      <c r="I20">
        <v>2</v>
      </c>
      <c r="J20">
        <v>0</v>
      </c>
      <c r="K20">
        <v>0</v>
      </c>
      <c r="L20">
        <v>0</v>
      </c>
      <c r="M20">
        <v>3</v>
      </c>
      <c r="N20">
        <v>1</v>
      </c>
      <c r="O20" s="4797">
        <v>0</v>
      </c>
      <c r="P20">
        <v>0</v>
      </c>
      <c r="Q20">
        <v>0</v>
      </c>
      <c r="R20">
        <v>0</v>
      </c>
      <c r="S20">
        <v>0</v>
      </c>
      <c r="T20" s="4798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 s="4799">
        <v>0</v>
      </c>
      <c r="AC20">
        <v>0</v>
      </c>
      <c r="AD20">
        <v>0</v>
      </c>
      <c r="AE20">
        <v>0</v>
      </c>
      <c r="AF20">
        <v>0</v>
      </c>
      <c r="AG20" s="4800">
        <v>1</v>
      </c>
      <c r="AH20">
        <v>4</v>
      </c>
      <c r="AI20">
        <v>1</v>
      </c>
      <c r="AJ20">
        <v>0</v>
      </c>
      <c r="AK20">
        <v>0</v>
      </c>
      <c r="AL20">
        <v>0</v>
      </c>
      <c r="AM20">
        <v>4</v>
      </c>
      <c r="AN20">
        <v>1</v>
      </c>
      <c r="AO20" s="4801">
        <v>0</v>
      </c>
      <c r="AP20">
        <v>0</v>
      </c>
      <c r="AQ20">
        <v>0</v>
      </c>
      <c r="AR20">
        <v>0</v>
      </c>
      <c r="AS20">
        <v>0</v>
      </c>
      <c r="AT20" s="4802"/>
      <c r="BB20" s="4803"/>
      <c r="BG20" s="4804"/>
      <c r="BO20" s="4805"/>
      <c r="BT20" s="4806"/>
      <c r="CB20" s="4807"/>
    </row>
    <row r="21" spans="1:82" x14ac:dyDescent="0.25">
      <c r="A21" s="40" t="s">
        <v>1399</v>
      </c>
      <c r="B21" s="40"/>
      <c r="C21" s="40"/>
      <c r="D21" s="40"/>
      <c r="E21" s="40"/>
      <c r="F21" s="40"/>
      <c r="G21" s="4913"/>
      <c r="O21" s="4914"/>
      <c r="T21" s="4915"/>
      <c r="AB21" s="4916"/>
      <c r="AG21" s="4917"/>
      <c r="AO21" s="4918"/>
      <c r="AT21" s="4919"/>
      <c r="BB21" s="4920"/>
      <c r="BG21" s="4921"/>
      <c r="BO21" s="4922"/>
      <c r="BT21" s="4923"/>
      <c r="CB21" s="4924"/>
    </row>
    <row r="22" spans="1:82" x14ac:dyDescent="0.25">
      <c r="A22" s="4925" t="s">
        <v>1403</v>
      </c>
      <c r="B22">
        <v>0.71</v>
      </c>
      <c r="C22">
        <v>0.85</v>
      </c>
      <c r="D22">
        <v>1.25</v>
      </c>
      <c r="G22" s="4926">
        <v>2</v>
      </c>
      <c r="H22">
        <v>2</v>
      </c>
      <c r="I22">
        <v>0</v>
      </c>
      <c r="J22">
        <v>0</v>
      </c>
      <c r="K22">
        <v>0</v>
      </c>
      <c r="L22">
        <v>1</v>
      </c>
      <c r="M22">
        <v>2</v>
      </c>
      <c r="N22">
        <v>0</v>
      </c>
      <c r="O22" s="4927">
        <v>0</v>
      </c>
      <c r="P22">
        <v>0</v>
      </c>
      <c r="Q22">
        <v>0</v>
      </c>
      <c r="R22">
        <v>0</v>
      </c>
      <c r="S22">
        <v>0</v>
      </c>
      <c r="T22" s="4928">
        <v>2</v>
      </c>
      <c r="U22">
        <v>1</v>
      </c>
      <c r="V22">
        <v>0</v>
      </c>
      <c r="W22">
        <v>0</v>
      </c>
      <c r="X22">
        <v>0</v>
      </c>
      <c r="Y22">
        <v>0</v>
      </c>
      <c r="Z22">
        <v>4</v>
      </c>
      <c r="AA22">
        <v>1</v>
      </c>
      <c r="AB22" s="4929">
        <v>1</v>
      </c>
      <c r="AC22">
        <v>0</v>
      </c>
      <c r="AD22">
        <v>0</v>
      </c>
      <c r="AE22">
        <v>0</v>
      </c>
      <c r="AF22">
        <v>0</v>
      </c>
      <c r="AG22" s="4930">
        <v>0</v>
      </c>
      <c r="AH22">
        <v>1</v>
      </c>
      <c r="AI22">
        <v>1</v>
      </c>
      <c r="AJ22">
        <v>0</v>
      </c>
      <c r="AK22">
        <v>0</v>
      </c>
      <c r="AL22">
        <v>0</v>
      </c>
      <c r="AM22">
        <v>4</v>
      </c>
      <c r="AN22">
        <v>0</v>
      </c>
      <c r="AO22" s="4931">
        <v>0</v>
      </c>
      <c r="AP22">
        <v>0</v>
      </c>
      <c r="AQ22">
        <v>0</v>
      </c>
      <c r="AR22">
        <v>0</v>
      </c>
      <c r="AS22">
        <v>0</v>
      </c>
      <c r="AT22" s="4932"/>
      <c r="BB22" s="4933"/>
      <c r="BG22" s="4934"/>
      <c r="BO22" s="4935"/>
      <c r="BT22" s="4936"/>
      <c r="CB22" s="4937"/>
    </row>
    <row r="23" spans="1:82" x14ac:dyDescent="0.25">
      <c r="A23" s="4938" t="s">
        <v>1404</v>
      </c>
      <c r="B23">
        <v>0.28000000000000003</v>
      </c>
      <c r="C23">
        <v>0.84</v>
      </c>
      <c r="D23">
        <v>0.87</v>
      </c>
      <c r="G23" s="4939">
        <v>0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 s="4940">
        <v>1</v>
      </c>
      <c r="P23">
        <v>0</v>
      </c>
      <c r="Q23">
        <v>0</v>
      </c>
      <c r="R23">
        <v>0</v>
      </c>
      <c r="S23">
        <v>0</v>
      </c>
      <c r="T23" s="4941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2</v>
      </c>
      <c r="AA23">
        <v>0</v>
      </c>
      <c r="AB23" s="4942">
        <v>0</v>
      </c>
      <c r="AC23">
        <v>0</v>
      </c>
      <c r="AD23">
        <v>0</v>
      </c>
      <c r="AE23">
        <v>0</v>
      </c>
      <c r="AF23">
        <v>0</v>
      </c>
      <c r="AG23" s="4943">
        <v>0</v>
      </c>
      <c r="AH23">
        <v>3</v>
      </c>
      <c r="AI23">
        <v>1</v>
      </c>
      <c r="AJ23">
        <v>0</v>
      </c>
      <c r="AK23">
        <v>0</v>
      </c>
      <c r="AL23">
        <v>0</v>
      </c>
      <c r="AM23">
        <v>4</v>
      </c>
      <c r="AN23">
        <v>0</v>
      </c>
      <c r="AO23" s="4944">
        <v>1</v>
      </c>
      <c r="AP23">
        <v>0</v>
      </c>
      <c r="AQ23">
        <v>0</v>
      </c>
      <c r="AR23">
        <v>0</v>
      </c>
      <c r="AS23">
        <v>0</v>
      </c>
      <c r="AT23" s="4945"/>
      <c r="BB23" s="4946"/>
      <c r="BG23" s="4947"/>
      <c r="BO23" s="4948"/>
      <c r="BT23" s="4949"/>
      <c r="CB23" s="4950"/>
      <c r="CD23" t="s">
        <v>1408</v>
      </c>
    </row>
    <row r="24" spans="1:82" x14ac:dyDescent="0.25">
      <c r="A24" s="4951" t="s">
        <v>341</v>
      </c>
      <c r="B24">
        <v>0.89</v>
      </c>
      <c r="C24">
        <v>0.64</v>
      </c>
      <c r="D24">
        <v>1.22</v>
      </c>
      <c r="G24" s="4952">
        <v>2</v>
      </c>
      <c r="H24">
        <v>2</v>
      </c>
      <c r="I24">
        <v>1</v>
      </c>
      <c r="J24">
        <v>0</v>
      </c>
      <c r="K24">
        <v>0</v>
      </c>
      <c r="L24">
        <v>1</v>
      </c>
      <c r="M24">
        <v>3</v>
      </c>
      <c r="N24">
        <v>0</v>
      </c>
      <c r="O24" s="4953">
        <v>0</v>
      </c>
      <c r="P24">
        <v>0</v>
      </c>
      <c r="Q24">
        <v>0</v>
      </c>
      <c r="R24">
        <v>0</v>
      </c>
      <c r="S24">
        <v>0</v>
      </c>
      <c r="T24" s="4954">
        <v>1</v>
      </c>
      <c r="U24">
        <v>0</v>
      </c>
      <c r="V24">
        <v>0</v>
      </c>
      <c r="W24">
        <v>0</v>
      </c>
      <c r="X24">
        <v>0</v>
      </c>
      <c r="Y24">
        <v>1</v>
      </c>
      <c r="Z24">
        <v>3</v>
      </c>
      <c r="AA24">
        <v>0</v>
      </c>
      <c r="AB24" s="4955">
        <v>0</v>
      </c>
      <c r="AC24">
        <v>0</v>
      </c>
      <c r="AD24">
        <v>0</v>
      </c>
      <c r="AE24">
        <v>0</v>
      </c>
      <c r="AF24">
        <v>0</v>
      </c>
      <c r="AG24" s="4956">
        <v>0</v>
      </c>
      <c r="AH24">
        <v>2</v>
      </c>
      <c r="AI24">
        <v>0</v>
      </c>
      <c r="AJ24">
        <v>1</v>
      </c>
      <c r="AK24">
        <v>0</v>
      </c>
      <c r="AL24">
        <v>2</v>
      </c>
      <c r="AM24">
        <v>5</v>
      </c>
      <c r="AN24">
        <v>2</v>
      </c>
      <c r="AO24" s="4957">
        <v>0</v>
      </c>
      <c r="AP24">
        <v>0</v>
      </c>
      <c r="AQ24">
        <v>0</v>
      </c>
      <c r="AR24">
        <v>0</v>
      </c>
      <c r="AS24">
        <v>0</v>
      </c>
      <c r="AT24" s="4958"/>
      <c r="BB24" s="4959"/>
      <c r="BG24" s="4960"/>
      <c r="BO24" s="4961"/>
      <c r="BT24" s="4962"/>
      <c r="CB24" s="4963"/>
    </row>
    <row r="25" spans="1:82" x14ac:dyDescent="0.25">
      <c r="A25" s="4964" t="s">
        <v>1033</v>
      </c>
      <c r="B25">
        <v>1.02</v>
      </c>
      <c r="C25">
        <v>0.89</v>
      </c>
      <c r="D25">
        <v>1.35</v>
      </c>
      <c r="G25" s="4965">
        <v>0</v>
      </c>
      <c r="H25">
        <v>0</v>
      </c>
      <c r="I25">
        <v>0</v>
      </c>
      <c r="J25">
        <v>0</v>
      </c>
      <c r="K25">
        <v>0</v>
      </c>
      <c r="L25">
        <v>1</v>
      </c>
      <c r="M25">
        <v>0</v>
      </c>
      <c r="N25">
        <v>0</v>
      </c>
      <c r="O25" s="4966">
        <v>0</v>
      </c>
      <c r="P25">
        <v>0</v>
      </c>
      <c r="Q25">
        <v>0</v>
      </c>
      <c r="R25">
        <v>0</v>
      </c>
      <c r="S25">
        <v>0</v>
      </c>
      <c r="T25" s="4967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 s="4968">
        <v>0</v>
      </c>
      <c r="AC25">
        <v>0</v>
      </c>
      <c r="AD25">
        <v>0</v>
      </c>
      <c r="AE25">
        <v>0</v>
      </c>
      <c r="AF25">
        <v>0</v>
      </c>
      <c r="AG25" s="4969">
        <v>0</v>
      </c>
      <c r="AH25">
        <v>2</v>
      </c>
      <c r="AI25">
        <v>0</v>
      </c>
      <c r="AJ25">
        <v>0</v>
      </c>
      <c r="AK25">
        <v>0</v>
      </c>
      <c r="AL25">
        <v>0</v>
      </c>
      <c r="AM25">
        <v>2</v>
      </c>
      <c r="AN25">
        <v>1</v>
      </c>
      <c r="AO25" s="4970">
        <v>0</v>
      </c>
      <c r="AP25">
        <v>0</v>
      </c>
      <c r="AQ25">
        <v>0</v>
      </c>
      <c r="AR25">
        <v>0</v>
      </c>
      <c r="AS25">
        <v>0</v>
      </c>
      <c r="AT25" s="4971"/>
      <c r="BB25" s="4972"/>
      <c r="BG25" s="4973"/>
      <c r="BO25" s="4974"/>
      <c r="BT25" s="4975"/>
      <c r="CB25" s="4976"/>
    </row>
    <row r="26" spans="1:82" x14ac:dyDescent="0.25">
      <c r="A26" s="4977" t="s">
        <v>1405</v>
      </c>
      <c r="B26">
        <v>0.06</v>
      </c>
      <c r="C26">
        <v>0.73</v>
      </c>
      <c r="D26">
        <v>1.26</v>
      </c>
      <c r="G26" s="4978">
        <v>0</v>
      </c>
      <c r="H26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979">
        <v>0</v>
      </c>
      <c r="P26">
        <v>0</v>
      </c>
      <c r="Q26">
        <v>0</v>
      </c>
      <c r="R26">
        <v>0</v>
      </c>
      <c r="S26">
        <v>0</v>
      </c>
      <c r="T26" s="4980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 s="4981">
        <v>0</v>
      </c>
      <c r="AC26">
        <v>0</v>
      </c>
      <c r="AD26">
        <v>0</v>
      </c>
      <c r="AE26">
        <v>0</v>
      </c>
      <c r="AF26">
        <v>0</v>
      </c>
      <c r="AG26" s="4982">
        <v>1</v>
      </c>
      <c r="AH26">
        <v>1</v>
      </c>
      <c r="AI26">
        <v>1</v>
      </c>
      <c r="AJ26">
        <v>0</v>
      </c>
      <c r="AK26">
        <v>0</v>
      </c>
      <c r="AL26">
        <v>0</v>
      </c>
      <c r="AM26">
        <v>6</v>
      </c>
      <c r="AN26">
        <v>1</v>
      </c>
      <c r="AO26" s="4983">
        <v>0</v>
      </c>
      <c r="AP26">
        <v>0</v>
      </c>
      <c r="AQ26">
        <v>0</v>
      </c>
      <c r="AR26">
        <v>0</v>
      </c>
      <c r="AS26">
        <v>0</v>
      </c>
      <c r="AT26" s="4984"/>
      <c r="BB26" s="4985"/>
      <c r="BG26" s="4986"/>
      <c r="BO26" s="4987"/>
      <c r="BT26" s="4988"/>
      <c r="CB26" s="4989"/>
    </row>
    <row r="27" spans="1:82" x14ac:dyDescent="0.25">
      <c r="A27" s="4990" t="s">
        <v>1034</v>
      </c>
      <c r="B27">
        <v>0.63</v>
      </c>
      <c r="C27">
        <v>1.19</v>
      </c>
      <c r="D27">
        <v>0.46</v>
      </c>
      <c r="G27" s="4991">
        <v>1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992">
        <v>0</v>
      </c>
      <c r="P27">
        <v>0</v>
      </c>
      <c r="Q27">
        <v>0</v>
      </c>
      <c r="R27">
        <v>0</v>
      </c>
      <c r="S27">
        <v>0</v>
      </c>
      <c r="T27" s="4993">
        <v>1</v>
      </c>
      <c r="U27">
        <v>1</v>
      </c>
      <c r="V27">
        <v>1</v>
      </c>
      <c r="W27">
        <v>0</v>
      </c>
      <c r="X27">
        <v>0</v>
      </c>
      <c r="Y27">
        <v>0</v>
      </c>
      <c r="Z27">
        <v>2</v>
      </c>
      <c r="AA27">
        <v>1</v>
      </c>
      <c r="AB27" s="4994">
        <v>0</v>
      </c>
      <c r="AC27">
        <v>0</v>
      </c>
      <c r="AD27">
        <v>0</v>
      </c>
      <c r="AE27">
        <v>0</v>
      </c>
      <c r="AF27">
        <v>0</v>
      </c>
      <c r="AG27" s="4995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4996">
        <v>0</v>
      </c>
      <c r="AP27">
        <v>0</v>
      </c>
      <c r="AQ27">
        <v>0</v>
      </c>
      <c r="AR27">
        <v>0</v>
      </c>
      <c r="AS27">
        <v>0</v>
      </c>
      <c r="AT27" s="4997"/>
      <c r="BB27" s="4998"/>
      <c r="BG27" s="4999"/>
      <c r="BO27" s="5000"/>
      <c r="BT27" s="5001"/>
      <c r="CB27" s="5002"/>
    </row>
    <row r="28" spans="1:82" x14ac:dyDescent="0.25">
      <c r="A28" s="5003" t="s">
        <v>1406</v>
      </c>
      <c r="B28">
        <v>0.9</v>
      </c>
      <c r="C28">
        <v>1.4</v>
      </c>
      <c r="D28">
        <v>1.44</v>
      </c>
      <c r="G28" s="5004">
        <v>0</v>
      </c>
      <c r="H28">
        <v>1</v>
      </c>
      <c r="I28">
        <v>0</v>
      </c>
      <c r="J28">
        <v>0</v>
      </c>
      <c r="K28">
        <v>0</v>
      </c>
      <c r="L28">
        <v>0</v>
      </c>
      <c r="M28">
        <v>3</v>
      </c>
      <c r="N28">
        <v>0</v>
      </c>
      <c r="O28" s="5005">
        <v>0</v>
      </c>
      <c r="P28">
        <v>0</v>
      </c>
      <c r="Q28">
        <v>0</v>
      </c>
      <c r="R28">
        <v>0</v>
      </c>
      <c r="S28">
        <v>0</v>
      </c>
      <c r="T28" s="5006">
        <v>0</v>
      </c>
      <c r="U28">
        <v>1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 s="5007">
        <v>1</v>
      </c>
      <c r="AC28">
        <v>0</v>
      </c>
      <c r="AD28">
        <v>0</v>
      </c>
      <c r="AE28">
        <v>0</v>
      </c>
      <c r="AF28">
        <v>0</v>
      </c>
      <c r="AG28" s="5008">
        <v>2</v>
      </c>
      <c r="AH28">
        <v>2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 s="5009">
        <v>0</v>
      </c>
      <c r="AP28">
        <v>0</v>
      </c>
      <c r="AQ28">
        <v>0</v>
      </c>
      <c r="AR28">
        <v>0</v>
      </c>
      <c r="AS28">
        <v>0</v>
      </c>
      <c r="AT28" s="5010"/>
      <c r="BB28" s="5011"/>
      <c r="BG28" s="5012"/>
      <c r="BO28" s="5013"/>
      <c r="BT28" s="5014"/>
      <c r="CB28" s="5015"/>
    </row>
    <row r="29" spans="1:82" x14ac:dyDescent="0.25">
      <c r="A29" s="5016" t="s">
        <v>346</v>
      </c>
      <c r="B29">
        <v>0.69</v>
      </c>
      <c r="C29">
        <v>0.49</v>
      </c>
      <c r="D29">
        <v>1.0900000000000001</v>
      </c>
      <c r="G29" s="5017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 s="5018">
        <v>1</v>
      </c>
      <c r="P29">
        <v>0</v>
      </c>
      <c r="Q29">
        <v>0</v>
      </c>
      <c r="R29">
        <v>0</v>
      </c>
      <c r="S29">
        <v>0</v>
      </c>
      <c r="T29" s="501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5020">
        <v>0</v>
      </c>
      <c r="AC29">
        <v>0</v>
      </c>
      <c r="AD29">
        <v>0</v>
      </c>
      <c r="AE29">
        <v>0</v>
      </c>
      <c r="AF29">
        <v>0</v>
      </c>
      <c r="AG29" s="5021">
        <v>0</v>
      </c>
      <c r="AH29">
        <v>1</v>
      </c>
      <c r="AI29">
        <v>1</v>
      </c>
      <c r="AJ29">
        <v>0</v>
      </c>
      <c r="AK29">
        <v>0</v>
      </c>
      <c r="AL29">
        <v>0</v>
      </c>
      <c r="AM29">
        <v>2</v>
      </c>
      <c r="AN29">
        <v>1</v>
      </c>
      <c r="AO29" s="5022">
        <v>0</v>
      </c>
      <c r="AP29">
        <v>0</v>
      </c>
      <c r="AQ29">
        <v>0</v>
      </c>
      <c r="AR29">
        <v>0</v>
      </c>
      <c r="AS29">
        <v>0</v>
      </c>
      <c r="AT29" s="5023"/>
      <c r="BB29" s="5024"/>
      <c r="BG29" s="5025"/>
      <c r="BO29" s="5026"/>
      <c r="BT29" s="5027"/>
      <c r="CB29" s="5028"/>
    </row>
    <row r="30" spans="1:82" x14ac:dyDescent="0.25">
      <c r="A30" s="5029" t="s">
        <v>1407</v>
      </c>
      <c r="B30">
        <v>1.33</v>
      </c>
      <c r="C30">
        <v>0.76</v>
      </c>
      <c r="D30">
        <v>1.22</v>
      </c>
      <c r="G30" s="5030">
        <v>0</v>
      </c>
      <c r="H30">
        <v>2</v>
      </c>
      <c r="I30">
        <v>1</v>
      </c>
      <c r="J30">
        <v>0</v>
      </c>
      <c r="K30">
        <v>0</v>
      </c>
      <c r="L30">
        <v>0</v>
      </c>
      <c r="M30">
        <v>1</v>
      </c>
      <c r="N30">
        <v>1</v>
      </c>
      <c r="O30" s="5031">
        <v>0</v>
      </c>
      <c r="P30">
        <v>0</v>
      </c>
      <c r="Q30">
        <v>0</v>
      </c>
      <c r="R30">
        <v>0</v>
      </c>
      <c r="S30">
        <v>0</v>
      </c>
      <c r="T30" s="5032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 s="5033">
        <v>0</v>
      </c>
      <c r="AC30">
        <v>0</v>
      </c>
      <c r="AD30">
        <v>0</v>
      </c>
      <c r="AE30">
        <v>0</v>
      </c>
      <c r="AF30">
        <v>0</v>
      </c>
      <c r="AG30" s="5034">
        <v>0</v>
      </c>
      <c r="AH30">
        <v>4</v>
      </c>
      <c r="AI30">
        <v>0</v>
      </c>
      <c r="AJ30">
        <v>0</v>
      </c>
      <c r="AK30">
        <v>0</v>
      </c>
      <c r="AL30">
        <v>0</v>
      </c>
      <c r="AM30">
        <v>5</v>
      </c>
      <c r="AN30">
        <v>0</v>
      </c>
      <c r="AO30" s="5035">
        <v>1</v>
      </c>
      <c r="AP30">
        <v>0</v>
      </c>
      <c r="AQ30">
        <v>0</v>
      </c>
      <c r="AR30">
        <v>0</v>
      </c>
      <c r="AS30">
        <v>0</v>
      </c>
      <c r="AT30" s="5036"/>
      <c r="BB30" s="5037"/>
      <c r="BG30" s="5038"/>
      <c r="BO30" s="5039"/>
      <c r="BT30" s="5040"/>
      <c r="CB30" s="5041"/>
    </row>
    <row r="31" spans="1:82" x14ac:dyDescent="0.25">
      <c r="A31" s="5042" t="s">
        <v>1042</v>
      </c>
      <c r="B31">
        <v>0.57999999999999996</v>
      </c>
      <c r="C31">
        <v>0.73</v>
      </c>
      <c r="D31">
        <v>1.27</v>
      </c>
      <c r="G31" s="5043">
        <v>0</v>
      </c>
      <c r="H31">
        <v>4</v>
      </c>
      <c r="I31">
        <v>1</v>
      </c>
      <c r="J31">
        <v>0</v>
      </c>
      <c r="K31">
        <v>0</v>
      </c>
      <c r="L31">
        <v>0</v>
      </c>
      <c r="M31">
        <v>2</v>
      </c>
      <c r="N31">
        <v>0</v>
      </c>
      <c r="O31" s="5044">
        <v>0</v>
      </c>
      <c r="P31">
        <v>0</v>
      </c>
      <c r="Q31">
        <v>0</v>
      </c>
      <c r="R31">
        <v>0</v>
      </c>
      <c r="S31">
        <v>0</v>
      </c>
      <c r="T31" s="5045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 s="5046">
        <v>0</v>
      </c>
      <c r="AC31">
        <v>0</v>
      </c>
      <c r="AD31">
        <v>0</v>
      </c>
      <c r="AE31">
        <v>0</v>
      </c>
      <c r="AF31">
        <v>0</v>
      </c>
      <c r="AG31" s="5047">
        <v>1</v>
      </c>
      <c r="AH31">
        <v>2</v>
      </c>
      <c r="AI31">
        <v>0</v>
      </c>
      <c r="AJ31">
        <v>0</v>
      </c>
      <c r="AK31">
        <v>0</v>
      </c>
      <c r="AL31">
        <v>0</v>
      </c>
      <c r="AM31">
        <v>3</v>
      </c>
      <c r="AN31">
        <v>0</v>
      </c>
      <c r="AO31" s="5048">
        <v>1</v>
      </c>
      <c r="AP31">
        <v>0</v>
      </c>
      <c r="AQ31">
        <v>0</v>
      </c>
      <c r="AR31">
        <v>0</v>
      </c>
      <c r="AS31">
        <v>0</v>
      </c>
      <c r="AT31" s="5049"/>
      <c r="BB31" s="5050"/>
      <c r="BG31" s="5051"/>
      <c r="BO31" s="5052"/>
      <c r="BT31" s="5053"/>
      <c r="CB31" s="5054"/>
    </row>
    <row r="32" spans="1:82" x14ac:dyDescent="0.25">
      <c r="A32" s="5055" t="s">
        <v>349</v>
      </c>
      <c r="B32">
        <v>0.56999999999999995</v>
      </c>
      <c r="C32">
        <v>0.68</v>
      </c>
      <c r="D32">
        <v>0.91</v>
      </c>
      <c r="G32" s="5056">
        <v>0</v>
      </c>
      <c r="H32">
        <v>1</v>
      </c>
      <c r="I32">
        <v>0</v>
      </c>
      <c r="J32">
        <v>0</v>
      </c>
      <c r="K32">
        <v>0</v>
      </c>
      <c r="L32">
        <v>0</v>
      </c>
      <c r="M32">
        <v>1</v>
      </c>
      <c r="N32">
        <v>1</v>
      </c>
      <c r="O32" s="5057">
        <v>0</v>
      </c>
      <c r="P32">
        <v>0</v>
      </c>
      <c r="Q32">
        <v>0</v>
      </c>
      <c r="R32">
        <v>0</v>
      </c>
      <c r="S32">
        <v>0</v>
      </c>
      <c r="T32" s="5058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3</v>
      </c>
      <c r="AA32">
        <v>0</v>
      </c>
      <c r="AB32" s="5059">
        <v>0</v>
      </c>
      <c r="AC32">
        <v>0</v>
      </c>
      <c r="AD32">
        <v>0</v>
      </c>
      <c r="AE32">
        <v>0</v>
      </c>
      <c r="AF32">
        <v>0</v>
      </c>
      <c r="AG32" s="5060">
        <v>0</v>
      </c>
      <c r="AH32">
        <v>1</v>
      </c>
      <c r="AI32">
        <v>0</v>
      </c>
      <c r="AJ32">
        <v>0</v>
      </c>
      <c r="AK32">
        <v>0</v>
      </c>
      <c r="AL32">
        <v>1</v>
      </c>
      <c r="AM32">
        <v>3</v>
      </c>
      <c r="AN32">
        <v>0</v>
      </c>
      <c r="AO32" s="5061">
        <v>0</v>
      </c>
      <c r="AP32">
        <v>1</v>
      </c>
      <c r="AQ32">
        <v>0</v>
      </c>
      <c r="AR32">
        <v>0</v>
      </c>
      <c r="AS32">
        <v>0</v>
      </c>
      <c r="AT32" s="5062"/>
      <c r="BB32" s="5063"/>
      <c r="BG32" s="5064"/>
      <c r="BO32" s="5065"/>
      <c r="BT32" s="5066"/>
      <c r="CB32" s="5067"/>
      <c r="CD32" t="s">
        <v>1409</v>
      </c>
    </row>
    <row r="33" spans="1:82" x14ac:dyDescent="0.25">
      <c r="A33" s="5081" t="s">
        <v>1411</v>
      </c>
      <c r="B33" s="5081"/>
      <c r="C33" s="5081"/>
      <c r="D33" s="5081"/>
      <c r="E33" s="5081"/>
      <c r="F33" s="5081"/>
      <c r="G33" s="5068"/>
      <c r="O33" s="5069"/>
      <c r="T33" s="5070"/>
      <c r="AB33" s="5071"/>
      <c r="AG33" s="5072"/>
      <c r="AO33" s="5073"/>
      <c r="AT33" s="5074"/>
      <c r="BB33" s="5075"/>
      <c r="BG33" s="5076"/>
      <c r="BO33" s="5077"/>
      <c r="BT33" s="5078"/>
      <c r="CB33" s="5079"/>
    </row>
    <row r="34" spans="1:82" x14ac:dyDescent="0.25">
      <c r="A34" s="5080" t="s">
        <v>1412</v>
      </c>
      <c r="B34">
        <v>1.04</v>
      </c>
      <c r="C34">
        <v>1.36</v>
      </c>
      <c r="D34">
        <v>0.81</v>
      </c>
      <c r="G34" s="5081">
        <v>2</v>
      </c>
      <c r="H34">
        <v>5</v>
      </c>
      <c r="I34">
        <v>1</v>
      </c>
      <c r="J34">
        <v>0</v>
      </c>
      <c r="K34">
        <v>0</v>
      </c>
      <c r="L34">
        <v>0</v>
      </c>
      <c r="M34">
        <v>2</v>
      </c>
      <c r="N34">
        <v>1</v>
      </c>
      <c r="O34" s="5082">
        <v>0</v>
      </c>
      <c r="P34">
        <v>0</v>
      </c>
      <c r="Q34">
        <v>0</v>
      </c>
      <c r="R34">
        <v>0</v>
      </c>
      <c r="S34">
        <v>0</v>
      </c>
      <c r="T34" s="5083">
        <v>0</v>
      </c>
      <c r="U34">
        <v>1</v>
      </c>
      <c r="V34">
        <v>2</v>
      </c>
      <c r="W34">
        <v>1</v>
      </c>
      <c r="X34">
        <v>0</v>
      </c>
      <c r="Y34">
        <v>1</v>
      </c>
      <c r="Z34">
        <v>6</v>
      </c>
      <c r="AA34">
        <v>1</v>
      </c>
      <c r="AB34" s="5084">
        <v>1</v>
      </c>
      <c r="AC34">
        <v>0</v>
      </c>
      <c r="AD34">
        <v>0</v>
      </c>
      <c r="AE34">
        <v>0</v>
      </c>
      <c r="AF34">
        <v>0</v>
      </c>
      <c r="AG34" s="5085">
        <v>2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4</v>
      </c>
      <c r="AN34">
        <v>0</v>
      </c>
      <c r="AO34" s="5086">
        <v>0</v>
      </c>
      <c r="AP34">
        <v>0</v>
      </c>
      <c r="AQ34">
        <v>0</v>
      </c>
      <c r="AR34">
        <v>0</v>
      </c>
      <c r="AS34">
        <v>0</v>
      </c>
      <c r="AT34" s="5087"/>
      <c r="BB34" s="5088"/>
      <c r="BG34" s="5089"/>
      <c r="BO34" s="5090"/>
      <c r="BT34" s="5091"/>
      <c r="CB34" s="5092"/>
    </row>
    <row r="35" spans="1:82" x14ac:dyDescent="0.25">
      <c r="A35" s="40" t="s">
        <v>1413</v>
      </c>
      <c r="B35" s="40"/>
      <c r="C35" s="40"/>
      <c r="D35" s="40"/>
      <c r="E35" s="40"/>
      <c r="F35" s="40"/>
      <c r="G35" s="5094"/>
      <c r="O35" s="5095"/>
      <c r="T35" s="5096"/>
      <c r="AB35" s="5097"/>
      <c r="AG35" s="5098"/>
      <c r="AO35" s="5099"/>
      <c r="AT35" s="5100"/>
      <c r="BB35" s="5101"/>
      <c r="BG35" s="5102"/>
      <c r="BO35" s="5103"/>
      <c r="BT35" s="5104"/>
      <c r="CB35" s="5105"/>
    </row>
    <row r="36" spans="1:82" x14ac:dyDescent="0.25">
      <c r="A36" s="5106" t="s">
        <v>1044</v>
      </c>
      <c r="B36">
        <v>1.26</v>
      </c>
      <c r="C36">
        <v>1.19</v>
      </c>
      <c r="D36">
        <v>1.35</v>
      </c>
      <c r="G36" s="5107">
        <v>0</v>
      </c>
      <c r="H36">
        <v>3</v>
      </c>
      <c r="I36">
        <v>1</v>
      </c>
      <c r="J36">
        <v>0</v>
      </c>
      <c r="K36">
        <v>0</v>
      </c>
      <c r="L36">
        <v>0</v>
      </c>
      <c r="M36">
        <v>1</v>
      </c>
      <c r="N36">
        <v>2</v>
      </c>
      <c r="O36" s="5108">
        <v>0</v>
      </c>
      <c r="P36">
        <v>0</v>
      </c>
      <c r="Q36">
        <v>1</v>
      </c>
      <c r="R36">
        <v>0</v>
      </c>
      <c r="S36">
        <v>0</v>
      </c>
      <c r="T36" s="5109">
        <v>1</v>
      </c>
      <c r="U36">
        <v>1</v>
      </c>
      <c r="V36">
        <v>1</v>
      </c>
      <c r="W36">
        <v>0</v>
      </c>
      <c r="X36">
        <v>0</v>
      </c>
      <c r="Y36">
        <v>0</v>
      </c>
      <c r="Z36">
        <v>3</v>
      </c>
      <c r="AA36">
        <v>2</v>
      </c>
      <c r="AB36" s="5110">
        <v>0</v>
      </c>
      <c r="AC36">
        <v>0</v>
      </c>
      <c r="AD36">
        <v>0</v>
      </c>
      <c r="AE36">
        <v>0</v>
      </c>
      <c r="AF36">
        <v>0</v>
      </c>
      <c r="AG36" s="5111">
        <v>0</v>
      </c>
      <c r="AH36">
        <v>2</v>
      </c>
      <c r="AI36">
        <v>0</v>
      </c>
      <c r="AJ36">
        <v>0</v>
      </c>
      <c r="AK36">
        <v>0</v>
      </c>
      <c r="AL36">
        <v>0</v>
      </c>
      <c r="AM36">
        <v>2</v>
      </c>
      <c r="AN36">
        <v>0</v>
      </c>
      <c r="AO36" s="5112">
        <v>0</v>
      </c>
      <c r="AP36">
        <v>0</v>
      </c>
      <c r="AQ36">
        <v>0</v>
      </c>
      <c r="AR36">
        <v>0</v>
      </c>
      <c r="AS36">
        <v>0</v>
      </c>
      <c r="AT36" s="5113"/>
      <c r="BB36" s="5114"/>
      <c r="BG36" s="5115"/>
      <c r="BO36" s="5116"/>
      <c r="BT36" s="5117"/>
      <c r="CB36" s="5118"/>
      <c r="CD36" t="s">
        <v>1419</v>
      </c>
    </row>
    <row r="37" spans="1:82" x14ac:dyDescent="0.25">
      <c r="A37" s="5119" t="s">
        <v>1414</v>
      </c>
      <c r="B37">
        <v>0.89</v>
      </c>
      <c r="C37">
        <v>1.99</v>
      </c>
      <c r="D37">
        <v>1.0900000000000001</v>
      </c>
      <c r="G37" s="5120">
        <v>0</v>
      </c>
      <c r="H37">
        <v>3</v>
      </c>
      <c r="I37">
        <v>0</v>
      </c>
      <c r="J37">
        <v>0</v>
      </c>
      <c r="K37">
        <v>0</v>
      </c>
      <c r="L37">
        <v>0</v>
      </c>
      <c r="M37">
        <v>1</v>
      </c>
      <c r="N37">
        <v>0</v>
      </c>
      <c r="O37" s="5121">
        <v>0</v>
      </c>
      <c r="P37">
        <v>0</v>
      </c>
      <c r="Q37">
        <v>0</v>
      </c>
      <c r="R37">
        <v>0</v>
      </c>
      <c r="S37">
        <v>0</v>
      </c>
      <c r="T37" s="5122">
        <v>1</v>
      </c>
      <c r="U37">
        <v>0</v>
      </c>
      <c r="V37">
        <v>3</v>
      </c>
      <c r="W37">
        <v>1</v>
      </c>
      <c r="X37">
        <v>1</v>
      </c>
      <c r="Y37">
        <v>0</v>
      </c>
      <c r="Z37">
        <v>3</v>
      </c>
      <c r="AA37">
        <v>0</v>
      </c>
      <c r="AB37" s="5123">
        <v>1</v>
      </c>
      <c r="AC37">
        <v>1</v>
      </c>
      <c r="AD37">
        <v>0</v>
      </c>
      <c r="AE37">
        <v>0</v>
      </c>
      <c r="AF37">
        <v>0</v>
      </c>
      <c r="AG37" s="5124">
        <v>0</v>
      </c>
      <c r="AH37">
        <v>4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2</v>
      </c>
      <c r="AO37" s="5125">
        <v>0</v>
      </c>
      <c r="AP37">
        <v>0</v>
      </c>
      <c r="AQ37">
        <v>0</v>
      </c>
      <c r="AR37">
        <v>0</v>
      </c>
      <c r="AS37">
        <v>0</v>
      </c>
      <c r="AT37" s="5126"/>
      <c r="BB37" s="5127"/>
      <c r="BG37" s="5128"/>
      <c r="BO37" s="5129"/>
      <c r="BT37" s="5130"/>
      <c r="CB37" s="5131"/>
    </row>
    <row r="38" spans="1:82" x14ac:dyDescent="0.25">
      <c r="A38" s="5132" t="s">
        <v>1415</v>
      </c>
      <c r="B38">
        <v>1.34</v>
      </c>
      <c r="C38">
        <v>1.53</v>
      </c>
      <c r="D38">
        <v>0.73</v>
      </c>
      <c r="G38" s="5133">
        <v>0</v>
      </c>
      <c r="H38">
        <v>3</v>
      </c>
      <c r="I38">
        <v>0</v>
      </c>
      <c r="J38">
        <v>1</v>
      </c>
      <c r="K38">
        <v>0</v>
      </c>
      <c r="L38">
        <v>0</v>
      </c>
      <c r="M38">
        <v>2</v>
      </c>
      <c r="N38">
        <v>0</v>
      </c>
      <c r="O38" s="5134">
        <v>0</v>
      </c>
      <c r="P38">
        <v>0</v>
      </c>
      <c r="Q38">
        <v>0</v>
      </c>
      <c r="R38">
        <v>0</v>
      </c>
      <c r="S38">
        <v>0</v>
      </c>
      <c r="T38" s="5135">
        <v>0</v>
      </c>
      <c r="U38">
        <v>0</v>
      </c>
      <c r="V38">
        <v>1</v>
      </c>
      <c r="W38">
        <v>0</v>
      </c>
      <c r="X38">
        <v>1</v>
      </c>
      <c r="Y38">
        <v>0</v>
      </c>
      <c r="Z38">
        <v>2</v>
      </c>
      <c r="AA38">
        <v>1</v>
      </c>
      <c r="AB38" s="5136">
        <v>0</v>
      </c>
      <c r="AC38">
        <v>2</v>
      </c>
      <c r="AD38">
        <v>1</v>
      </c>
      <c r="AE38">
        <v>0</v>
      </c>
      <c r="AF38">
        <v>0</v>
      </c>
      <c r="AG38" s="5137">
        <v>0</v>
      </c>
      <c r="AH38">
        <v>2</v>
      </c>
      <c r="AI38">
        <v>0</v>
      </c>
      <c r="AJ38">
        <v>0</v>
      </c>
      <c r="AK38">
        <v>0</v>
      </c>
      <c r="AL38">
        <v>1</v>
      </c>
      <c r="AM38">
        <v>2</v>
      </c>
      <c r="AN38">
        <v>0</v>
      </c>
      <c r="AO38" s="5138">
        <v>0</v>
      </c>
      <c r="AP38">
        <v>0</v>
      </c>
      <c r="AQ38">
        <v>0</v>
      </c>
      <c r="AR38">
        <v>0</v>
      </c>
      <c r="AS38">
        <v>0</v>
      </c>
      <c r="AT38" s="5139"/>
      <c r="BB38" s="5140"/>
      <c r="BG38" s="5141"/>
      <c r="BO38" s="5142"/>
      <c r="BT38" s="5143"/>
      <c r="CB38" s="5144"/>
    </row>
    <row r="39" spans="1:82" x14ac:dyDescent="0.25">
      <c r="A39" s="5145" t="s">
        <v>1416</v>
      </c>
      <c r="B39">
        <v>1.23</v>
      </c>
      <c r="C39">
        <v>1.38</v>
      </c>
      <c r="D39">
        <v>1.04</v>
      </c>
      <c r="G39" s="5146">
        <v>2</v>
      </c>
      <c r="H39">
        <v>3</v>
      </c>
      <c r="I39">
        <v>2</v>
      </c>
      <c r="J39">
        <v>0</v>
      </c>
      <c r="K39">
        <v>0</v>
      </c>
      <c r="L39">
        <v>0</v>
      </c>
      <c r="M39">
        <v>1</v>
      </c>
      <c r="N39">
        <v>0</v>
      </c>
      <c r="O39" s="5147">
        <v>0</v>
      </c>
      <c r="P39">
        <v>0</v>
      </c>
      <c r="Q39">
        <v>0</v>
      </c>
      <c r="R39">
        <v>0</v>
      </c>
      <c r="S39">
        <v>0</v>
      </c>
      <c r="T39" s="5148">
        <v>0</v>
      </c>
      <c r="U39">
        <v>0</v>
      </c>
      <c r="V39">
        <v>1</v>
      </c>
      <c r="W39">
        <v>1</v>
      </c>
      <c r="X39">
        <v>0</v>
      </c>
      <c r="Y39">
        <v>0</v>
      </c>
      <c r="Z39">
        <v>5</v>
      </c>
      <c r="AA39">
        <v>0</v>
      </c>
      <c r="AB39" s="5149">
        <v>0</v>
      </c>
      <c r="AC39">
        <v>0</v>
      </c>
      <c r="AD39">
        <v>0</v>
      </c>
      <c r="AE39">
        <v>1</v>
      </c>
      <c r="AF39">
        <v>0</v>
      </c>
      <c r="AG39" s="5150">
        <v>0</v>
      </c>
      <c r="AH39">
        <v>1</v>
      </c>
      <c r="AI39">
        <v>1</v>
      </c>
      <c r="AJ39">
        <v>0</v>
      </c>
      <c r="AK39">
        <v>0</v>
      </c>
      <c r="AL39">
        <v>1</v>
      </c>
      <c r="AM39">
        <v>3</v>
      </c>
      <c r="AN39">
        <v>0</v>
      </c>
      <c r="AO39" s="5151">
        <v>0</v>
      </c>
      <c r="AP39">
        <v>0</v>
      </c>
      <c r="AQ39">
        <v>0</v>
      </c>
      <c r="AR39">
        <v>0</v>
      </c>
      <c r="AS39">
        <v>0</v>
      </c>
      <c r="AT39" s="5152"/>
      <c r="BB39" s="5153"/>
      <c r="BG39" s="5154"/>
      <c r="BO39" s="5155"/>
      <c r="BT39" s="5156"/>
      <c r="CB39" s="5157"/>
    </row>
    <row r="40" spans="1:82" x14ac:dyDescent="0.25">
      <c r="A40" s="5158" t="s">
        <v>1417</v>
      </c>
      <c r="B40">
        <v>0.9</v>
      </c>
      <c r="C40">
        <v>0.74</v>
      </c>
      <c r="D40">
        <v>1.1499999999999999</v>
      </c>
      <c r="G40" s="5159">
        <v>0</v>
      </c>
      <c r="H40">
        <v>3</v>
      </c>
      <c r="I40">
        <v>0</v>
      </c>
      <c r="J40">
        <v>0</v>
      </c>
      <c r="K40">
        <v>0</v>
      </c>
      <c r="L40">
        <v>0</v>
      </c>
      <c r="M40">
        <v>1</v>
      </c>
      <c r="N40">
        <v>0</v>
      </c>
      <c r="O40" s="5160">
        <v>0</v>
      </c>
      <c r="P40">
        <v>0</v>
      </c>
      <c r="Q40">
        <v>0</v>
      </c>
      <c r="R40">
        <v>0</v>
      </c>
      <c r="S40">
        <v>0</v>
      </c>
      <c r="T40" s="5161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2</v>
      </c>
      <c r="AA40">
        <v>0</v>
      </c>
      <c r="AB40" s="5162">
        <v>1</v>
      </c>
      <c r="AC40">
        <v>1</v>
      </c>
      <c r="AD40">
        <v>0</v>
      </c>
      <c r="AE40">
        <v>0</v>
      </c>
      <c r="AF40">
        <v>0</v>
      </c>
      <c r="AG40" s="5163">
        <v>2</v>
      </c>
      <c r="AH40">
        <v>3</v>
      </c>
      <c r="AI40">
        <v>1</v>
      </c>
      <c r="AJ40">
        <v>0</v>
      </c>
      <c r="AK40">
        <v>0</v>
      </c>
      <c r="AL40">
        <v>0</v>
      </c>
      <c r="AM40">
        <v>1</v>
      </c>
      <c r="AN40">
        <v>0</v>
      </c>
      <c r="AO40" s="5164">
        <v>0</v>
      </c>
      <c r="AP40">
        <v>1</v>
      </c>
      <c r="AQ40">
        <v>0</v>
      </c>
      <c r="AR40">
        <v>0</v>
      </c>
      <c r="AS40">
        <v>0</v>
      </c>
      <c r="AT40" s="5165"/>
      <c r="BB40" s="5166"/>
      <c r="BG40" s="5167"/>
      <c r="BO40" s="5168"/>
      <c r="BT40" s="5169"/>
      <c r="CB40" s="5170"/>
    </row>
    <row r="41" spans="1:82" x14ac:dyDescent="0.25">
      <c r="A41" s="5171" t="s">
        <v>1418</v>
      </c>
      <c r="B41">
        <v>0.92</v>
      </c>
      <c r="C41">
        <v>0.96</v>
      </c>
      <c r="D41">
        <v>1.06</v>
      </c>
      <c r="G41" s="5172">
        <v>2</v>
      </c>
      <c r="H41">
        <v>3</v>
      </c>
      <c r="I41">
        <v>0</v>
      </c>
      <c r="J41">
        <v>0</v>
      </c>
      <c r="K41">
        <v>0</v>
      </c>
      <c r="L41">
        <v>1</v>
      </c>
      <c r="M41">
        <v>2</v>
      </c>
      <c r="N41">
        <v>0</v>
      </c>
      <c r="O41" s="5173">
        <v>0</v>
      </c>
      <c r="P41">
        <v>0</v>
      </c>
      <c r="Q41">
        <v>0</v>
      </c>
      <c r="R41">
        <v>0</v>
      </c>
      <c r="S41">
        <v>0</v>
      </c>
      <c r="T41" s="5174">
        <v>1</v>
      </c>
      <c r="U41">
        <v>1</v>
      </c>
      <c r="V41">
        <v>1</v>
      </c>
      <c r="W41">
        <v>0</v>
      </c>
      <c r="X41">
        <v>0</v>
      </c>
      <c r="Y41">
        <v>1</v>
      </c>
      <c r="Z41">
        <v>7</v>
      </c>
      <c r="AA41">
        <v>1</v>
      </c>
      <c r="AB41" s="5175">
        <v>2</v>
      </c>
      <c r="AC41">
        <v>0</v>
      </c>
      <c r="AD41">
        <v>0</v>
      </c>
      <c r="AE41">
        <v>0</v>
      </c>
      <c r="AF41">
        <v>0</v>
      </c>
      <c r="AG41" s="5176">
        <v>2</v>
      </c>
      <c r="AH41">
        <v>2</v>
      </c>
      <c r="AI41">
        <v>1</v>
      </c>
      <c r="AJ41">
        <v>0</v>
      </c>
      <c r="AK41">
        <v>0</v>
      </c>
      <c r="AL41">
        <v>0</v>
      </c>
      <c r="AM41">
        <v>6</v>
      </c>
      <c r="AN41">
        <v>0</v>
      </c>
      <c r="AO41" s="5177">
        <v>1</v>
      </c>
      <c r="AP41">
        <v>0</v>
      </c>
      <c r="AQ41">
        <v>0</v>
      </c>
      <c r="AR41">
        <v>0</v>
      </c>
      <c r="AS41">
        <v>0</v>
      </c>
      <c r="AT41" s="5178"/>
      <c r="BB41" s="5179"/>
      <c r="BG41" s="5180"/>
      <c r="BO41" s="5181"/>
      <c r="BT41" s="5182"/>
      <c r="CB41" s="5183"/>
    </row>
    <row r="42" spans="1:82" x14ac:dyDescent="0.25">
      <c r="A42" s="40" t="s">
        <v>1420</v>
      </c>
      <c r="B42" s="40"/>
      <c r="C42" s="40"/>
      <c r="D42" s="40"/>
      <c r="E42" s="40"/>
      <c r="F42" s="40"/>
      <c r="G42" s="5185"/>
      <c r="O42" s="5186"/>
      <c r="T42" s="5187"/>
      <c r="AB42" s="5188"/>
      <c r="AG42" s="5189"/>
      <c r="AO42" s="5190"/>
      <c r="AT42" s="5191"/>
      <c r="BB42" s="5192"/>
      <c r="BG42" s="5193"/>
      <c r="BO42" s="5194"/>
      <c r="BT42" s="5195"/>
      <c r="CB42" s="5196"/>
    </row>
    <row r="43" spans="1:82" x14ac:dyDescent="0.25">
      <c r="A43" s="5197" t="s">
        <v>1421</v>
      </c>
      <c r="B43">
        <v>1.0900000000000001</v>
      </c>
      <c r="C43">
        <v>0.75</v>
      </c>
      <c r="D43">
        <v>0.59</v>
      </c>
      <c r="G43" s="5198">
        <v>1</v>
      </c>
      <c r="H43">
        <v>2</v>
      </c>
      <c r="I43">
        <v>0</v>
      </c>
      <c r="J43">
        <v>1</v>
      </c>
      <c r="K43">
        <v>0</v>
      </c>
      <c r="L43">
        <v>0</v>
      </c>
      <c r="M43">
        <v>1</v>
      </c>
      <c r="N43">
        <v>1</v>
      </c>
      <c r="O43" s="5199">
        <v>0</v>
      </c>
      <c r="P43">
        <v>0</v>
      </c>
      <c r="Q43">
        <v>0</v>
      </c>
      <c r="R43">
        <v>0</v>
      </c>
      <c r="S43">
        <v>0</v>
      </c>
      <c r="T43" s="5200">
        <v>2</v>
      </c>
      <c r="U43">
        <v>0</v>
      </c>
      <c r="V43">
        <v>0</v>
      </c>
      <c r="W43">
        <v>0</v>
      </c>
      <c r="X43">
        <v>0</v>
      </c>
      <c r="Y43">
        <v>0</v>
      </c>
      <c r="Z43">
        <v>5</v>
      </c>
      <c r="AA43">
        <v>1</v>
      </c>
      <c r="AB43" s="5201">
        <v>0</v>
      </c>
      <c r="AC43">
        <v>0</v>
      </c>
      <c r="AD43">
        <v>0</v>
      </c>
      <c r="AE43">
        <v>0</v>
      </c>
      <c r="AF43">
        <v>0</v>
      </c>
      <c r="AG43" s="5202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1</v>
      </c>
      <c r="AO43" s="5203">
        <v>0</v>
      </c>
      <c r="AP43">
        <v>0</v>
      </c>
      <c r="AQ43">
        <v>0</v>
      </c>
      <c r="AR43">
        <v>0</v>
      </c>
      <c r="AS43">
        <v>0</v>
      </c>
      <c r="AT43" s="5204"/>
      <c r="BB43" s="5205"/>
      <c r="BG43" s="5206"/>
      <c r="BO43" s="5207"/>
      <c r="BT43" s="5208"/>
      <c r="CB43" s="5209"/>
    </row>
    <row r="44" spans="1:82" x14ac:dyDescent="0.25">
      <c r="A44" s="5210" t="s">
        <v>862</v>
      </c>
      <c r="B44">
        <v>0.61</v>
      </c>
      <c r="C44">
        <v>0.67</v>
      </c>
      <c r="D44">
        <v>1.57</v>
      </c>
      <c r="G44" s="5211">
        <v>0</v>
      </c>
      <c r="H44">
        <v>0</v>
      </c>
      <c r="I44">
        <v>1</v>
      </c>
      <c r="J44">
        <v>0</v>
      </c>
      <c r="K44">
        <v>0</v>
      </c>
      <c r="L44">
        <v>0</v>
      </c>
      <c r="M44">
        <v>0</v>
      </c>
      <c r="N44">
        <v>0</v>
      </c>
      <c r="O44" s="5212">
        <v>0</v>
      </c>
      <c r="P44">
        <v>0</v>
      </c>
      <c r="Q44">
        <v>0</v>
      </c>
      <c r="R44">
        <v>0</v>
      </c>
      <c r="S44">
        <v>0</v>
      </c>
      <c r="T44" s="5213">
        <v>0</v>
      </c>
      <c r="U44">
        <v>0</v>
      </c>
      <c r="V44">
        <v>1</v>
      </c>
      <c r="W44">
        <v>0</v>
      </c>
      <c r="X44">
        <v>0</v>
      </c>
      <c r="Y44">
        <v>0</v>
      </c>
      <c r="Z44">
        <v>1</v>
      </c>
      <c r="AA44">
        <v>0</v>
      </c>
      <c r="AB44" s="5214">
        <v>0</v>
      </c>
      <c r="AC44">
        <v>0</v>
      </c>
      <c r="AD44">
        <v>0</v>
      </c>
      <c r="AE44">
        <v>0</v>
      </c>
      <c r="AF44">
        <v>0</v>
      </c>
      <c r="AG44" s="5215">
        <v>0</v>
      </c>
      <c r="AH44">
        <v>2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1</v>
      </c>
      <c r="AO44" s="5216">
        <v>0</v>
      </c>
      <c r="AP44">
        <v>0</v>
      </c>
      <c r="AQ44">
        <v>0</v>
      </c>
      <c r="AR44">
        <v>0</v>
      </c>
      <c r="AS44">
        <v>0</v>
      </c>
      <c r="AT44" s="5217"/>
      <c r="BB44" s="5218"/>
      <c r="BG44" s="5219"/>
      <c r="BO44" s="5220"/>
      <c r="BT44" s="5221"/>
      <c r="CB44" s="5222"/>
    </row>
    <row r="45" spans="1:82" x14ac:dyDescent="0.25">
      <c r="A45" s="5223" t="s">
        <v>1401</v>
      </c>
      <c r="B45">
        <v>0.97</v>
      </c>
      <c r="C45">
        <v>0.74</v>
      </c>
      <c r="D45">
        <v>1.1000000000000001</v>
      </c>
      <c r="G45" s="5224">
        <v>0</v>
      </c>
      <c r="H45">
        <v>3</v>
      </c>
      <c r="I45">
        <v>1</v>
      </c>
      <c r="J45">
        <v>0</v>
      </c>
      <c r="K45">
        <v>0</v>
      </c>
      <c r="L45">
        <v>1</v>
      </c>
      <c r="M45">
        <v>1</v>
      </c>
      <c r="N45">
        <v>0</v>
      </c>
      <c r="O45" s="5225">
        <v>0</v>
      </c>
      <c r="P45">
        <v>0</v>
      </c>
      <c r="Q45">
        <v>0</v>
      </c>
      <c r="R45">
        <v>0</v>
      </c>
      <c r="S45">
        <v>0</v>
      </c>
      <c r="T45" s="5226">
        <v>0</v>
      </c>
      <c r="U45">
        <v>0</v>
      </c>
      <c r="V45">
        <v>1</v>
      </c>
      <c r="W45">
        <v>0</v>
      </c>
      <c r="X45">
        <v>0</v>
      </c>
      <c r="Y45">
        <v>0</v>
      </c>
      <c r="Z45">
        <v>4</v>
      </c>
      <c r="AA45">
        <v>0</v>
      </c>
      <c r="AB45" s="5227">
        <v>0</v>
      </c>
      <c r="AC45">
        <v>1</v>
      </c>
      <c r="AD45">
        <v>0</v>
      </c>
      <c r="AE45">
        <v>0</v>
      </c>
      <c r="AF45">
        <v>0</v>
      </c>
      <c r="AG45" s="5228">
        <v>2</v>
      </c>
      <c r="AH45">
        <v>3</v>
      </c>
      <c r="AI45">
        <v>2</v>
      </c>
      <c r="AJ45">
        <v>0</v>
      </c>
      <c r="AK45">
        <v>0</v>
      </c>
      <c r="AL45">
        <v>0</v>
      </c>
      <c r="AM45">
        <v>1</v>
      </c>
      <c r="AN45">
        <v>1</v>
      </c>
      <c r="AO45" s="5229">
        <v>0</v>
      </c>
      <c r="AP45">
        <v>1</v>
      </c>
      <c r="AQ45">
        <v>0</v>
      </c>
      <c r="AR45">
        <v>0</v>
      </c>
      <c r="AS45">
        <v>0</v>
      </c>
      <c r="AT45" s="5230"/>
      <c r="BB45" s="5231"/>
      <c r="BG45" s="5232"/>
      <c r="BO45" s="5233"/>
      <c r="BT45" s="5234"/>
      <c r="CB45" s="5235"/>
    </row>
    <row r="46" spans="1:82" x14ac:dyDescent="0.25">
      <c r="A46" s="5236" t="s">
        <v>1066</v>
      </c>
      <c r="B46">
        <v>0.54</v>
      </c>
      <c r="C46">
        <v>1.0900000000000001</v>
      </c>
      <c r="D46">
        <v>0.86</v>
      </c>
      <c r="G46" s="5237">
        <v>1</v>
      </c>
      <c r="H46">
        <v>1</v>
      </c>
      <c r="I46">
        <v>1</v>
      </c>
      <c r="J46">
        <v>0</v>
      </c>
      <c r="K46">
        <v>0</v>
      </c>
      <c r="L46">
        <v>0</v>
      </c>
      <c r="M46">
        <v>0</v>
      </c>
      <c r="N46">
        <v>0</v>
      </c>
      <c r="O46" s="5238">
        <v>0</v>
      </c>
      <c r="P46">
        <v>0</v>
      </c>
      <c r="Q46">
        <v>0</v>
      </c>
      <c r="R46">
        <v>0</v>
      </c>
      <c r="S46">
        <v>0</v>
      </c>
      <c r="T46" s="5239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4</v>
      </c>
      <c r="AA46">
        <v>1</v>
      </c>
      <c r="AB46" s="5240">
        <v>0</v>
      </c>
      <c r="AC46">
        <v>0</v>
      </c>
      <c r="AD46">
        <v>0</v>
      </c>
      <c r="AE46">
        <v>0</v>
      </c>
      <c r="AF46">
        <v>0</v>
      </c>
      <c r="AG46" s="5241">
        <v>1</v>
      </c>
      <c r="AH46">
        <v>1</v>
      </c>
      <c r="AI46">
        <v>2</v>
      </c>
      <c r="AJ46">
        <v>0</v>
      </c>
      <c r="AK46">
        <v>0</v>
      </c>
      <c r="AL46">
        <v>1</v>
      </c>
      <c r="AM46">
        <v>2</v>
      </c>
      <c r="AN46">
        <v>0</v>
      </c>
      <c r="AO46" s="5242">
        <v>2</v>
      </c>
      <c r="AP46">
        <v>2</v>
      </c>
      <c r="AQ46">
        <v>0</v>
      </c>
      <c r="AR46">
        <v>0</v>
      </c>
      <c r="AS46">
        <v>0</v>
      </c>
      <c r="AT46" s="5243"/>
      <c r="BB46" s="5244"/>
      <c r="BG46" s="5245"/>
      <c r="BO46" s="5246"/>
      <c r="BT46" s="5247"/>
      <c r="CB46" s="5248"/>
    </row>
    <row r="47" spans="1:82" x14ac:dyDescent="0.25">
      <c r="A47" s="40" t="s">
        <v>1423</v>
      </c>
      <c r="B47" s="40"/>
      <c r="C47" s="40"/>
      <c r="D47" s="40"/>
      <c r="E47" s="40"/>
      <c r="F47" s="40"/>
      <c r="G47" s="5249"/>
      <c r="O47" s="5250"/>
      <c r="T47" s="5251"/>
      <c r="AB47" s="5252"/>
      <c r="AG47" s="5253"/>
      <c r="AO47" s="5254"/>
      <c r="AT47" s="5255"/>
      <c r="BB47" s="5256"/>
      <c r="BG47" s="5257"/>
      <c r="BO47" s="5258"/>
      <c r="BT47" s="5259"/>
      <c r="CB47" s="5260"/>
    </row>
    <row r="48" spans="1:82" x14ac:dyDescent="0.25">
      <c r="A48" s="5261" t="s">
        <v>417</v>
      </c>
      <c r="B48">
        <v>0.65</v>
      </c>
      <c r="C48">
        <v>1.32</v>
      </c>
      <c r="D48">
        <v>1.33</v>
      </c>
      <c r="G48" s="5262">
        <v>1</v>
      </c>
      <c r="H48">
        <v>3</v>
      </c>
      <c r="I48">
        <v>0</v>
      </c>
      <c r="J48">
        <v>0</v>
      </c>
      <c r="K48">
        <v>0</v>
      </c>
      <c r="L48">
        <v>0</v>
      </c>
      <c r="M48">
        <v>2</v>
      </c>
      <c r="N48">
        <v>1</v>
      </c>
      <c r="O48" s="5263">
        <v>0</v>
      </c>
      <c r="P48">
        <v>0</v>
      </c>
      <c r="Q48">
        <v>0</v>
      </c>
      <c r="R48">
        <v>0</v>
      </c>
      <c r="S48">
        <v>0</v>
      </c>
      <c r="T48" s="5264">
        <v>0</v>
      </c>
      <c r="U48">
        <v>3</v>
      </c>
      <c r="V48">
        <v>1</v>
      </c>
      <c r="W48">
        <v>0</v>
      </c>
      <c r="X48">
        <v>0</v>
      </c>
      <c r="Y48">
        <v>0</v>
      </c>
      <c r="Z48">
        <v>5</v>
      </c>
      <c r="AA48">
        <v>0</v>
      </c>
      <c r="AB48" s="5265">
        <v>1</v>
      </c>
      <c r="AC48">
        <v>0</v>
      </c>
      <c r="AD48">
        <v>0</v>
      </c>
      <c r="AE48">
        <v>0</v>
      </c>
      <c r="AF48">
        <v>0</v>
      </c>
      <c r="AG48" s="5266">
        <v>0</v>
      </c>
      <c r="AH48">
        <v>1</v>
      </c>
      <c r="AI48">
        <v>1</v>
      </c>
      <c r="AJ48">
        <v>0</v>
      </c>
      <c r="AK48">
        <v>0</v>
      </c>
      <c r="AL48">
        <v>0</v>
      </c>
      <c r="AM48">
        <v>3</v>
      </c>
      <c r="AN48">
        <v>0</v>
      </c>
      <c r="AO48" s="5267">
        <v>1</v>
      </c>
      <c r="AP48">
        <v>0</v>
      </c>
      <c r="AQ48">
        <v>0</v>
      </c>
      <c r="AR48">
        <v>0</v>
      </c>
      <c r="AS48">
        <v>0</v>
      </c>
      <c r="AT48" s="5268"/>
      <c r="BB48" s="5269"/>
      <c r="BG48" s="5270"/>
      <c r="BO48" s="5271"/>
      <c r="BT48" s="5272"/>
      <c r="CB48" s="5273"/>
    </row>
    <row r="49" spans="1:82" x14ac:dyDescent="0.25">
      <c r="A49" s="5274" t="s">
        <v>865</v>
      </c>
      <c r="B49">
        <v>1.61</v>
      </c>
      <c r="C49">
        <v>1.1200000000000001</v>
      </c>
      <c r="D49">
        <v>1.53</v>
      </c>
      <c r="G49" s="5275">
        <v>2</v>
      </c>
      <c r="H49">
        <v>2</v>
      </c>
      <c r="I49">
        <v>1</v>
      </c>
      <c r="J49">
        <v>0</v>
      </c>
      <c r="K49">
        <v>0</v>
      </c>
      <c r="L49">
        <v>1</v>
      </c>
      <c r="M49">
        <v>1</v>
      </c>
      <c r="N49">
        <v>0</v>
      </c>
      <c r="O49" s="5276">
        <v>0</v>
      </c>
      <c r="P49">
        <v>0</v>
      </c>
      <c r="Q49">
        <v>0</v>
      </c>
      <c r="R49">
        <v>0</v>
      </c>
      <c r="S49">
        <v>0</v>
      </c>
      <c r="T49" s="5277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 s="5278">
        <v>0</v>
      </c>
      <c r="AC49">
        <v>0</v>
      </c>
      <c r="AD49">
        <v>0</v>
      </c>
      <c r="AE49">
        <v>0</v>
      </c>
      <c r="AF49">
        <v>0</v>
      </c>
      <c r="AG49" s="5279">
        <v>0</v>
      </c>
      <c r="AH49">
        <v>3</v>
      </c>
      <c r="AI49">
        <v>1</v>
      </c>
      <c r="AJ49">
        <v>0</v>
      </c>
      <c r="AK49">
        <v>0</v>
      </c>
      <c r="AL49">
        <v>1</v>
      </c>
      <c r="AM49">
        <v>2</v>
      </c>
      <c r="AN49">
        <v>1</v>
      </c>
      <c r="AO49" s="5280">
        <v>0</v>
      </c>
      <c r="AP49">
        <v>0</v>
      </c>
      <c r="AQ49">
        <v>0</v>
      </c>
      <c r="AR49">
        <v>0</v>
      </c>
      <c r="AS49">
        <v>0</v>
      </c>
      <c r="AT49" s="5281"/>
      <c r="BB49" s="5282"/>
      <c r="BG49" s="5283"/>
      <c r="BO49" s="5284"/>
      <c r="BT49" s="5285"/>
      <c r="CB49" s="5286"/>
    </row>
    <row r="50" spans="1:82" x14ac:dyDescent="0.25">
      <c r="A50" s="5287" t="s">
        <v>1424</v>
      </c>
      <c r="B50">
        <v>0.94</v>
      </c>
      <c r="C50">
        <v>0.99</v>
      </c>
      <c r="D50">
        <v>1.24</v>
      </c>
      <c r="G50" s="5288">
        <v>1</v>
      </c>
      <c r="H50">
        <v>0</v>
      </c>
      <c r="I50">
        <v>2</v>
      </c>
      <c r="J50">
        <v>0</v>
      </c>
      <c r="K50">
        <v>0</v>
      </c>
      <c r="L50">
        <v>0</v>
      </c>
      <c r="M50">
        <v>1</v>
      </c>
      <c r="N50">
        <v>1</v>
      </c>
      <c r="O50" s="5289">
        <v>0</v>
      </c>
      <c r="P50">
        <v>0</v>
      </c>
      <c r="Q50">
        <v>0</v>
      </c>
      <c r="R50">
        <v>0</v>
      </c>
      <c r="S50">
        <v>0</v>
      </c>
      <c r="T50" s="5290">
        <v>2</v>
      </c>
      <c r="U50">
        <v>1</v>
      </c>
      <c r="V50">
        <v>1</v>
      </c>
      <c r="W50">
        <v>0</v>
      </c>
      <c r="X50">
        <v>0</v>
      </c>
      <c r="Y50">
        <v>0</v>
      </c>
      <c r="Z50">
        <v>1</v>
      </c>
      <c r="AA50">
        <v>1</v>
      </c>
      <c r="AB50" s="5291">
        <v>0</v>
      </c>
      <c r="AC50">
        <v>0</v>
      </c>
      <c r="AD50">
        <v>0</v>
      </c>
      <c r="AE50">
        <v>0</v>
      </c>
      <c r="AF50">
        <v>0</v>
      </c>
      <c r="AG50" s="5292">
        <v>1</v>
      </c>
      <c r="AH50">
        <v>2</v>
      </c>
      <c r="AI50">
        <v>0</v>
      </c>
      <c r="AJ50">
        <v>2</v>
      </c>
      <c r="AK50">
        <v>0</v>
      </c>
      <c r="AL50">
        <v>2</v>
      </c>
      <c r="AM50">
        <v>1</v>
      </c>
      <c r="AN50">
        <v>1</v>
      </c>
      <c r="AO50" s="5293">
        <v>0</v>
      </c>
      <c r="AP50">
        <v>0</v>
      </c>
      <c r="AQ50">
        <v>0</v>
      </c>
      <c r="AR50">
        <v>0</v>
      </c>
      <c r="AS50">
        <v>0</v>
      </c>
      <c r="AT50" s="5294"/>
      <c r="BB50" s="5295"/>
      <c r="BG50" s="5296"/>
      <c r="BO50" s="5297"/>
      <c r="BT50" s="5298"/>
      <c r="CB50" s="5299"/>
    </row>
    <row r="51" spans="1:82" x14ac:dyDescent="0.25">
      <c r="A51" s="5300" t="s">
        <v>364</v>
      </c>
      <c r="B51">
        <v>0.64</v>
      </c>
      <c r="C51">
        <v>0.87</v>
      </c>
      <c r="D51">
        <v>1.19</v>
      </c>
      <c r="G51" s="5301">
        <v>1</v>
      </c>
      <c r="H51">
        <v>4</v>
      </c>
      <c r="I51">
        <v>0</v>
      </c>
      <c r="J51">
        <v>0</v>
      </c>
      <c r="K51">
        <v>0</v>
      </c>
      <c r="L51">
        <v>0</v>
      </c>
      <c r="M51">
        <v>0</v>
      </c>
      <c r="N51">
        <v>1</v>
      </c>
      <c r="O51" s="5302">
        <v>0</v>
      </c>
      <c r="P51">
        <v>0</v>
      </c>
      <c r="Q51">
        <v>0</v>
      </c>
      <c r="R51">
        <v>0</v>
      </c>
      <c r="S51">
        <v>0</v>
      </c>
      <c r="T51" s="5303">
        <v>1</v>
      </c>
      <c r="U51">
        <v>1</v>
      </c>
      <c r="V51">
        <v>0</v>
      </c>
      <c r="W51">
        <v>0</v>
      </c>
      <c r="X51">
        <v>0</v>
      </c>
      <c r="Y51">
        <v>1</v>
      </c>
      <c r="Z51">
        <v>1</v>
      </c>
      <c r="AA51">
        <v>1</v>
      </c>
      <c r="AB51" s="5304">
        <v>0</v>
      </c>
      <c r="AC51">
        <v>0</v>
      </c>
      <c r="AD51">
        <v>0</v>
      </c>
      <c r="AE51">
        <v>0</v>
      </c>
      <c r="AF51">
        <v>0</v>
      </c>
      <c r="AG51" s="5305">
        <v>1</v>
      </c>
      <c r="AH51">
        <v>0</v>
      </c>
      <c r="AI51">
        <v>0</v>
      </c>
      <c r="AJ51">
        <v>1</v>
      </c>
      <c r="AK51">
        <v>0</v>
      </c>
      <c r="AL51">
        <v>0</v>
      </c>
      <c r="AM51">
        <v>9</v>
      </c>
      <c r="AN51">
        <v>1</v>
      </c>
      <c r="AO51" s="5306">
        <v>0</v>
      </c>
      <c r="AP51">
        <v>0</v>
      </c>
      <c r="AQ51">
        <v>0</v>
      </c>
      <c r="AR51">
        <v>1</v>
      </c>
      <c r="AS51">
        <v>0</v>
      </c>
      <c r="AT51" s="5307"/>
      <c r="BB51" s="5308"/>
      <c r="BG51" s="5309"/>
      <c r="BO51" s="5310"/>
      <c r="BT51" s="5311"/>
      <c r="CB51" s="5312"/>
      <c r="CD51" t="s">
        <v>1427</v>
      </c>
    </row>
    <row r="52" spans="1:82" x14ac:dyDescent="0.25">
      <c r="A52" s="5313" t="s">
        <v>1425</v>
      </c>
      <c r="B52">
        <v>1.86</v>
      </c>
      <c r="C52">
        <v>1.1000000000000001</v>
      </c>
      <c r="D52">
        <v>2.11</v>
      </c>
      <c r="G52" s="5314">
        <v>2</v>
      </c>
      <c r="H52">
        <v>3</v>
      </c>
      <c r="I52">
        <v>1</v>
      </c>
      <c r="J52">
        <v>0</v>
      </c>
      <c r="K52">
        <v>0</v>
      </c>
      <c r="L52">
        <v>0</v>
      </c>
      <c r="M52">
        <v>1</v>
      </c>
      <c r="N52">
        <v>0</v>
      </c>
      <c r="O52" s="5315">
        <v>0</v>
      </c>
      <c r="P52">
        <v>0</v>
      </c>
      <c r="Q52">
        <v>1</v>
      </c>
      <c r="R52">
        <v>0</v>
      </c>
      <c r="S52">
        <v>0</v>
      </c>
      <c r="T52" s="5316">
        <v>1</v>
      </c>
      <c r="U52">
        <v>1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 s="5317">
        <v>0</v>
      </c>
      <c r="AC52">
        <v>0</v>
      </c>
      <c r="AD52">
        <v>0</v>
      </c>
      <c r="AE52">
        <v>0</v>
      </c>
      <c r="AF52">
        <v>0</v>
      </c>
      <c r="AG52" s="5318">
        <v>2</v>
      </c>
      <c r="AH52">
        <v>5</v>
      </c>
      <c r="AI52">
        <v>1</v>
      </c>
      <c r="AJ52">
        <v>0</v>
      </c>
      <c r="AK52">
        <v>0</v>
      </c>
      <c r="AL52">
        <v>1</v>
      </c>
      <c r="AM52">
        <v>1</v>
      </c>
      <c r="AN52">
        <v>0</v>
      </c>
      <c r="AO52" s="5319">
        <v>1</v>
      </c>
      <c r="AP52">
        <v>0</v>
      </c>
      <c r="AQ52">
        <v>0</v>
      </c>
      <c r="AR52">
        <v>0</v>
      </c>
      <c r="AS52">
        <v>0</v>
      </c>
      <c r="AT52" s="5320"/>
      <c r="BB52" s="5321"/>
      <c r="BG52" s="5322"/>
      <c r="BO52" s="5323"/>
      <c r="BT52" s="5324"/>
      <c r="CB52" s="5325"/>
    </row>
    <row r="53" spans="1:82" x14ac:dyDescent="0.25">
      <c r="A53" s="5326" t="s">
        <v>1426</v>
      </c>
      <c r="B53">
        <v>1.06</v>
      </c>
      <c r="C53">
        <v>0.66</v>
      </c>
      <c r="D53">
        <v>1.04</v>
      </c>
      <c r="G53" s="5327">
        <v>2</v>
      </c>
      <c r="H53">
        <v>6</v>
      </c>
      <c r="I53">
        <v>0</v>
      </c>
      <c r="J53">
        <v>1</v>
      </c>
      <c r="K53">
        <v>0</v>
      </c>
      <c r="L53">
        <v>0</v>
      </c>
      <c r="M53">
        <v>3</v>
      </c>
      <c r="N53">
        <v>0</v>
      </c>
      <c r="O53" s="5328">
        <v>0</v>
      </c>
      <c r="P53">
        <v>0</v>
      </c>
      <c r="Q53">
        <v>0</v>
      </c>
      <c r="R53">
        <v>0</v>
      </c>
      <c r="S53">
        <v>0</v>
      </c>
      <c r="T53" s="5329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2</v>
      </c>
      <c r="AA53">
        <v>1</v>
      </c>
      <c r="AB53" s="5330">
        <v>0</v>
      </c>
      <c r="AC53">
        <v>0</v>
      </c>
      <c r="AD53">
        <v>0</v>
      </c>
      <c r="AE53">
        <v>0</v>
      </c>
      <c r="AF53">
        <v>0</v>
      </c>
      <c r="AG53" s="5331">
        <v>1</v>
      </c>
      <c r="AH53">
        <v>0</v>
      </c>
      <c r="AI53">
        <v>0</v>
      </c>
      <c r="AJ53">
        <v>2</v>
      </c>
      <c r="AK53">
        <v>0</v>
      </c>
      <c r="AL53">
        <v>4</v>
      </c>
      <c r="AM53">
        <v>2</v>
      </c>
      <c r="AN53">
        <v>0</v>
      </c>
      <c r="AO53" s="5332">
        <v>0</v>
      </c>
      <c r="AP53">
        <v>0</v>
      </c>
      <c r="AQ53">
        <v>0</v>
      </c>
      <c r="AR53">
        <v>1</v>
      </c>
      <c r="AS53">
        <v>0</v>
      </c>
      <c r="AT53" s="5333"/>
      <c r="BB53" s="5334"/>
      <c r="BG53" s="5335"/>
      <c r="BO53" s="5336"/>
      <c r="BT53" s="5337"/>
      <c r="CB53" s="5338"/>
    </row>
    <row r="54" spans="1:82" x14ac:dyDescent="0.25">
      <c r="A54" s="5339" t="s">
        <v>746</v>
      </c>
      <c r="B54">
        <v>0.9</v>
      </c>
      <c r="C54">
        <v>1.49</v>
      </c>
      <c r="D54">
        <v>1.82</v>
      </c>
      <c r="G54" s="5340">
        <v>0</v>
      </c>
      <c r="H54">
        <v>1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 s="5341">
        <v>0</v>
      </c>
      <c r="P54">
        <v>0</v>
      </c>
      <c r="Q54">
        <v>0</v>
      </c>
      <c r="R54">
        <v>0</v>
      </c>
      <c r="S54">
        <v>0</v>
      </c>
      <c r="T54" s="5342">
        <v>2</v>
      </c>
      <c r="U54">
        <v>2</v>
      </c>
      <c r="V54">
        <v>0</v>
      </c>
      <c r="W54">
        <v>0</v>
      </c>
      <c r="X54">
        <v>0</v>
      </c>
      <c r="Y54">
        <v>0</v>
      </c>
      <c r="Z54">
        <v>4</v>
      </c>
      <c r="AA54">
        <v>0</v>
      </c>
      <c r="AB54" s="5343">
        <v>1</v>
      </c>
      <c r="AC54">
        <v>0</v>
      </c>
      <c r="AD54">
        <v>0</v>
      </c>
      <c r="AE54">
        <v>0</v>
      </c>
      <c r="AF54">
        <v>0</v>
      </c>
      <c r="AG54" s="5344">
        <v>2</v>
      </c>
      <c r="AH54">
        <v>5</v>
      </c>
      <c r="AI54">
        <v>2</v>
      </c>
      <c r="AJ54">
        <v>0</v>
      </c>
      <c r="AK54">
        <v>1</v>
      </c>
      <c r="AL54">
        <v>0</v>
      </c>
      <c r="AM54">
        <v>2</v>
      </c>
      <c r="AN54">
        <v>0</v>
      </c>
      <c r="AO54" s="5345">
        <v>0</v>
      </c>
      <c r="AP54">
        <v>0</v>
      </c>
      <c r="AQ54">
        <v>0</v>
      </c>
      <c r="AR54">
        <v>0</v>
      </c>
      <c r="AS54">
        <v>0</v>
      </c>
      <c r="AT54" s="5346"/>
      <c r="BB54" s="5347"/>
      <c r="BG54" s="5348"/>
      <c r="BO54" s="5349"/>
      <c r="BT54" s="5350"/>
      <c r="CB54" s="5351"/>
    </row>
    <row r="55" spans="1:82" x14ac:dyDescent="0.25">
      <c r="A55" s="40" t="s">
        <v>1428</v>
      </c>
      <c r="B55" s="40"/>
      <c r="C55" s="40"/>
      <c r="D55" s="40"/>
      <c r="E55" s="40"/>
      <c r="F55" s="40"/>
      <c r="G55" s="5455"/>
      <c r="O55" s="5456"/>
      <c r="T55" s="5457"/>
      <c r="AB55" s="5458"/>
      <c r="AG55" s="5459"/>
      <c r="AO55" s="5460"/>
      <c r="AT55" s="5461"/>
      <c r="BB55" s="5462"/>
      <c r="BG55" s="5463"/>
      <c r="BO55" s="5464"/>
      <c r="BT55" s="5465"/>
      <c r="CB55" s="5466"/>
    </row>
    <row r="56" spans="1:82" x14ac:dyDescent="0.25">
      <c r="A56" s="5467" t="s">
        <v>1439</v>
      </c>
      <c r="B56">
        <v>1.22</v>
      </c>
      <c r="C56">
        <v>1.23</v>
      </c>
      <c r="D56">
        <v>0.85</v>
      </c>
      <c r="G56" s="5468">
        <v>1</v>
      </c>
      <c r="H56">
        <v>1</v>
      </c>
      <c r="I56">
        <v>1</v>
      </c>
      <c r="J56">
        <v>1</v>
      </c>
      <c r="K56">
        <v>0</v>
      </c>
      <c r="L56">
        <v>0</v>
      </c>
      <c r="M56">
        <v>3</v>
      </c>
      <c r="N56">
        <v>1</v>
      </c>
      <c r="O56" s="5469">
        <v>0</v>
      </c>
      <c r="P56">
        <v>0</v>
      </c>
      <c r="Q56">
        <v>0</v>
      </c>
      <c r="R56">
        <v>0</v>
      </c>
      <c r="S56">
        <v>0</v>
      </c>
      <c r="T56" s="5470">
        <v>1</v>
      </c>
      <c r="U56">
        <v>0</v>
      </c>
      <c r="V56">
        <v>0</v>
      </c>
      <c r="W56">
        <v>0</v>
      </c>
      <c r="X56">
        <v>0</v>
      </c>
      <c r="Y56">
        <v>0</v>
      </c>
      <c r="Z56">
        <v>3</v>
      </c>
      <c r="AA56">
        <v>1</v>
      </c>
      <c r="AB56" s="5471">
        <v>1</v>
      </c>
      <c r="AC56">
        <v>0</v>
      </c>
      <c r="AD56">
        <v>0</v>
      </c>
      <c r="AE56">
        <v>0</v>
      </c>
      <c r="AF56">
        <v>0</v>
      </c>
      <c r="AG56" s="5472">
        <v>2</v>
      </c>
      <c r="AH56">
        <v>1</v>
      </c>
      <c r="AI56">
        <v>0</v>
      </c>
      <c r="AJ56">
        <v>0</v>
      </c>
      <c r="AK56">
        <v>0</v>
      </c>
      <c r="AL56">
        <v>1</v>
      </c>
      <c r="AM56">
        <v>1</v>
      </c>
      <c r="AN56">
        <v>0</v>
      </c>
      <c r="AO56" s="5473">
        <v>0</v>
      </c>
      <c r="AP56">
        <v>0</v>
      </c>
      <c r="AQ56">
        <v>0</v>
      </c>
      <c r="AR56">
        <v>0</v>
      </c>
      <c r="AS56">
        <v>0</v>
      </c>
      <c r="AT56" s="5474"/>
      <c r="BB56" s="5475"/>
      <c r="BG56" s="5476"/>
      <c r="BO56" s="5477"/>
      <c r="BT56" s="5478"/>
      <c r="CB56" s="5479"/>
    </row>
    <row r="57" spans="1:82" x14ac:dyDescent="0.25">
      <c r="A57" s="5480" t="s">
        <v>1440</v>
      </c>
      <c r="B57">
        <v>1.01</v>
      </c>
      <c r="C57">
        <v>1.22</v>
      </c>
      <c r="D57">
        <v>1.32</v>
      </c>
      <c r="G57" s="5481">
        <v>2</v>
      </c>
      <c r="H57">
        <v>1</v>
      </c>
      <c r="I57">
        <v>2</v>
      </c>
      <c r="J57">
        <v>0</v>
      </c>
      <c r="K57">
        <v>0</v>
      </c>
      <c r="L57">
        <v>2</v>
      </c>
      <c r="M57">
        <v>2</v>
      </c>
      <c r="N57">
        <v>1</v>
      </c>
      <c r="O57" s="5482">
        <v>1</v>
      </c>
      <c r="P57">
        <v>0</v>
      </c>
      <c r="Q57">
        <v>0</v>
      </c>
      <c r="R57">
        <v>0</v>
      </c>
      <c r="S57">
        <v>0</v>
      </c>
      <c r="T57" s="5483">
        <v>2</v>
      </c>
      <c r="U57">
        <v>0</v>
      </c>
      <c r="V57">
        <v>0</v>
      </c>
      <c r="W57">
        <v>0</v>
      </c>
      <c r="X57">
        <v>0</v>
      </c>
      <c r="Y57">
        <v>0</v>
      </c>
      <c r="Z57">
        <v>3</v>
      </c>
      <c r="AA57">
        <v>0</v>
      </c>
      <c r="AB57" s="5484">
        <v>0</v>
      </c>
      <c r="AC57">
        <v>0</v>
      </c>
      <c r="AD57">
        <v>0</v>
      </c>
      <c r="AE57">
        <v>0</v>
      </c>
      <c r="AF57">
        <v>0</v>
      </c>
      <c r="AG57" s="5485">
        <v>4</v>
      </c>
      <c r="AH57">
        <v>3</v>
      </c>
      <c r="AI57">
        <v>1</v>
      </c>
      <c r="AJ57">
        <v>0</v>
      </c>
      <c r="AK57">
        <v>0</v>
      </c>
      <c r="AL57">
        <v>0</v>
      </c>
      <c r="AM57">
        <v>4</v>
      </c>
      <c r="AN57">
        <v>1</v>
      </c>
      <c r="AO57" s="5486">
        <v>1</v>
      </c>
      <c r="AP57">
        <v>0</v>
      </c>
      <c r="AQ57">
        <v>0</v>
      </c>
      <c r="AR57">
        <v>0</v>
      </c>
      <c r="AS57">
        <v>0</v>
      </c>
      <c r="AT57" s="5487"/>
      <c r="BB57" s="5488"/>
      <c r="BG57" s="5489"/>
      <c r="BO57" s="5490"/>
      <c r="BT57" s="5491"/>
      <c r="CB57" s="5492"/>
    </row>
    <row r="58" spans="1:82" x14ac:dyDescent="0.25">
      <c r="A58" s="5493" t="s">
        <v>1441</v>
      </c>
      <c r="B58">
        <v>0.3</v>
      </c>
      <c r="C58">
        <v>1.4</v>
      </c>
      <c r="D58">
        <v>0.74</v>
      </c>
      <c r="G58" s="5494">
        <v>0</v>
      </c>
      <c r="H58">
        <v>1</v>
      </c>
      <c r="I58">
        <v>0</v>
      </c>
      <c r="J58">
        <v>0</v>
      </c>
      <c r="K58">
        <v>0</v>
      </c>
      <c r="L58">
        <v>0</v>
      </c>
      <c r="M58">
        <v>1</v>
      </c>
      <c r="N58">
        <v>0</v>
      </c>
      <c r="O58" s="5495">
        <v>0</v>
      </c>
      <c r="P58">
        <v>0</v>
      </c>
      <c r="Q58">
        <v>0</v>
      </c>
      <c r="R58">
        <v>0</v>
      </c>
      <c r="S58">
        <v>0</v>
      </c>
      <c r="T58" s="5496">
        <v>0</v>
      </c>
      <c r="U58">
        <v>0</v>
      </c>
      <c r="V58">
        <v>1</v>
      </c>
      <c r="W58">
        <v>1</v>
      </c>
      <c r="X58">
        <v>0</v>
      </c>
      <c r="Y58">
        <v>1</v>
      </c>
      <c r="Z58">
        <v>4</v>
      </c>
      <c r="AA58">
        <v>1</v>
      </c>
      <c r="AB58" s="5497">
        <v>0</v>
      </c>
      <c r="AC58">
        <v>0</v>
      </c>
      <c r="AD58">
        <v>1</v>
      </c>
      <c r="AE58">
        <v>0</v>
      </c>
      <c r="AF58">
        <v>0</v>
      </c>
      <c r="AG58" s="5498">
        <v>0</v>
      </c>
      <c r="AH58">
        <v>0</v>
      </c>
      <c r="AI58">
        <v>0</v>
      </c>
      <c r="AJ58">
        <v>0</v>
      </c>
      <c r="AK58">
        <v>0</v>
      </c>
      <c r="AL58">
        <v>1</v>
      </c>
      <c r="AM58">
        <v>3</v>
      </c>
      <c r="AN58">
        <v>0</v>
      </c>
      <c r="AO58" s="5499">
        <v>0</v>
      </c>
      <c r="AP58">
        <v>1</v>
      </c>
      <c r="AQ58">
        <v>0</v>
      </c>
      <c r="AR58">
        <v>0</v>
      </c>
      <c r="AS58">
        <v>0</v>
      </c>
      <c r="AT58" s="5500"/>
      <c r="BB58" s="5501"/>
      <c r="BG58" s="5502"/>
      <c r="BO58" s="5503"/>
      <c r="BT58" s="5504"/>
      <c r="CB58" s="5505"/>
    </row>
    <row r="59" spans="1:82" x14ac:dyDescent="0.25">
      <c r="A59" s="5506" t="s">
        <v>1442</v>
      </c>
      <c r="B59">
        <v>1.33</v>
      </c>
      <c r="C59">
        <v>1.07</v>
      </c>
      <c r="D59">
        <v>1.24</v>
      </c>
      <c r="G59" s="5507">
        <v>1</v>
      </c>
      <c r="H59">
        <v>2</v>
      </c>
      <c r="I59">
        <v>1</v>
      </c>
      <c r="J59">
        <v>0</v>
      </c>
      <c r="K59">
        <v>0</v>
      </c>
      <c r="L59">
        <v>0</v>
      </c>
      <c r="M59">
        <v>4</v>
      </c>
      <c r="N59">
        <v>0</v>
      </c>
      <c r="O59" s="5508">
        <v>1</v>
      </c>
      <c r="P59">
        <v>0</v>
      </c>
      <c r="Q59">
        <v>0</v>
      </c>
      <c r="R59">
        <v>0</v>
      </c>
      <c r="S59">
        <v>0</v>
      </c>
      <c r="T59" s="5509">
        <v>0</v>
      </c>
      <c r="U59">
        <v>1</v>
      </c>
      <c r="V59">
        <v>1</v>
      </c>
      <c r="W59">
        <v>0</v>
      </c>
      <c r="X59">
        <v>0</v>
      </c>
      <c r="Y59">
        <v>0</v>
      </c>
      <c r="Z59">
        <v>5</v>
      </c>
      <c r="AA59">
        <v>0</v>
      </c>
      <c r="AB59" s="5510">
        <v>0</v>
      </c>
      <c r="AC59">
        <v>0</v>
      </c>
      <c r="AD59">
        <v>0</v>
      </c>
      <c r="AE59">
        <v>0</v>
      </c>
      <c r="AF59">
        <v>0</v>
      </c>
      <c r="AG59" s="5511">
        <v>2</v>
      </c>
      <c r="AH59">
        <v>6</v>
      </c>
      <c r="AI59">
        <v>1</v>
      </c>
      <c r="AJ59">
        <v>0</v>
      </c>
      <c r="AK59">
        <v>0</v>
      </c>
      <c r="AL59">
        <v>2</v>
      </c>
      <c r="AM59">
        <v>5</v>
      </c>
      <c r="AN59">
        <v>0</v>
      </c>
      <c r="AO59" s="5512">
        <v>3</v>
      </c>
      <c r="AP59">
        <v>0</v>
      </c>
      <c r="AQ59">
        <v>0</v>
      </c>
      <c r="AR59">
        <v>0</v>
      </c>
      <c r="AS59">
        <v>0</v>
      </c>
      <c r="AT59" s="5513"/>
      <c r="BB59" s="5514"/>
      <c r="BG59" s="5515"/>
      <c r="BO59" s="5516"/>
      <c r="BT59" s="5517"/>
      <c r="CB59" s="5518"/>
    </row>
    <row r="60" spans="1:82" x14ac:dyDescent="0.25">
      <c r="A60" s="5519" t="s">
        <v>1444</v>
      </c>
      <c r="B60">
        <v>1.05</v>
      </c>
      <c r="C60">
        <v>1.47</v>
      </c>
      <c r="D60">
        <v>1.1399999999999999</v>
      </c>
      <c r="G60" s="5520">
        <v>0</v>
      </c>
      <c r="H60">
        <v>2</v>
      </c>
      <c r="I60">
        <v>0</v>
      </c>
      <c r="J60">
        <v>0</v>
      </c>
      <c r="K60">
        <v>0</v>
      </c>
      <c r="L60">
        <v>2</v>
      </c>
      <c r="M60">
        <v>2</v>
      </c>
      <c r="N60">
        <v>0</v>
      </c>
      <c r="O60" s="5521">
        <v>0</v>
      </c>
      <c r="P60">
        <v>0</v>
      </c>
      <c r="Q60">
        <v>0</v>
      </c>
      <c r="R60">
        <v>0</v>
      </c>
      <c r="S60">
        <v>0</v>
      </c>
      <c r="T60" s="5522">
        <v>0</v>
      </c>
      <c r="U60">
        <v>1</v>
      </c>
      <c r="V60">
        <v>1</v>
      </c>
      <c r="W60">
        <v>0</v>
      </c>
      <c r="X60">
        <v>0</v>
      </c>
      <c r="Y60">
        <v>0</v>
      </c>
      <c r="Z60">
        <v>1</v>
      </c>
      <c r="AA60">
        <v>0</v>
      </c>
      <c r="AB60" s="5523">
        <v>1</v>
      </c>
      <c r="AC60">
        <v>0</v>
      </c>
      <c r="AD60">
        <v>0</v>
      </c>
      <c r="AE60">
        <v>0</v>
      </c>
      <c r="AF60">
        <v>0</v>
      </c>
      <c r="AG60" s="5524">
        <v>0</v>
      </c>
      <c r="AH60">
        <v>1</v>
      </c>
      <c r="AI60">
        <v>2</v>
      </c>
      <c r="AJ60">
        <v>0</v>
      </c>
      <c r="AK60">
        <v>0</v>
      </c>
      <c r="AL60">
        <v>0</v>
      </c>
      <c r="AM60">
        <v>1</v>
      </c>
      <c r="AN60">
        <v>0</v>
      </c>
      <c r="AO60" s="5525">
        <v>1</v>
      </c>
      <c r="AP60">
        <v>0</v>
      </c>
      <c r="AQ60">
        <v>0</v>
      </c>
      <c r="AR60">
        <v>0</v>
      </c>
      <c r="AS60">
        <v>0</v>
      </c>
      <c r="AT60" s="5526"/>
      <c r="BB60" s="5527"/>
      <c r="BG60" s="5528"/>
      <c r="BO60" s="5529"/>
      <c r="BT60" s="5530"/>
      <c r="CB60" s="5531"/>
    </row>
    <row r="61" spans="1:82" x14ac:dyDescent="0.25">
      <c r="A61" s="5532" t="s">
        <v>1445</v>
      </c>
      <c r="B61">
        <v>0.68</v>
      </c>
      <c r="C61">
        <v>0.79</v>
      </c>
      <c r="D61">
        <v>0.78</v>
      </c>
      <c r="G61" s="5533">
        <v>1</v>
      </c>
      <c r="H61">
        <v>2</v>
      </c>
      <c r="I61">
        <v>1</v>
      </c>
      <c r="J61">
        <v>0</v>
      </c>
      <c r="K61">
        <v>0</v>
      </c>
      <c r="L61">
        <v>1</v>
      </c>
      <c r="M61">
        <v>2</v>
      </c>
      <c r="N61">
        <v>0</v>
      </c>
      <c r="O61" s="5534">
        <v>0</v>
      </c>
      <c r="P61">
        <v>0</v>
      </c>
      <c r="Q61">
        <v>0</v>
      </c>
      <c r="R61">
        <v>0</v>
      </c>
      <c r="S61">
        <v>0</v>
      </c>
      <c r="T61" s="5535">
        <v>1</v>
      </c>
      <c r="U61">
        <v>0</v>
      </c>
      <c r="V61">
        <v>0</v>
      </c>
      <c r="W61">
        <v>0</v>
      </c>
      <c r="X61">
        <v>0</v>
      </c>
      <c r="Y61">
        <v>0</v>
      </c>
      <c r="Z61">
        <v>3</v>
      </c>
      <c r="AA61">
        <v>0</v>
      </c>
      <c r="AB61" s="5536">
        <v>0</v>
      </c>
      <c r="AC61">
        <v>0</v>
      </c>
      <c r="AD61">
        <v>0</v>
      </c>
      <c r="AE61">
        <v>0</v>
      </c>
      <c r="AF61">
        <v>0</v>
      </c>
      <c r="AG61" s="5537">
        <v>0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1</v>
      </c>
      <c r="AN61">
        <v>0</v>
      </c>
      <c r="AO61" s="5538">
        <v>0</v>
      </c>
      <c r="AP61">
        <v>0</v>
      </c>
      <c r="AQ61">
        <v>0</v>
      </c>
      <c r="AR61">
        <v>0</v>
      </c>
      <c r="AS61">
        <v>0</v>
      </c>
      <c r="AT61" s="5539"/>
      <c r="BB61" s="5540"/>
      <c r="BG61" s="5541"/>
      <c r="BO61" s="5542"/>
      <c r="BT61" s="5543"/>
      <c r="CB61" s="5544"/>
    </row>
    <row r="62" spans="1:82" x14ac:dyDescent="0.25">
      <c r="A62" s="40" t="s">
        <v>1436</v>
      </c>
      <c r="B62" s="40"/>
      <c r="C62" s="40"/>
      <c r="D62" s="40"/>
      <c r="E62" s="40"/>
      <c r="F62" s="40"/>
      <c r="G62" s="5545"/>
      <c r="O62" s="5546"/>
      <c r="T62" s="5547"/>
      <c r="AB62" s="5548"/>
      <c r="AG62" s="5549"/>
      <c r="AO62" s="5550"/>
      <c r="AT62" s="5551"/>
      <c r="BB62" s="5552"/>
      <c r="BG62" s="5553"/>
      <c r="BO62" s="5554"/>
      <c r="BT62" s="5555"/>
      <c r="CB62" s="5556"/>
    </row>
    <row r="63" spans="1:82" x14ac:dyDescent="0.25">
      <c r="A63" s="5557" t="s">
        <v>1446</v>
      </c>
      <c r="B63">
        <v>1.22</v>
      </c>
      <c r="C63">
        <v>1.17</v>
      </c>
      <c r="D63">
        <v>0.84</v>
      </c>
      <c r="G63" s="5558">
        <v>1</v>
      </c>
      <c r="H63">
        <v>1</v>
      </c>
      <c r="I63">
        <v>0</v>
      </c>
      <c r="J63">
        <v>0</v>
      </c>
      <c r="K63">
        <v>1</v>
      </c>
      <c r="L63">
        <v>0</v>
      </c>
      <c r="M63">
        <v>1</v>
      </c>
      <c r="N63">
        <v>0</v>
      </c>
      <c r="O63" s="5559">
        <v>0</v>
      </c>
      <c r="P63">
        <v>0</v>
      </c>
      <c r="Q63">
        <v>0</v>
      </c>
      <c r="R63">
        <v>0</v>
      </c>
      <c r="S63">
        <v>0</v>
      </c>
      <c r="T63" s="5560">
        <v>3</v>
      </c>
      <c r="U63">
        <v>0</v>
      </c>
      <c r="V63">
        <v>1</v>
      </c>
      <c r="W63">
        <v>0</v>
      </c>
      <c r="X63">
        <v>0</v>
      </c>
      <c r="Y63">
        <v>0</v>
      </c>
      <c r="Z63">
        <v>4</v>
      </c>
      <c r="AA63">
        <v>0</v>
      </c>
      <c r="AB63" s="5561">
        <v>0</v>
      </c>
      <c r="AC63">
        <v>0</v>
      </c>
      <c r="AD63">
        <v>0</v>
      </c>
      <c r="AE63">
        <v>0</v>
      </c>
      <c r="AF63">
        <v>0</v>
      </c>
      <c r="AG63" s="5562">
        <v>1</v>
      </c>
      <c r="AH63">
        <v>2</v>
      </c>
      <c r="AI63">
        <v>1</v>
      </c>
      <c r="AJ63">
        <v>0</v>
      </c>
      <c r="AK63">
        <v>0</v>
      </c>
      <c r="AL63">
        <v>0</v>
      </c>
      <c r="AM63">
        <v>1</v>
      </c>
      <c r="AN63">
        <v>0</v>
      </c>
      <c r="AO63" s="5563">
        <v>0</v>
      </c>
      <c r="AP63">
        <v>0</v>
      </c>
      <c r="AQ63">
        <v>0</v>
      </c>
      <c r="AR63">
        <v>0</v>
      </c>
      <c r="AS63">
        <v>0</v>
      </c>
      <c r="AT63" s="5564"/>
      <c r="BB63" s="5565"/>
      <c r="BG63" s="5566"/>
      <c r="BO63" s="5567"/>
      <c r="BT63" s="5568"/>
      <c r="CB63" s="5569"/>
    </row>
    <row r="64" spans="1:82" x14ac:dyDescent="0.25">
      <c r="A64" s="5570" t="s">
        <v>1447</v>
      </c>
      <c r="B64">
        <v>1.29</v>
      </c>
      <c r="C64">
        <v>1.37</v>
      </c>
      <c r="D64">
        <v>1.34</v>
      </c>
      <c r="G64" s="5571">
        <v>1</v>
      </c>
      <c r="H64">
        <v>4</v>
      </c>
      <c r="I64">
        <v>0</v>
      </c>
      <c r="J64">
        <v>0</v>
      </c>
      <c r="K64">
        <v>0</v>
      </c>
      <c r="L64">
        <v>0</v>
      </c>
      <c r="M64">
        <v>1</v>
      </c>
      <c r="N64">
        <v>0</v>
      </c>
      <c r="O64" s="5572">
        <v>0</v>
      </c>
      <c r="P64">
        <v>0</v>
      </c>
      <c r="Q64">
        <v>0</v>
      </c>
      <c r="R64">
        <v>0</v>
      </c>
      <c r="S64">
        <v>0</v>
      </c>
      <c r="T64" s="5573">
        <v>1</v>
      </c>
      <c r="U64">
        <v>1</v>
      </c>
      <c r="V64">
        <v>0</v>
      </c>
      <c r="W64">
        <v>0</v>
      </c>
      <c r="X64">
        <v>0</v>
      </c>
      <c r="Y64">
        <v>0</v>
      </c>
      <c r="Z64">
        <v>3</v>
      </c>
      <c r="AA64">
        <v>0</v>
      </c>
      <c r="AB64" s="5574">
        <v>1</v>
      </c>
      <c r="AC64">
        <v>0</v>
      </c>
      <c r="AD64">
        <v>0</v>
      </c>
      <c r="AE64">
        <v>0</v>
      </c>
      <c r="AF64">
        <v>0</v>
      </c>
      <c r="AG64" s="5575">
        <v>2</v>
      </c>
      <c r="AH64">
        <v>2</v>
      </c>
      <c r="AI64">
        <v>2</v>
      </c>
      <c r="AJ64">
        <v>0</v>
      </c>
      <c r="AK64">
        <v>0</v>
      </c>
      <c r="AL64">
        <v>0</v>
      </c>
      <c r="AM64">
        <v>4</v>
      </c>
      <c r="AN64">
        <v>0</v>
      </c>
      <c r="AO64" s="5576">
        <v>1</v>
      </c>
      <c r="AP64">
        <v>0</v>
      </c>
      <c r="AQ64">
        <v>0</v>
      </c>
      <c r="AR64">
        <v>0</v>
      </c>
      <c r="AS64">
        <v>0</v>
      </c>
      <c r="AT64" s="5577"/>
      <c r="BB64" s="5578"/>
      <c r="BG64" s="5579"/>
      <c r="BO64" s="5580"/>
      <c r="BT64" s="5581"/>
      <c r="CB64" s="5582"/>
    </row>
    <row r="65" spans="1:82" x14ac:dyDescent="0.25">
      <c r="A65" s="5583" t="s">
        <v>1448</v>
      </c>
      <c r="B65">
        <v>1.3</v>
      </c>
      <c r="C65">
        <v>0.95</v>
      </c>
      <c r="D65">
        <v>1.1200000000000001</v>
      </c>
      <c r="G65" s="5584">
        <v>2</v>
      </c>
      <c r="H65">
        <v>2</v>
      </c>
      <c r="I65">
        <v>0</v>
      </c>
      <c r="J65">
        <v>0</v>
      </c>
      <c r="K65">
        <v>0</v>
      </c>
      <c r="L65">
        <v>0</v>
      </c>
      <c r="M65">
        <v>1</v>
      </c>
      <c r="N65">
        <v>1</v>
      </c>
      <c r="O65" s="5585">
        <v>0</v>
      </c>
      <c r="P65">
        <v>0</v>
      </c>
      <c r="Q65">
        <v>0</v>
      </c>
      <c r="R65">
        <v>0</v>
      </c>
      <c r="S65">
        <v>0</v>
      </c>
      <c r="T65" s="5586">
        <v>0</v>
      </c>
      <c r="U65">
        <v>0</v>
      </c>
      <c r="V65">
        <v>1</v>
      </c>
      <c r="W65">
        <v>0</v>
      </c>
      <c r="X65">
        <v>0</v>
      </c>
      <c r="Y65">
        <v>0</v>
      </c>
      <c r="Z65">
        <v>4</v>
      </c>
      <c r="AA65">
        <v>0</v>
      </c>
      <c r="AB65" s="5587">
        <v>0</v>
      </c>
      <c r="AC65">
        <v>0</v>
      </c>
      <c r="AD65">
        <v>0</v>
      </c>
      <c r="AE65">
        <v>0</v>
      </c>
      <c r="AF65">
        <v>0</v>
      </c>
      <c r="AG65" s="5588">
        <v>3</v>
      </c>
      <c r="AH65">
        <v>2</v>
      </c>
      <c r="AI65">
        <v>0</v>
      </c>
      <c r="AJ65">
        <v>1</v>
      </c>
      <c r="AK65">
        <v>0</v>
      </c>
      <c r="AL65">
        <v>1</v>
      </c>
      <c r="AM65">
        <v>1</v>
      </c>
      <c r="AN65">
        <v>0</v>
      </c>
      <c r="AO65" s="5589">
        <v>0</v>
      </c>
      <c r="AP65">
        <v>0</v>
      </c>
      <c r="AQ65">
        <v>0</v>
      </c>
      <c r="AR65">
        <v>0</v>
      </c>
      <c r="AS65">
        <v>0</v>
      </c>
      <c r="AT65" s="5590"/>
      <c r="BB65" s="5591"/>
      <c r="BG65" s="5592"/>
      <c r="BO65" s="5593"/>
      <c r="BT65" s="5594"/>
      <c r="CB65" s="5595"/>
    </row>
    <row r="66" spans="1:82" x14ac:dyDescent="0.25">
      <c r="A66" s="5596" t="s">
        <v>877</v>
      </c>
      <c r="B66">
        <v>0.97</v>
      </c>
      <c r="C66">
        <v>0.88</v>
      </c>
      <c r="D66">
        <v>1.1100000000000001</v>
      </c>
      <c r="G66" s="5597">
        <v>0</v>
      </c>
      <c r="H66">
        <v>2</v>
      </c>
      <c r="I66">
        <v>0</v>
      </c>
      <c r="J66">
        <v>0</v>
      </c>
      <c r="K66">
        <v>0</v>
      </c>
      <c r="L66">
        <v>0</v>
      </c>
      <c r="M66">
        <v>2</v>
      </c>
      <c r="N66">
        <v>0</v>
      </c>
      <c r="O66" s="5598">
        <v>0</v>
      </c>
      <c r="P66">
        <v>1</v>
      </c>
      <c r="Q66">
        <v>0</v>
      </c>
      <c r="R66">
        <v>0</v>
      </c>
      <c r="S66">
        <v>0</v>
      </c>
      <c r="T66" s="5599">
        <v>0</v>
      </c>
      <c r="U66">
        <v>2</v>
      </c>
      <c r="V66">
        <v>0</v>
      </c>
      <c r="W66">
        <v>0</v>
      </c>
      <c r="X66">
        <v>0</v>
      </c>
      <c r="Y66">
        <v>1</v>
      </c>
      <c r="Z66">
        <v>4</v>
      </c>
      <c r="AA66">
        <v>0</v>
      </c>
      <c r="AB66" s="5600">
        <v>1</v>
      </c>
      <c r="AC66">
        <v>0</v>
      </c>
      <c r="AD66">
        <v>0</v>
      </c>
      <c r="AE66">
        <v>0</v>
      </c>
      <c r="AF66">
        <v>0</v>
      </c>
      <c r="AG66" s="5601">
        <v>1</v>
      </c>
      <c r="AH66">
        <v>2</v>
      </c>
      <c r="AI66">
        <v>0</v>
      </c>
      <c r="AJ66">
        <v>0</v>
      </c>
      <c r="AK66">
        <v>0</v>
      </c>
      <c r="AL66">
        <v>0</v>
      </c>
      <c r="AM66">
        <v>1</v>
      </c>
      <c r="AN66">
        <v>2</v>
      </c>
      <c r="AO66" s="5602">
        <v>0</v>
      </c>
      <c r="AP66">
        <v>0</v>
      </c>
      <c r="AQ66">
        <v>0</v>
      </c>
      <c r="AR66">
        <v>0</v>
      </c>
      <c r="AS66">
        <v>0</v>
      </c>
      <c r="AT66" s="5603"/>
      <c r="BB66" s="5604"/>
      <c r="BG66" s="5605"/>
      <c r="BO66" s="5606"/>
      <c r="BT66" s="5607"/>
      <c r="CB66" s="5608"/>
    </row>
    <row r="67" spans="1:82" x14ac:dyDescent="0.25">
      <c r="A67" s="5609" t="s">
        <v>1449</v>
      </c>
      <c r="B67">
        <v>1.58</v>
      </c>
      <c r="C67">
        <v>1.1000000000000001</v>
      </c>
      <c r="D67">
        <v>1.54</v>
      </c>
      <c r="G67" s="5610">
        <v>2</v>
      </c>
      <c r="H67">
        <v>4</v>
      </c>
      <c r="I67">
        <v>2</v>
      </c>
      <c r="J67">
        <v>1</v>
      </c>
      <c r="K67">
        <v>0</v>
      </c>
      <c r="L67">
        <v>0</v>
      </c>
      <c r="M67">
        <v>4</v>
      </c>
      <c r="N67">
        <v>0</v>
      </c>
      <c r="O67" s="5611">
        <v>0</v>
      </c>
      <c r="P67">
        <v>0</v>
      </c>
      <c r="Q67">
        <v>0</v>
      </c>
      <c r="R67">
        <v>0</v>
      </c>
      <c r="S67">
        <v>0</v>
      </c>
      <c r="T67" s="5612">
        <v>0</v>
      </c>
      <c r="U67">
        <v>0</v>
      </c>
      <c r="V67">
        <v>2</v>
      </c>
      <c r="W67">
        <v>0</v>
      </c>
      <c r="X67">
        <v>0</v>
      </c>
      <c r="Y67">
        <v>0</v>
      </c>
      <c r="Z67">
        <v>2</v>
      </c>
      <c r="AA67">
        <v>1</v>
      </c>
      <c r="AB67" s="5613">
        <v>0</v>
      </c>
      <c r="AC67">
        <v>0</v>
      </c>
      <c r="AD67">
        <v>0</v>
      </c>
      <c r="AE67">
        <v>0</v>
      </c>
      <c r="AF67">
        <v>0</v>
      </c>
      <c r="AG67" s="5614">
        <v>1</v>
      </c>
      <c r="AH67">
        <v>3</v>
      </c>
      <c r="AI67">
        <v>1</v>
      </c>
      <c r="AJ67">
        <v>0</v>
      </c>
      <c r="AK67">
        <v>0</v>
      </c>
      <c r="AL67">
        <v>0</v>
      </c>
      <c r="AM67">
        <v>4</v>
      </c>
      <c r="AN67">
        <v>1</v>
      </c>
      <c r="AO67" s="5615">
        <v>1</v>
      </c>
      <c r="AP67">
        <v>0</v>
      </c>
      <c r="AQ67">
        <v>0</v>
      </c>
      <c r="AR67">
        <v>0</v>
      </c>
      <c r="AS67">
        <v>0</v>
      </c>
      <c r="AT67" s="5616"/>
      <c r="BB67" s="5617"/>
      <c r="BG67" s="5618"/>
      <c r="BO67" s="5619"/>
      <c r="BT67" s="5620"/>
      <c r="CB67" s="5621"/>
      <c r="CD67" t="s">
        <v>1452</v>
      </c>
    </row>
    <row r="68" spans="1:82" x14ac:dyDescent="0.25">
      <c r="A68" s="5622" t="s">
        <v>435</v>
      </c>
      <c r="B68">
        <v>1.25</v>
      </c>
      <c r="C68">
        <v>1.27</v>
      </c>
      <c r="D68">
        <v>0.62</v>
      </c>
      <c r="G68" s="5623">
        <v>1</v>
      </c>
      <c r="H68">
        <v>3</v>
      </c>
      <c r="I68">
        <v>0</v>
      </c>
      <c r="J68">
        <v>0</v>
      </c>
      <c r="K68">
        <v>0</v>
      </c>
      <c r="L68">
        <v>0</v>
      </c>
      <c r="M68">
        <v>1</v>
      </c>
      <c r="N68">
        <v>1</v>
      </c>
      <c r="O68" s="5624">
        <v>1</v>
      </c>
      <c r="P68">
        <v>0</v>
      </c>
      <c r="Q68">
        <v>0</v>
      </c>
      <c r="R68">
        <v>0</v>
      </c>
      <c r="S68">
        <v>0</v>
      </c>
      <c r="T68" s="5625">
        <v>1</v>
      </c>
      <c r="U68">
        <v>2</v>
      </c>
      <c r="V68">
        <v>0</v>
      </c>
      <c r="W68">
        <v>0</v>
      </c>
      <c r="X68">
        <v>0</v>
      </c>
      <c r="Y68">
        <v>0</v>
      </c>
      <c r="Z68">
        <v>4</v>
      </c>
      <c r="AA68">
        <v>1</v>
      </c>
      <c r="AB68" s="5626">
        <v>0</v>
      </c>
      <c r="AC68">
        <v>1</v>
      </c>
      <c r="AD68">
        <v>0</v>
      </c>
      <c r="AE68">
        <v>0</v>
      </c>
      <c r="AF68">
        <v>0</v>
      </c>
      <c r="AG68" s="5627">
        <v>1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3</v>
      </c>
      <c r="AN68">
        <v>0</v>
      </c>
      <c r="AO68" s="5628">
        <v>0</v>
      </c>
      <c r="AP68">
        <v>0</v>
      </c>
      <c r="AQ68">
        <v>0</v>
      </c>
      <c r="AR68">
        <v>0</v>
      </c>
      <c r="AS68">
        <v>0</v>
      </c>
      <c r="AT68" s="5629"/>
      <c r="BB68" s="5630"/>
      <c r="BG68" s="5631"/>
      <c r="BO68" s="5632"/>
      <c r="BT68" s="5633"/>
      <c r="CB68" s="5634"/>
      <c r="CD68" t="s">
        <v>1453</v>
      </c>
    </row>
    <row r="69" spans="1:82" x14ac:dyDescent="0.25">
      <c r="A69" s="5635" t="s">
        <v>1450</v>
      </c>
      <c r="B69">
        <v>0.83</v>
      </c>
      <c r="C69">
        <v>0.67</v>
      </c>
      <c r="G69" s="5636">
        <v>1</v>
      </c>
      <c r="H69">
        <v>2</v>
      </c>
      <c r="I69">
        <v>0</v>
      </c>
      <c r="J69">
        <v>0</v>
      </c>
      <c r="K69">
        <v>0</v>
      </c>
      <c r="L69">
        <v>0</v>
      </c>
      <c r="M69">
        <v>1</v>
      </c>
      <c r="N69">
        <v>0</v>
      </c>
      <c r="O69" s="5637">
        <v>1</v>
      </c>
      <c r="P69">
        <v>0</v>
      </c>
      <c r="Q69">
        <v>0</v>
      </c>
      <c r="R69">
        <v>0</v>
      </c>
      <c r="S69">
        <v>0</v>
      </c>
      <c r="T69" s="5638">
        <v>1</v>
      </c>
      <c r="U69">
        <v>0</v>
      </c>
      <c r="V69">
        <v>0</v>
      </c>
      <c r="W69">
        <v>0</v>
      </c>
      <c r="X69">
        <v>0</v>
      </c>
      <c r="Y69">
        <v>0</v>
      </c>
      <c r="Z69">
        <v>2</v>
      </c>
      <c r="AA69">
        <v>0</v>
      </c>
      <c r="AB69" s="5639">
        <v>0</v>
      </c>
      <c r="AC69">
        <v>0</v>
      </c>
      <c r="AD69">
        <v>0</v>
      </c>
      <c r="AE69">
        <v>0</v>
      </c>
      <c r="AF69">
        <v>0</v>
      </c>
      <c r="AG69" s="5640"/>
      <c r="AO69" s="5641"/>
      <c r="AT69" s="5642"/>
      <c r="BB69" s="5643"/>
      <c r="BG69" s="5644"/>
      <c r="BO69" s="5645"/>
      <c r="BT69" s="5646"/>
      <c r="CB69" s="5647"/>
    </row>
    <row r="70" spans="1:82" x14ac:dyDescent="0.25">
      <c r="A70" s="40" t="s">
        <v>1456</v>
      </c>
      <c r="B70" s="40"/>
      <c r="C70" s="40"/>
      <c r="D70" s="40"/>
      <c r="E70" s="40"/>
      <c r="F70" s="40"/>
      <c r="G70" s="5650"/>
      <c r="O70" s="5651"/>
      <c r="T70" s="5652"/>
      <c r="AB70" s="5653"/>
      <c r="AG70" s="5654"/>
      <c r="AO70" s="5655"/>
      <c r="AT70" s="5656"/>
      <c r="BB70" s="5657"/>
      <c r="BG70" s="5658"/>
      <c r="BO70" s="5659"/>
      <c r="BT70" s="5660"/>
      <c r="CB70" s="5661"/>
    </row>
    <row r="71" spans="1:82" x14ac:dyDescent="0.25">
      <c r="A71" s="5662" t="s">
        <v>756</v>
      </c>
      <c r="B71">
        <v>0.31</v>
      </c>
      <c r="C71">
        <v>0.95</v>
      </c>
      <c r="D71">
        <v>0.3</v>
      </c>
      <c r="G71" s="5663">
        <v>0</v>
      </c>
      <c r="H71">
        <v>0</v>
      </c>
      <c r="I71">
        <v>0</v>
      </c>
      <c r="J71">
        <v>0</v>
      </c>
      <c r="K71">
        <v>0</v>
      </c>
      <c r="L71">
        <v>1</v>
      </c>
      <c r="M71">
        <v>1</v>
      </c>
      <c r="N71">
        <v>0</v>
      </c>
      <c r="O71" s="5664">
        <v>0</v>
      </c>
      <c r="P71">
        <v>0</v>
      </c>
      <c r="Q71">
        <v>0</v>
      </c>
      <c r="R71">
        <v>0</v>
      </c>
      <c r="S71">
        <v>0</v>
      </c>
      <c r="T71" s="5665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3</v>
      </c>
      <c r="AA71">
        <v>0</v>
      </c>
      <c r="AB71" s="5666">
        <v>0</v>
      </c>
      <c r="AC71">
        <v>0</v>
      </c>
      <c r="AD71">
        <v>0</v>
      </c>
      <c r="AE71">
        <v>0</v>
      </c>
      <c r="AF71">
        <v>0</v>
      </c>
      <c r="AG71" s="5667">
        <v>0</v>
      </c>
      <c r="AH71">
        <v>1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 s="5668">
        <v>0</v>
      </c>
      <c r="AP71">
        <v>0</v>
      </c>
      <c r="AQ71">
        <v>0</v>
      </c>
      <c r="AR71">
        <v>0</v>
      </c>
      <c r="AS71">
        <v>0</v>
      </c>
      <c r="AT71" s="5669"/>
      <c r="BB71" s="5670"/>
      <c r="BG71" s="5671"/>
      <c r="BO71" s="5672"/>
      <c r="BT71" s="5673"/>
      <c r="CB71" s="5674"/>
    </row>
    <row r="72" spans="1:82" x14ac:dyDescent="0.25">
      <c r="A72" s="5675" t="s">
        <v>1458</v>
      </c>
      <c r="B72">
        <v>1.1399999999999999</v>
      </c>
      <c r="C72">
        <v>1.68</v>
      </c>
      <c r="D72">
        <v>1.21</v>
      </c>
      <c r="G72" s="5676">
        <v>1</v>
      </c>
      <c r="H72">
        <v>0</v>
      </c>
      <c r="I72">
        <v>3</v>
      </c>
      <c r="J72">
        <v>0</v>
      </c>
      <c r="K72">
        <v>0</v>
      </c>
      <c r="L72">
        <v>0</v>
      </c>
      <c r="M72">
        <v>2</v>
      </c>
      <c r="N72">
        <v>0</v>
      </c>
      <c r="O72" s="5677">
        <v>0</v>
      </c>
      <c r="P72">
        <v>0</v>
      </c>
      <c r="Q72">
        <v>0</v>
      </c>
      <c r="R72">
        <v>0</v>
      </c>
      <c r="S72">
        <v>0</v>
      </c>
      <c r="T72" s="5678">
        <v>2</v>
      </c>
      <c r="U72">
        <v>1</v>
      </c>
      <c r="V72">
        <v>1</v>
      </c>
      <c r="W72">
        <v>0</v>
      </c>
      <c r="X72">
        <v>1</v>
      </c>
      <c r="Y72">
        <v>0</v>
      </c>
      <c r="Z72">
        <v>6</v>
      </c>
      <c r="AA72">
        <v>2</v>
      </c>
      <c r="AB72" s="5679">
        <v>0</v>
      </c>
      <c r="AC72">
        <v>0</v>
      </c>
      <c r="AD72">
        <v>0</v>
      </c>
      <c r="AE72">
        <v>0</v>
      </c>
      <c r="AF72">
        <v>1</v>
      </c>
      <c r="AG72" s="5680">
        <v>1</v>
      </c>
      <c r="AH72">
        <v>2</v>
      </c>
      <c r="AI72">
        <v>0</v>
      </c>
      <c r="AJ72">
        <v>0</v>
      </c>
      <c r="AK72">
        <v>0</v>
      </c>
      <c r="AL72">
        <v>0</v>
      </c>
      <c r="AM72">
        <v>2</v>
      </c>
      <c r="AN72">
        <v>0</v>
      </c>
      <c r="AO72" s="5681">
        <v>0</v>
      </c>
      <c r="AP72">
        <v>1</v>
      </c>
      <c r="AQ72">
        <v>0</v>
      </c>
      <c r="AR72">
        <v>0</v>
      </c>
      <c r="AS72">
        <v>0</v>
      </c>
      <c r="AT72" s="5682"/>
      <c r="BB72" s="5683"/>
      <c r="BG72" s="5684"/>
      <c r="BO72" s="5685"/>
      <c r="BT72" s="5686"/>
      <c r="CB72" s="5687"/>
    </row>
    <row r="73" spans="1:82" x14ac:dyDescent="0.25">
      <c r="A73" s="5688" t="s">
        <v>883</v>
      </c>
      <c r="B73">
        <v>0.73</v>
      </c>
      <c r="C73">
        <v>1.07</v>
      </c>
      <c r="D73">
        <v>1.61</v>
      </c>
      <c r="G73" s="5689">
        <v>3</v>
      </c>
      <c r="H73">
        <v>1</v>
      </c>
      <c r="I73">
        <v>0</v>
      </c>
      <c r="J73">
        <v>0</v>
      </c>
      <c r="K73">
        <v>0</v>
      </c>
      <c r="L73">
        <v>0</v>
      </c>
      <c r="M73">
        <v>2</v>
      </c>
      <c r="N73">
        <v>1</v>
      </c>
      <c r="O73" s="5690">
        <v>0</v>
      </c>
      <c r="P73">
        <v>0</v>
      </c>
      <c r="Q73">
        <v>0</v>
      </c>
      <c r="R73">
        <v>0</v>
      </c>
      <c r="S73">
        <v>0</v>
      </c>
      <c r="T73" s="5691">
        <v>1</v>
      </c>
      <c r="U73">
        <v>1</v>
      </c>
      <c r="V73">
        <v>0</v>
      </c>
      <c r="W73">
        <v>0</v>
      </c>
      <c r="X73">
        <v>0</v>
      </c>
      <c r="Y73">
        <v>1</v>
      </c>
      <c r="Z73">
        <v>2</v>
      </c>
      <c r="AA73">
        <v>0</v>
      </c>
      <c r="AB73" s="5692">
        <v>0</v>
      </c>
      <c r="AC73">
        <v>0</v>
      </c>
      <c r="AD73">
        <v>0</v>
      </c>
      <c r="AE73">
        <v>0</v>
      </c>
      <c r="AF73">
        <v>0</v>
      </c>
      <c r="AG73" s="5693">
        <v>1</v>
      </c>
      <c r="AH73">
        <v>4</v>
      </c>
      <c r="AI73">
        <v>2</v>
      </c>
      <c r="AJ73">
        <v>0</v>
      </c>
      <c r="AK73">
        <v>0</v>
      </c>
      <c r="AL73">
        <v>0</v>
      </c>
      <c r="AM73">
        <v>3</v>
      </c>
      <c r="AN73">
        <v>1</v>
      </c>
      <c r="AO73" s="5694">
        <v>1</v>
      </c>
      <c r="AP73">
        <v>0</v>
      </c>
      <c r="AQ73">
        <v>0</v>
      </c>
      <c r="AR73">
        <v>0</v>
      </c>
      <c r="AS73">
        <v>0</v>
      </c>
      <c r="AT73" s="5695"/>
      <c r="BB73" s="5696"/>
      <c r="BG73" s="5697"/>
      <c r="BO73" s="5698"/>
      <c r="BT73" s="5699"/>
      <c r="CB73" s="5700"/>
    </row>
    <row r="74" spans="1:82" x14ac:dyDescent="0.25">
      <c r="A74" s="5701" t="s">
        <v>884</v>
      </c>
      <c r="B74">
        <v>1.51</v>
      </c>
      <c r="C74">
        <v>1.18</v>
      </c>
      <c r="D74">
        <v>1.34</v>
      </c>
      <c r="G74" s="5702">
        <v>2</v>
      </c>
      <c r="H74">
        <v>0</v>
      </c>
      <c r="I74">
        <v>1</v>
      </c>
      <c r="J74">
        <v>0</v>
      </c>
      <c r="K74">
        <v>0</v>
      </c>
      <c r="L74">
        <v>0</v>
      </c>
      <c r="M74">
        <v>3</v>
      </c>
      <c r="N74">
        <v>0</v>
      </c>
      <c r="O74" s="5703">
        <v>0</v>
      </c>
      <c r="P74">
        <v>1</v>
      </c>
      <c r="Q74">
        <v>0</v>
      </c>
      <c r="R74">
        <v>0</v>
      </c>
      <c r="S74">
        <v>0</v>
      </c>
      <c r="T74" s="5704">
        <v>1</v>
      </c>
      <c r="U74">
        <v>1</v>
      </c>
      <c r="V74">
        <v>0</v>
      </c>
      <c r="W74">
        <v>0</v>
      </c>
      <c r="X74">
        <v>0</v>
      </c>
      <c r="Y74">
        <v>0</v>
      </c>
      <c r="Z74">
        <v>3</v>
      </c>
      <c r="AA74">
        <v>0</v>
      </c>
      <c r="AB74" s="5705">
        <v>1</v>
      </c>
      <c r="AC74">
        <v>0</v>
      </c>
      <c r="AD74">
        <v>0</v>
      </c>
      <c r="AE74">
        <v>0</v>
      </c>
      <c r="AF74">
        <v>0</v>
      </c>
      <c r="AG74" s="5706">
        <v>1</v>
      </c>
      <c r="AH74">
        <v>1</v>
      </c>
      <c r="AI74">
        <v>1</v>
      </c>
      <c r="AJ74">
        <v>0</v>
      </c>
      <c r="AK74">
        <v>0</v>
      </c>
      <c r="AL74">
        <v>0</v>
      </c>
      <c r="AM74">
        <v>1</v>
      </c>
      <c r="AN74">
        <v>1</v>
      </c>
      <c r="AO74" s="5707">
        <v>1</v>
      </c>
      <c r="AP74">
        <v>0</v>
      </c>
      <c r="AQ74">
        <v>0</v>
      </c>
      <c r="AR74">
        <v>0</v>
      </c>
      <c r="AS74">
        <v>0</v>
      </c>
      <c r="AT74" s="5708"/>
      <c r="BB74" s="5709"/>
      <c r="BG74" s="5710"/>
      <c r="BO74" s="5711"/>
      <c r="BT74" s="5712"/>
      <c r="CB74" s="5713"/>
    </row>
    <row r="75" spans="1:82" x14ac:dyDescent="0.25">
      <c r="A75" s="40" t="s">
        <v>1454</v>
      </c>
      <c r="B75" s="40"/>
      <c r="C75" s="40"/>
      <c r="D75" s="40"/>
      <c r="E75" s="40"/>
      <c r="F75" s="40"/>
      <c r="G75" s="5714"/>
      <c r="O75" s="5715"/>
      <c r="T75" s="5716"/>
      <c r="AB75" s="5717"/>
      <c r="AG75" s="5718"/>
      <c r="AO75" s="5719"/>
      <c r="AT75" s="5720"/>
      <c r="BB75" s="5721"/>
      <c r="BG75" s="5722"/>
      <c r="BO75" s="5723"/>
      <c r="BT75" s="5724"/>
      <c r="CB75" s="5725"/>
    </row>
    <row r="76" spans="1:82" x14ac:dyDescent="0.25">
      <c r="A76" s="5726" t="s">
        <v>1184</v>
      </c>
      <c r="B76">
        <v>0.87</v>
      </c>
      <c r="C76">
        <v>0.79</v>
      </c>
      <c r="D76">
        <v>0.77</v>
      </c>
      <c r="G76" s="5727">
        <v>1</v>
      </c>
      <c r="H76">
        <v>5</v>
      </c>
      <c r="I76">
        <v>0</v>
      </c>
      <c r="J76">
        <v>0</v>
      </c>
      <c r="K76">
        <v>0</v>
      </c>
      <c r="L76">
        <v>0</v>
      </c>
      <c r="M76">
        <v>1</v>
      </c>
      <c r="N76">
        <v>0</v>
      </c>
      <c r="O76" s="5728">
        <v>0</v>
      </c>
      <c r="P76">
        <v>0</v>
      </c>
      <c r="Q76">
        <v>0</v>
      </c>
      <c r="R76">
        <v>0</v>
      </c>
      <c r="S76">
        <v>0</v>
      </c>
      <c r="T76" s="5729">
        <v>1</v>
      </c>
      <c r="U76">
        <v>0</v>
      </c>
      <c r="V76">
        <v>1</v>
      </c>
      <c r="W76">
        <v>0</v>
      </c>
      <c r="X76">
        <v>0</v>
      </c>
      <c r="Y76">
        <v>0</v>
      </c>
      <c r="Z76">
        <v>2</v>
      </c>
      <c r="AA76">
        <v>0</v>
      </c>
      <c r="AB76" s="5730">
        <v>0</v>
      </c>
      <c r="AC76">
        <v>0</v>
      </c>
      <c r="AD76">
        <v>0</v>
      </c>
      <c r="AE76">
        <v>0</v>
      </c>
      <c r="AF76">
        <v>0</v>
      </c>
      <c r="AG76" s="5731">
        <v>1</v>
      </c>
      <c r="AH76">
        <v>2</v>
      </c>
      <c r="AI76">
        <v>1</v>
      </c>
      <c r="AJ76">
        <v>1</v>
      </c>
      <c r="AK76">
        <v>0</v>
      </c>
      <c r="AL76">
        <v>0</v>
      </c>
      <c r="AM76">
        <v>0</v>
      </c>
      <c r="AN76">
        <v>1</v>
      </c>
      <c r="AO76" s="5732">
        <v>0</v>
      </c>
      <c r="AP76">
        <v>0</v>
      </c>
      <c r="AQ76">
        <v>0</v>
      </c>
      <c r="AR76">
        <v>0</v>
      </c>
      <c r="AS76">
        <v>0</v>
      </c>
      <c r="AT76" s="5733"/>
      <c r="BB76" s="5734"/>
      <c r="BG76" s="5735"/>
      <c r="BO76" s="5736"/>
      <c r="BT76" s="5737"/>
      <c r="CB76" s="5738"/>
    </row>
    <row r="77" spans="1:82" x14ac:dyDescent="0.25">
      <c r="A77" s="5739" t="s">
        <v>442</v>
      </c>
      <c r="B77">
        <v>0.85</v>
      </c>
      <c r="C77">
        <v>0.79</v>
      </c>
      <c r="D77">
        <v>0.73</v>
      </c>
      <c r="G77" s="5740">
        <v>1</v>
      </c>
      <c r="H77">
        <v>2</v>
      </c>
      <c r="I77">
        <v>0</v>
      </c>
      <c r="J77">
        <v>0</v>
      </c>
      <c r="K77">
        <v>0</v>
      </c>
      <c r="L77">
        <v>0</v>
      </c>
      <c r="M77">
        <v>1</v>
      </c>
      <c r="N77">
        <v>0</v>
      </c>
      <c r="O77" s="5741">
        <v>0</v>
      </c>
      <c r="P77">
        <v>0</v>
      </c>
      <c r="Q77">
        <v>0</v>
      </c>
      <c r="R77">
        <v>0</v>
      </c>
      <c r="S77">
        <v>0</v>
      </c>
      <c r="T77" s="5742">
        <v>0</v>
      </c>
      <c r="U77">
        <v>0</v>
      </c>
      <c r="V77">
        <v>0</v>
      </c>
      <c r="W77">
        <v>1</v>
      </c>
      <c r="X77">
        <v>0</v>
      </c>
      <c r="Y77">
        <v>0</v>
      </c>
      <c r="Z77">
        <v>4</v>
      </c>
      <c r="AA77">
        <v>0</v>
      </c>
      <c r="AB77" s="5743">
        <v>0</v>
      </c>
      <c r="AC77">
        <v>0</v>
      </c>
      <c r="AD77">
        <v>0</v>
      </c>
      <c r="AE77">
        <v>1</v>
      </c>
      <c r="AF77">
        <v>0</v>
      </c>
      <c r="AG77" s="5744">
        <v>1</v>
      </c>
      <c r="AH77">
        <v>0</v>
      </c>
      <c r="AI77">
        <v>0</v>
      </c>
      <c r="AJ77">
        <v>0</v>
      </c>
      <c r="AK77">
        <v>0</v>
      </c>
      <c r="AL77">
        <v>1</v>
      </c>
      <c r="AM77">
        <v>4</v>
      </c>
      <c r="AN77">
        <v>1</v>
      </c>
      <c r="AO77" s="5745">
        <v>0</v>
      </c>
      <c r="AP77">
        <v>0</v>
      </c>
      <c r="AQ77">
        <v>0</v>
      </c>
      <c r="AR77">
        <v>0</v>
      </c>
      <c r="AS77">
        <v>0</v>
      </c>
      <c r="AT77" s="5746"/>
      <c r="BB77" s="5747"/>
      <c r="BG77" s="5748"/>
      <c r="BO77" s="5749"/>
      <c r="BT77" s="5750"/>
      <c r="CB77" s="5751"/>
    </row>
    <row r="78" spans="1:82" x14ac:dyDescent="0.25">
      <c r="A78" s="5752" t="s">
        <v>1461</v>
      </c>
      <c r="B78">
        <v>1.06</v>
      </c>
      <c r="C78">
        <v>0.78</v>
      </c>
      <c r="G78" s="5753">
        <v>0</v>
      </c>
      <c r="H78">
        <v>2</v>
      </c>
      <c r="I78">
        <v>1</v>
      </c>
      <c r="J78">
        <v>0</v>
      </c>
      <c r="K78">
        <v>0</v>
      </c>
      <c r="L78">
        <v>0</v>
      </c>
      <c r="M78">
        <v>5</v>
      </c>
      <c r="N78">
        <v>1</v>
      </c>
      <c r="O78" s="5754">
        <v>0</v>
      </c>
      <c r="P78">
        <v>0</v>
      </c>
      <c r="Q78">
        <v>0</v>
      </c>
      <c r="R78">
        <v>0</v>
      </c>
      <c r="S78">
        <v>0</v>
      </c>
      <c r="T78" s="5755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4</v>
      </c>
      <c r="AA78">
        <v>0</v>
      </c>
      <c r="AB78" s="5756">
        <v>0</v>
      </c>
      <c r="AC78">
        <v>0</v>
      </c>
      <c r="AD78">
        <v>0</v>
      </c>
      <c r="AE78">
        <v>0</v>
      </c>
      <c r="AF78">
        <v>0</v>
      </c>
      <c r="AG78" s="5757"/>
      <c r="AO78" s="5758"/>
      <c r="AT78" s="5759"/>
      <c r="BB78" s="5760"/>
      <c r="BG78" s="5761"/>
      <c r="BO78" s="5762"/>
      <c r="BT78" s="5763"/>
      <c r="CB78" s="5764"/>
      <c r="CD78" t="s">
        <v>1464</v>
      </c>
    </row>
    <row r="79" spans="1:82" x14ac:dyDescent="0.25">
      <c r="A79" s="5765" t="s">
        <v>1192</v>
      </c>
      <c r="B79">
        <v>0.89</v>
      </c>
      <c r="C79">
        <v>1.02</v>
      </c>
      <c r="D79">
        <v>0.96</v>
      </c>
      <c r="G79" s="5766">
        <v>0</v>
      </c>
      <c r="H79">
        <v>4</v>
      </c>
      <c r="I79">
        <v>0</v>
      </c>
      <c r="J79">
        <v>0</v>
      </c>
      <c r="K79">
        <v>0</v>
      </c>
      <c r="L79">
        <v>1</v>
      </c>
      <c r="M79">
        <v>5</v>
      </c>
      <c r="N79">
        <v>2</v>
      </c>
      <c r="O79" s="5767">
        <v>0</v>
      </c>
      <c r="P79">
        <v>0</v>
      </c>
      <c r="Q79">
        <v>0</v>
      </c>
      <c r="R79">
        <v>0</v>
      </c>
      <c r="S79">
        <v>0</v>
      </c>
      <c r="T79" s="5768">
        <v>1</v>
      </c>
      <c r="U79">
        <v>2</v>
      </c>
      <c r="V79">
        <v>2</v>
      </c>
      <c r="W79">
        <v>0</v>
      </c>
      <c r="X79">
        <v>0</v>
      </c>
      <c r="Y79">
        <v>3</v>
      </c>
      <c r="Z79">
        <v>7</v>
      </c>
      <c r="AA79">
        <v>0</v>
      </c>
      <c r="AB79" s="5769">
        <v>1</v>
      </c>
      <c r="AC79">
        <v>0</v>
      </c>
      <c r="AD79">
        <v>0</v>
      </c>
      <c r="AE79">
        <v>0</v>
      </c>
      <c r="AF79">
        <v>0</v>
      </c>
      <c r="AG79" s="5770">
        <v>2</v>
      </c>
      <c r="AH79">
        <v>2</v>
      </c>
      <c r="AI79">
        <v>0</v>
      </c>
      <c r="AJ79">
        <v>0</v>
      </c>
      <c r="AK79">
        <v>0</v>
      </c>
      <c r="AL79">
        <v>0</v>
      </c>
      <c r="AM79">
        <v>6</v>
      </c>
      <c r="AN79">
        <v>4</v>
      </c>
      <c r="AO79" s="5771">
        <v>0</v>
      </c>
      <c r="AP79">
        <v>0</v>
      </c>
      <c r="AQ79">
        <v>0</v>
      </c>
      <c r="AR79">
        <v>0</v>
      </c>
      <c r="AS79">
        <v>0</v>
      </c>
      <c r="AT79" s="5772"/>
      <c r="BB79" s="5773"/>
      <c r="BG79" s="5774"/>
      <c r="BO79" s="5775"/>
      <c r="BT79" s="5776"/>
      <c r="CB79" s="5777"/>
    </row>
    <row r="80" spans="1:82" x14ac:dyDescent="0.25">
      <c r="B80">
        <f>AVERAGE(B3:B79)</f>
        <v>0.9732307692307689</v>
      </c>
      <c r="C80" s="5184">
        <f t="shared" ref="C80:D80" si="18">AVERAGE(C3:C79)</f>
        <v>1.0329230769230771</v>
      </c>
      <c r="D80" s="5184">
        <f t="shared" si="18"/>
        <v>1.1020967741935486</v>
      </c>
      <c r="E80" s="4653"/>
      <c r="F80" s="4653"/>
      <c r="G80" s="4653">
        <f t="shared" ref="G80:AL80" si="19">AVERAGE(G3:G79)</f>
        <v>0.95454545454545459</v>
      </c>
      <c r="H80" s="5093">
        <f t="shared" si="19"/>
        <v>2.0454545454545454</v>
      </c>
      <c r="I80" s="5093">
        <f t="shared" si="19"/>
        <v>0.63636363636363635</v>
      </c>
      <c r="J80" s="5093">
        <f t="shared" si="19"/>
        <v>6.8181818181818177E-2</v>
      </c>
      <c r="K80" s="5093">
        <f t="shared" si="19"/>
        <v>4.5454545454545456E-2</v>
      </c>
      <c r="L80" s="5093">
        <f t="shared" si="19"/>
        <v>0.20454545454545456</v>
      </c>
      <c r="M80" s="5093">
        <f t="shared" si="19"/>
        <v>1.6136363636363635</v>
      </c>
      <c r="N80" s="5093">
        <f t="shared" si="19"/>
        <v>0.40909090909090912</v>
      </c>
      <c r="O80" s="5093">
        <f t="shared" si="19"/>
        <v>0.18181818181818182</v>
      </c>
      <c r="P80" s="5093">
        <f t="shared" si="19"/>
        <v>2.2727272727272728E-2</v>
      </c>
      <c r="Q80" s="5093">
        <f t="shared" si="19"/>
        <v>6.8181818181818177E-2</v>
      </c>
      <c r="R80" s="5093">
        <f t="shared" si="19"/>
        <v>0</v>
      </c>
      <c r="S80" s="5093">
        <f t="shared" si="19"/>
        <v>0</v>
      </c>
      <c r="T80" s="5093">
        <f t="shared" si="19"/>
        <v>0.52272727272727271</v>
      </c>
      <c r="U80" s="5093">
        <f t="shared" si="19"/>
        <v>0.70454545454545459</v>
      </c>
      <c r="V80" s="5093">
        <f t="shared" si="19"/>
        <v>0.5</v>
      </c>
      <c r="W80" s="5093">
        <f t="shared" si="19"/>
        <v>0.20454545454545456</v>
      </c>
      <c r="X80" s="5093">
        <f t="shared" si="19"/>
        <v>4.5454545454545456E-2</v>
      </c>
      <c r="Y80" s="5093">
        <f t="shared" si="19"/>
        <v>0.11363636363636363</v>
      </c>
      <c r="Z80" s="5093">
        <f t="shared" si="19"/>
        <v>2.7727272727272729</v>
      </c>
      <c r="AA80" s="5093">
        <f t="shared" si="19"/>
        <v>0.47727272727272729</v>
      </c>
      <c r="AB80" s="5093">
        <f t="shared" si="19"/>
        <v>0.25</v>
      </c>
      <c r="AC80" s="5093">
        <f t="shared" si="19"/>
        <v>0.20454545454545456</v>
      </c>
      <c r="AD80" s="5093">
        <f t="shared" si="19"/>
        <v>2.2727272727272728E-2</v>
      </c>
      <c r="AE80" s="5093">
        <f t="shared" si="19"/>
        <v>2.2727272727272728E-2</v>
      </c>
      <c r="AF80" s="5093">
        <f t="shared" si="19"/>
        <v>0</v>
      </c>
      <c r="AG80" s="5093">
        <f t="shared" si="19"/>
        <v>0.72093023255813948</v>
      </c>
      <c r="AH80" s="5093">
        <f t="shared" si="19"/>
        <v>1.8837209302325582</v>
      </c>
      <c r="AI80" s="5093">
        <f t="shared" si="19"/>
        <v>0.55813953488372092</v>
      </c>
      <c r="AJ80" s="5093">
        <f t="shared" si="19"/>
        <v>0.20930232558139536</v>
      </c>
      <c r="AK80" s="5093">
        <f t="shared" si="19"/>
        <v>2.3255813953488372E-2</v>
      </c>
      <c r="AL80" s="5093">
        <f t="shared" si="19"/>
        <v>0.41860465116279072</v>
      </c>
      <c r="AM80" s="5093">
        <f t="shared" ref="AM80:BR80" si="20">AVERAGE(AM3:AM79)</f>
        <v>2.7906976744186047</v>
      </c>
      <c r="AN80" s="5093">
        <f t="shared" si="20"/>
        <v>0.60465116279069764</v>
      </c>
      <c r="AO80" s="5093">
        <f t="shared" si="20"/>
        <v>0.2558139534883721</v>
      </c>
      <c r="AP80" s="5093">
        <f t="shared" si="20"/>
        <v>0.18604651162790697</v>
      </c>
      <c r="AQ80" s="5093">
        <f t="shared" si="20"/>
        <v>0</v>
      </c>
      <c r="AR80" s="5093">
        <f t="shared" si="20"/>
        <v>4.6511627906976744E-2</v>
      </c>
      <c r="AS80" s="5093">
        <f t="shared" si="20"/>
        <v>0</v>
      </c>
      <c r="AT80" s="4653" t="e">
        <f t="shared" si="20"/>
        <v>#DIV/0!</v>
      </c>
      <c r="AU80" s="4653" t="e">
        <f t="shared" si="20"/>
        <v>#DIV/0!</v>
      </c>
      <c r="AV80" s="4653" t="e">
        <f t="shared" si="20"/>
        <v>#DIV/0!</v>
      </c>
      <c r="AW80" s="4653" t="e">
        <f t="shared" si="20"/>
        <v>#DIV/0!</v>
      </c>
      <c r="AX80" s="4653" t="e">
        <f t="shared" si="20"/>
        <v>#DIV/0!</v>
      </c>
      <c r="AY80" s="4653" t="e">
        <f t="shared" si="20"/>
        <v>#DIV/0!</v>
      </c>
      <c r="AZ80" s="4653" t="e">
        <f t="shared" si="20"/>
        <v>#DIV/0!</v>
      </c>
      <c r="BA80" s="4653" t="e">
        <f t="shared" si="20"/>
        <v>#DIV/0!</v>
      </c>
      <c r="BB80" s="4653" t="e">
        <f t="shared" si="20"/>
        <v>#DIV/0!</v>
      </c>
      <c r="BC80" s="4653" t="e">
        <f t="shared" si="20"/>
        <v>#DIV/0!</v>
      </c>
      <c r="BD80" s="4653" t="e">
        <f t="shared" si="20"/>
        <v>#DIV/0!</v>
      </c>
      <c r="BE80" s="4653" t="e">
        <f t="shared" si="20"/>
        <v>#DIV/0!</v>
      </c>
      <c r="BF80" s="4653" t="e">
        <f t="shared" si="20"/>
        <v>#DIV/0!</v>
      </c>
      <c r="BG80" s="4653" t="e">
        <f t="shared" si="20"/>
        <v>#DIV/0!</v>
      </c>
      <c r="BH80" s="4653" t="e">
        <f t="shared" si="20"/>
        <v>#DIV/0!</v>
      </c>
      <c r="BI80" s="4653" t="e">
        <f t="shared" si="20"/>
        <v>#DIV/0!</v>
      </c>
      <c r="BJ80" s="4653" t="e">
        <f t="shared" si="20"/>
        <v>#DIV/0!</v>
      </c>
      <c r="BK80" s="4653" t="e">
        <f t="shared" si="20"/>
        <v>#DIV/0!</v>
      </c>
      <c r="BL80" s="4653" t="e">
        <f t="shared" si="20"/>
        <v>#DIV/0!</v>
      </c>
      <c r="BM80" s="4653" t="e">
        <f t="shared" si="20"/>
        <v>#DIV/0!</v>
      </c>
      <c r="BN80" s="4653" t="e">
        <f t="shared" si="20"/>
        <v>#DIV/0!</v>
      </c>
      <c r="BO80" s="4653" t="e">
        <f t="shared" si="20"/>
        <v>#DIV/0!</v>
      </c>
      <c r="BP80" s="4653" t="e">
        <f t="shared" si="20"/>
        <v>#DIV/0!</v>
      </c>
      <c r="BQ80" s="4653" t="e">
        <f t="shared" si="20"/>
        <v>#DIV/0!</v>
      </c>
      <c r="BR80" s="4653" t="e">
        <f t="shared" si="20"/>
        <v>#DIV/0!</v>
      </c>
      <c r="BS80" s="4653" t="e">
        <f t="shared" ref="BS80:CB80" si="21">AVERAGE(BS3:BS79)</f>
        <v>#DIV/0!</v>
      </c>
      <c r="BT80" s="4653" t="e">
        <f t="shared" si="21"/>
        <v>#DIV/0!</v>
      </c>
      <c r="BU80" s="4653" t="e">
        <f t="shared" si="21"/>
        <v>#DIV/0!</v>
      </c>
      <c r="BV80" s="4653" t="e">
        <f t="shared" si="21"/>
        <v>#DIV/0!</v>
      </c>
      <c r="BW80" s="4653" t="e">
        <f t="shared" si="21"/>
        <v>#DIV/0!</v>
      </c>
      <c r="BX80" s="4653" t="e">
        <f t="shared" si="21"/>
        <v>#DIV/0!</v>
      </c>
      <c r="BY80" s="4653" t="e">
        <f t="shared" si="21"/>
        <v>#DIV/0!</v>
      </c>
      <c r="BZ80" s="4653" t="e">
        <f t="shared" si="21"/>
        <v>#DIV/0!</v>
      </c>
      <c r="CA80" s="4653" t="e">
        <f t="shared" si="21"/>
        <v>#DIV/0!</v>
      </c>
      <c r="CB80" s="4653" t="e">
        <f t="shared" si="21"/>
        <v>#DIV/0!</v>
      </c>
    </row>
  </sheetData>
  <mergeCells count="18">
    <mergeCell ref="CJ6:CO6"/>
    <mergeCell ref="CP6:CU6"/>
    <mergeCell ref="CV6:DA6"/>
    <mergeCell ref="DB6:DG6"/>
    <mergeCell ref="CJ1:CO1"/>
    <mergeCell ref="CP1:CU1"/>
    <mergeCell ref="CV1:DA1"/>
    <mergeCell ref="DB1:DG1"/>
    <mergeCell ref="DH1:DM1"/>
    <mergeCell ref="CP4:CU4"/>
    <mergeCell ref="CJ4:CO4"/>
    <mergeCell ref="CV4:DA4"/>
    <mergeCell ref="DB4:DG4"/>
    <mergeCell ref="DH3:DM3"/>
    <mergeCell ref="CJ3:CO3"/>
    <mergeCell ref="CP3:CU3"/>
    <mergeCell ref="CV3:DA3"/>
    <mergeCell ref="DB3:DG3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5810" t="s">
        <v>1100</v>
      </c>
      <c r="CM1" s="5810"/>
      <c r="CN1" s="5810"/>
      <c r="CO1" s="5810"/>
      <c r="CP1" s="5810"/>
      <c r="CQ1" s="5810"/>
      <c r="CR1" s="5827" t="s">
        <v>1343</v>
      </c>
      <c r="CS1" s="5808"/>
      <c r="CT1" s="5808"/>
      <c r="CU1" s="5808"/>
      <c r="CV1" s="5808"/>
      <c r="CW1" s="5808"/>
      <c r="CX1" s="5809" t="s">
        <v>1101</v>
      </c>
      <c r="CY1" s="5809"/>
      <c r="CZ1" s="5809"/>
      <c r="DA1" s="5809"/>
      <c r="DB1" s="5809"/>
      <c r="DC1" s="5809"/>
      <c r="DD1" s="5799" t="s">
        <v>1102</v>
      </c>
      <c r="DE1" s="5799"/>
      <c r="DF1" s="5799"/>
      <c r="DG1" s="5799"/>
      <c r="DH1" s="5799"/>
      <c r="DI1" s="5799"/>
      <c r="DJ1" s="5809" t="s">
        <v>1104</v>
      </c>
      <c r="DK1" s="5809"/>
      <c r="DL1" s="5809"/>
      <c r="DM1" s="5809"/>
      <c r="DN1" s="5809"/>
      <c r="DO1" s="5809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5782" t="e">
        <f>_xlfn.AGGREGATE(1,6,CL2:CQ2)</f>
        <v>#DIV/0!</v>
      </c>
      <c r="CM3" s="5782"/>
      <c r="CN3" s="5782"/>
      <c r="CO3" s="5782"/>
      <c r="CP3" s="5782"/>
      <c r="CQ3" s="5782"/>
      <c r="CR3" s="5782" t="e">
        <f t="shared" ref="CR3" si="1">_xlfn.AGGREGATE(1,6,CR2:CW2)</f>
        <v>#DIV/0!</v>
      </c>
      <c r="CS3" s="5782"/>
      <c r="CT3" s="5782"/>
      <c r="CU3" s="5782"/>
      <c r="CV3" s="5782"/>
      <c r="CW3" s="5782"/>
      <c r="CX3" s="5782" t="e">
        <f t="shared" ref="CX3" si="2">_xlfn.AGGREGATE(1,6,CX2:DC2)</f>
        <v>#DIV/0!</v>
      </c>
      <c r="CY3" s="5782"/>
      <c r="CZ3" s="5782"/>
      <c r="DA3" s="5782"/>
      <c r="DB3" s="5782"/>
      <c r="DC3" s="5782"/>
      <c r="DD3" s="5782" t="e">
        <f t="shared" ref="DD3" si="3">_xlfn.AGGREGATE(1,6,DD2:DI2)</f>
        <v>#DIV/0!</v>
      </c>
      <c r="DE3" s="5782"/>
      <c r="DF3" s="5782"/>
      <c r="DG3" s="5782"/>
      <c r="DH3" s="5782"/>
      <c r="DI3" s="5782"/>
      <c r="DJ3" s="5782" t="e">
        <f t="shared" ref="DJ3" si="4">_xlfn.AGGREGATE(1,6,DJ2:DO2)</f>
        <v>#DIV/0!</v>
      </c>
      <c r="DK3" s="5782"/>
      <c r="DL3" s="5782"/>
      <c r="DM3" s="5782"/>
      <c r="DN3" s="5782"/>
      <c r="DO3" s="5782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5799" t="s">
        <v>1099</v>
      </c>
      <c r="CM4" s="5799"/>
      <c r="CN4" s="5799"/>
      <c r="CO4" s="5799"/>
      <c r="CP4" s="5799"/>
      <c r="CQ4" s="5799"/>
      <c r="CR4" s="5806" t="s">
        <v>994</v>
      </c>
      <c r="CS4" s="5806"/>
      <c r="CT4" s="5806"/>
      <c r="CU4" s="5806"/>
      <c r="CV4" s="5806"/>
      <c r="CW4" s="5806"/>
      <c r="CX4" s="5799" t="s">
        <v>1103</v>
      </c>
      <c r="CY4" s="5799"/>
      <c r="CZ4" s="5799"/>
      <c r="DA4" s="5799"/>
      <c r="DB4" s="5799"/>
      <c r="DC4" s="5799"/>
      <c r="DD4" s="5807" t="s">
        <v>1105</v>
      </c>
      <c r="DE4" s="5806"/>
      <c r="DF4" s="5806"/>
      <c r="DG4" s="5806"/>
      <c r="DH4" s="5806"/>
      <c r="DI4" s="5806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DJ3:DO3"/>
    <mergeCell ref="CL1:CQ1"/>
    <mergeCell ref="CR1:CW1"/>
    <mergeCell ref="CX1:DC1"/>
    <mergeCell ref="DD1:DI1"/>
    <mergeCell ref="DJ1:DO1"/>
    <mergeCell ref="CL4:CQ4"/>
    <mergeCell ref="CR4:CW4"/>
    <mergeCell ref="CX4:DC4"/>
    <mergeCell ref="DD4:DI4"/>
    <mergeCell ref="CL3:CQ3"/>
    <mergeCell ref="CR3:CW3"/>
    <mergeCell ref="CX3:DC3"/>
    <mergeCell ref="DD3:DI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G21"/>
  <sheetViews>
    <sheetView workbookViewId="0">
      <selection activeCell="N18" sqref="N18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5" x14ac:dyDescent="0.25">
      <c r="B1" s="1" t="s">
        <v>84</v>
      </c>
      <c r="C1" s="1" t="s">
        <v>1</v>
      </c>
      <c r="D1" s="1" t="s">
        <v>183</v>
      </c>
      <c r="E1" s="4148" t="s">
        <v>1344</v>
      </c>
      <c r="J1" s="3999"/>
    </row>
    <row r="2" spans="1:85" x14ac:dyDescent="0.25">
      <c r="A2" s="619" t="s">
        <v>1345</v>
      </c>
      <c r="B2" s="619"/>
      <c r="C2" s="619"/>
      <c r="D2" s="619"/>
      <c r="E2" s="619"/>
    </row>
    <row r="3" spans="1:85" x14ac:dyDescent="0.25">
      <c r="A3" s="4151" t="s">
        <v>1346</v>
      </c>
      <c r="B3">
        <v>0.86</v>
      </c>
      <c r="C3">
        <v>1.42</v>
      </c>
      <c r="H3" s="5802" t="s">
        <v>1455</v>
      </c>
      <c r="I3" s="5802"/>
      <c r="J3" s="5802"/>
      <c r="K3" s="5802"/>
      <c r="L3" s="5800" t="s">
        <v>1398</v>
      </c>
      <c r="M3" s="5800"/>
      <c r="N3" s="5800"/>
      <c r="O3" s="5800"/>
      <c r="P3" s="5807" t="s">
        <v>1370</v>
      </c>
      <c r="Q3" s="5807"/>
      <c r="R3" s="5807"/>
      <c r="S3" s="5807"/>
      <c r="T3" s="5799" t="s">
        <v>1396</v>
      </c>
      <c r="U3" s="5799"/>
      <c r="V3" s="5799"/>
      <c r="W3" s="5799"/>
      <c r="X3" s="5799" t="s">
        <v>1373</v>
      </c>
      <c r="Y3" s="5799"/>
      <c r="Z3" s="5799"/>
      <c r="AA3" s="5799"/>
      <c r="AB3" s="5801" t="s">
        <v>1367</v>
      </c>
      <c r="AC3" s="5801"/>
      <c r="AD3" s="5801"/>
      <c r="AE3" s="5801"/>
      <c r="AF3" s="5801" t="s">
        <v>1372</v>
      </c>
      <c r="AG3" s="5801"/>
      <c r="AH3" s="5801"/>
      <c r="AI3" s="5801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5" x14ac:dyDescent="0.25">
      <c r="A4" s="44" t="s">
        <v>1347</v>
      </c>
      <c r="B4" s="44"/>
      <c r="C4" s="44"/>
      <c r="D4" s="44"/>
      <c r="E4" s="44"/>
      <c r="H4" s="1">
        <f>AVERAGE(B13,B20)</f>
        <v>0.64999999999999991</v>
      </c>
      <c r="I4" s="1">
        <f>AVERAGE(C13,C20)</f>
        <v>1.115</v>
      </c>
      <c r="J4" s="1" t="e">
        <f t="shared" ref="I4:K4" si="0">AVERAGE(D13,D20)</f>
        <v>#DIV/0!</v>
      </c>
      <c r="K4" s="1" t="e">
        <f t="shared" si="0"/>
        <v>#DIV/0!</v>
      </c>
      <c r="L4" s="1">
        <f>AVERAGE(B11,B12,B18)</f>
        <v>1.1000000000000001</v>
      </c>
      <c r="M4" s="1">
        <f t="shared" ref="M4:O4" si="1">AVERAGE(C11,C12,C18)</f>
        <v>1.0833333333333333</v>
      </c>
      <c r="N4" s="1" t="e">
        <f t="shared" si="1"/>
        <v>#DIV/0!</v>
      </c>
      <c r="O4" s="1" t="e">
        <f t="shared" si="1"/>
        <v>#DIV/0!</v>
      </c>
      <c r="P4" s="1">
        <f>AVERAGE(B3,B10)</f>
        <v>0.86499999999999999</v>
      </c>
      <c r="Q4" s="1">
        <f t="shared" ref="Q4:S4" si="2">AVERAGE(C3,C10)</f>
        <v>1.38</v>
      </c>
      <c r="R4" s="1" t="e">
        <f t="shared" si="2"/>
        <v>#DIV/0!</v>
      </c>
      <c r="S4" s="1" t="e">
        <f t="shared" si="2"/>
        <v>#DIV/0!</v>
      </c>
      <c r="T4" s="1">
        <f>AVERAGE(B9,B15,B17)</f>
        <v>1.04</v>
      </c>
      <c r="U4" s="1">
        <f t="shared" ref="U4:W4" si="3">AVERAGE(C9,C15,C17)</f>
        <v>0.94666666666666666</v>
      </c>
      <c r="V4" s="1" t="e">
        <f t="shared" si="3"/>
        <v>#DIV/0!</v>
      </c>
      <c r="W4" s="1" t="e">
        <f t="shared" si="3"/>
        <v>#DIV/0!</v>
      </c>
      <c r="X4" s="1">
        <f>AVERAGE(B5,B8)</f>
        <v>1.6</v>
      </c>
      <c r="Y4" s="1" t="e">
        <f>AVERAGE(C5,C8)</f>
        <v>#DIV/0!</v>
      </c>
      <c r="Z4" s="1" t="e">
        <f>AVERAGE(D5)</f>
        <v>#DIV/0!</v>
      </c>
      <c r="AA4" s="1">
        <f>AVERAGE(E5)</f>
        <v>1.35</v>
      </c>
      <c r="AB4">
        <f>AVERAGE(B7)</f>
        <v>1.33</v>
      </c>
      <c r="AC4" s="4469">
        <f t="shared" ref="AC4:AE4" si="4">AVERAGE(C7)</f>
        <v>0.65</v>
      </c>
      <c r="AD4" s="4469" t="e">
        <f t="shared" si="4"/>
        <v>#DIV/0!</v>
      </c>
      <c r="AE4" s="4469" t="e">
        <f t="shared" si="4"/>
        <v>#DIV/0!</v>
      </c>
      <c r="AF4" s="4469">
        <f>AVERAGE(B8)</f>
        <v>0.26</v>
      </c>
      <c r="AG4" s="4469">
        <f t="shared" ref="AG4:AI4" si="5">AVERAGE(C8)</f>
        <v>0.65</v>
      </c>
      <c r="AH4" s="4469" t="e">
        <f t="shared" si="5"/>
        <v>#DIV/0!</v>
      </c>
      <c r="AI4" s="4469" t="e">
        <f t="shared" si="5"/>
        <v>#DIV/0!</v>
      </c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5" x14ac:dyDescent="0.25">
      <c r="A5" s="4152" t="s">
        <v>1348</v>
      </c>
      <c r="B5">
        <v>1.6</v>
      </c>
      <c r="E5">
        <v>1.35</v>
      </c>
      <c r="H5" s="5798" t="e">
        <f>AVERAGE(H4:K4)</f>
        <v>#DIV/0!</v>
      </c>
      <c r="I5" s="5798"/>
      <c r="J5" s="5798"/>
      <c r="K5" s="5798"/>
      <c r="L5" s="5798" t="e">
        <f>AVERAGE(L4:O4)</f>
        <v>#DIV/0!</v>
      </c>
      <c r="M5" s="5798"/>
      <c r="N5" s="5798"/>
      <c r="O5" s="5798"/>
      <c r="P5" s="5798" t="e">
        <f>AVERAGE(P4:S4)</f>
        <v>#DIV/0!</v>
      </c>
      <c r="Q5" s="5798"/>
      <c r="R5" s="5798"/>
      <c r="S5" s="5798"/>
      <c r="T5" s="5798" t="e">
        <f>AVERAGE(T4:W4)</f>
        <v>#DIV/0!</v>
      </c>
      <c r="U5" s="5798"/>
      <c r="V5" s="5798"/>
      <c r="W5" s="5798"/>
      <c r="X5" s="5798" t="e">
        <f>AVERAGE(X4:AA4)</f>
        <v>#DIV/0!</v>
      </c>
      <c r="Y5" s="5798"/>
      <c r="Z5" s="5798"/>
      <c r="AA5" s="5798"/>
      <c r="AB5" s="5798" t="e">
        <f t="shared" ref="AB5" si="6">AVERAGE(AB4:AE4)</f>
        <v>#DIV/0!</v>
      </c>
      <c r="AC5" s="5798"/>
      <c r="AD5" s="5798"/>
      <c r="AE5" s="5798"/>
      <c r="AF5" s="5798" t="e">
        <f>AVERAGE(AF4:AI4)</f>
        <v>#DIV/0!</v>
      </c>
      <c r="AG5" s="5798"/>
      <c r="AH5" s="5798"/>
      <c r="AI5" s="5798"/>
      <c r="AJ5" s="4409"/>
      <c r="AK5" s="4409"/>
      <c r="AL5" s="4409"/>
      <c r="AM5" s="4409"/>
      <c r="AN5" s="4409"/>
      <c r="AO5" s="4409"/>
      <c r="AP5" s="4409"/>
      <c r="AQ5" s="4409"/>
      <c r="AR5" s="4409"/>
      <c r="AS5" s="4409"/>
      <c r="AT5" s="4409"/>
      <c r="AU5" s="4409"/>
      <c r="AV5" s="4409"/>
      <c r="AW5" s="4409"/>
      <c r="AX5" s="4409"/>
      <c r="AY5" s="4409"/>
      <c r="AZ5" s="4409"/>
      <c r="BA5" s="4409"/>
      <c r="BB5" s="4409"/>
      <c r="BC5" s="4409"/>
      <c r="BG5" s="4409"/>
      <c r="BH5" s="4409"/>
      <c r="BI5" s="4409"/>
      <c r="BJ5" s="4409"/>
      <c r="BK5" s="4409"/>
      <c r="BL5" s="4409"/>
      <c r="BM5" s="4409"/>
      <c r="BN5" s="4409"/>
      <c r="BO5" s="4409"/>
      <c r="BP5" s="4409"/>
      <c r="BQ5" s="4409"/>
      <c r="BR5" s="4409"/>
      <c r="BS5" s="4409"/>
      <c r="BT5" s="4409"/>
      <c r="BU5" s="4409"/>
      <c r="BV5" s="4409"/>
      <c r="BW5" s="4409"/>
      <c r="BX5" s="4409"/>
      <c r="BY5" s="4409"/>
      <c r="BZ5" s="4409"/>
      <c r="CA5" s="4409"/>
      <c r="CB5" s="4409"/>
      <c r="CC5" s="4409"/>
    </row>
    <row r="6" spans="1:85" x14ac:dyDescent="0.25">
      <c r="A6" s="4459" t="s">
        <v>1365</v>
      </c>
      <c r="B6" s="4459"/>
      <c r="C6" s="4459"/>
      <c r="D6" s="4459"/>
      <c r="E6" s="4459"/>
      <c r="H6" s="4409"/>
      <c r="I6" s="4409"/>
      <c r="J6" s="4409"/>
      <c r="K6" s="4409"/>
      <c r="L6" s="4409"/>
      <c r="M6" s="4409"/>
      <c r="N6" s="4409"/>
      <c r="O6" s="4409"/>
      <c r="P6" s="4409"/>
      <c r="Q6" s="4409"/>
      <c r="R6" s="4409"/>
      <c r="S6" s="4409"/>
      <c r="T6" s="4409"/>
      <c r="U6" s="4409"/>
      <c r="V6" s="4409"/>
      <c r="W6" s="4409"/>
      <c r="X6" s="4409"/>
      <c r="Y6" s="4409"/>
      <c r="Z6" s="4409"/>
      <c r="AA6" s="4409"/>
      <c r="AB6" s="4409"/>
      <c r="AC6" s="4409"/>
      <c r="AD6" s="4409"/>
      <c r="AE6" s="4409"/>
      <c r="AF6" s="4409"/>
      <c r="AG6" s="4409"/>
      <c r="AH6" s="4409"/>
      <c r="AI6" s="4409"/>
      <c r="AJ6" s="4409"/>
      <c r="AK6" s="4409"/>
      <c r="AL6" s="4409"/>
      <c r="AM6" s="4409"/>
      <c r="AN6" s="4409"/>
      <c r="AO6" s="4409"/>
      <c r="AP6" s="4409"/>
      <c r="AQ6" s="4409"/>
      <c r="AR6" s="4409"/>
      <c r="AS6" s="4409"/>
      <c r="AT6" s="4409"/>
      <c r="AU6" s="4409"/>
      <c r="AV6" s="4409"/>
      <c r="AW6" s="4409"/>
      <c r="AX6" s="4409"/>
      <c r="AY6" s="4409"/>
      <c r="AZ6" s="4409"/>
      <c r="BA6" s="4409"/>
      <c r="BB6" s="4409"/>
      <c r="BC6" s="4409"/>
      <c r="BD6" s="4409"/>
      <c r="BE6" s="4409"/>
      <c r="BG6" s="4409"/>
      <c r="BH6" s="4409"/>
      <c r="BI6" s="4409"/>
      <c r="BJ6" s="4409"/>
      <c r="BK6" s="4409"/>
      <c r="BL6" s="4409"/>
      <c r="BM6" s="4409"/>
      <c r="BN6" s="4409"/>
      <c r="BO6" s="4409"/>
      <c r="BP6" s="4409"/>
      <c r="BQ6" s="4409"/>
      <c r="BR6" s="4409"/>
      <c r="BS6" s="4409"/>
      <c r="BT6" s="4409"/>
      <c r="BU6" s="4409"/>
      <c r="BV6" s="4409"/>
      <c r="BW6" s="4409"/>
      <c r="BX6" s="4409"/>
      <c r="BY6" s="4409"/>
      <c r="BZ6" s="4409"/>
      <c r="CA6" s="4409"/>
      <c r="CB6" s="4409"/>
      <c r="CC6" s="4409"/>
    </row>
    <row r="7" spans="1:85" x14ac:dyDescent="0.25">
      <c r="A7" s="4411" t="s">
        <v>1366</v>
      </c>
      <c r="B7">
        <v>1.33</v>
      </c>
      <c r="C7">
        <v>0.65</v>
      </c>
    </row>
    <row r="8" spans="1:85" x14ac:dyDescent="0.25">
      <c r="A8" s="4412" t="s">
        <v>1368</v>
      </c>
      <c r="B8">
        <v>0.26</v>
      </c>
      <c r="C8">
        <v>0.65</v>
      </c>
    </row>
    <row r="9" spans="1:85" x14ac:dyDescent="0.25">
      <c r="A9" s="4413" t="s">
        <v>1350</v>
      </c>
      <c r="B9">
        <v>0.86</v>
      </c>
      <c r="C9">
        <v>0.95</v>
      </c>
    </row>
    <row r="10" spans="1:85" x14ac:dyDescent="0.25">
      <c r="A10" s="4414" t="s">
        <v>1369</v>
      </c>
      <c r="B10">
        <v>0.87</v>
      </c>
      <c r="C10">
        <v>1.34</v>
      </c>
    </row>
    <row r="11" spans="1:85" x14ac:dyDescent="0.25">
      <c r="A11" s="4415" t="s">
        <v>330</v>
      </c>
      <c r="B11">
        <v>1.1299999999999999</v>
      </c>
      <c r="C11">
        <v>1.2</v>
      </c>
    </row>
    <row r="12" spans="1:85" x14ac:dyDescent="0.25">
      <c r="A12" s="4416" t="s">
        <v>1371</v>
      </c>
      <c r="B12">
        <v>1.61</v>
      </c>
      <c r="C12">
        <v>1.26</v>
      </c>
    </row>
    <row r="13" spans="1:85" x14ac:dyDescent="0.25">
      <c r="A13" s="4417" t="s">
        <v>388</v>
      </c>
      <c r="B13">
        <v>0.7</v>
      </c>
      <c r="C13">
        <v>1.1499999999999999</v>
      </c>
    </row>
    <row r="14" spans="1:85" x14ac:dyDescent="0.25">
      <c r="A14" s="44" t="s">
        <v>1375</v>
      </c>
      <c r="B14" s="44"/>
      <c r="C14" s="44"/>
      <c r="D14" s="44"/>
      <c r="E14" s="44"/>
      <c r="G14" s="4651"/>
      <c r="H14" s="4651"/>
      <c r="I14" s="4651"/>
      <c r="J14" s="4651"/>
      <c r="K14" s="4651"/>
      <c r="L14" s="4651"/>
      <c r="M14" s="4651"/>
      <c r="N14" s="4651"/>
      <c r="O14" s="4651"/>
      <c r="P14" s="4651"/>
      <c r="Q14" s="4651"/>
      <c r="R14" s="4651"/>
      <c r="S14" s="4651"/>
      <c r="T14" s="4651"/>
      <c r="U14" s="4651"/>
      <c r="V14" s="4651"/>
      <c r="W14" s="4651"/>
      <c r="X14" s="4651"/>
      <c r="Y14" s="4651"/>
      <c r="Z14" s="4651"/>
      <c r="AA14" s="4651"/>
      <c r="AB14" s="4651"/>
      <c r="AC14" s="4651"/>
      <c r="AD14" s="4651"/>
      <c r="AE14" s="4651"/>
      <c r="AF14" s="4651"/>
      <c r="AG14" s="4651"/>
      <c r="AH14" s="4651"/>
      <c r="AI14" s="4651"/>
      <c r="AJ14" s="4651"/>
      <c r="AK14" s="4651"/>
      <c r="AL14" s="4651"/>
      <c r="AM14" s="4651"/>
      <c r="AN14" s="4651"/>
      <c r="AO14" s="4651"/>
      <c r="AP14" s="4651"/>
      <c r="AQ14" s="4651"/>
      <c r="AR14" s="4651"/>
      <c r="AS14" s="4651"/>
      <c r="AT14" s="4651"/>
      <c r="AU14" s="4651"/>
      <c r="AV14" s="4651"/>
      <c r="AW14" s="4651"/>
      <c r="AX14" s="4651"/>
      <c r="AY14" s="4651"/>
      <c r="AZ14" s="4651"/>
      <c r="BA14" s="4651"/>
      <c r="BB14" s="4651"/>
      <c r="BC14" s="4651"/>
      <c r="BD14" s="4651"/>
      <c r="BE14" s="4651"/>
      <c r="BF14" s="4651"/>
      <c r="BG14" s="4651"/>
      <c r="BH14" s="4651"/>
      <c r="BI14" s="4651"/>
      <c r="BJ14" s="4651"/>
      <c r="BK14" s="4651"/>
      <c r="BL14" s="4651"/>
      <c r="BM14" s="4651"/>
      <c r="BN14" s="4651"/>
      <c r="BO14" s="4651"/>
      <c r="BP14" s="4651"/>
      <c r="BQ14" s="4651"/>
      <c r="BR14" s="4651"/>
      <c r="BS14" s="4651"/>
      <c r="BT14" s="4651"/>
      <c r="BU14" s="4651"/>
      <c r="BV14" s="4651"/>
      <c r="BW14" s="4651"/>
      <c r="BX14" s="4651"/>
      <c r="BY14" s="4651"/>
      <c r="BZ14" s="4651"/>
      <c r="CA14" s="4651"/>
      <c r="CB14" s="4651"/>
      <c r="CC14" s="4651"/>
      <c r="CD14" s="4651"/>
      <c r="CE14" s="4651"/>
      <c r="CF14" s="4651"/>
      <c r="CG14" s="4651"/>
    </row>
    <row r="15" spans="1:85" x14ac:dyDescent="0.25">
      <c r="A15" s="4652" t="s">
        <v>1383</v>
      </c>
      <c r="B15">
        <v>1.28</v>
      </c>
      <c r="C15">
        <v>0.79</v>
      </c>
    </row>
    <row r="16" spans="1:85" x14ac:dyDescent="0.25">
      <c r="A16" s="619" t="s">
        <v>1394</v>
      </c>
      <c r="B16" s="619"/>
      <c r="C16" s="619"/>
      <c r="D16" s="619"/>
      <c r="E16" s="619"/>
      <c r="G16" s="4808"/>
      <c r="H16" s="4808"/>
      <c r="I16" s="4808"/>
      <c r="J16" s="4808"/>
      <c r="K16" s="4808"/>
      <c r="L16" s="4808"/>
      <c r="M16" s="4808"/>
      <c r="N16" s="4808"/>
      <c r="O16" s="4808"/>
      <c r="P16" s="4808"/>
      <c r="Q16" s="4808"/>
      <c r="R16" s="4808"/>
      <c r="S16" s="4808"/>
      <c r="T16" s="4808"/>
      <c r="U16" s="4808"/>
      <c r="V16" s="4808"/>
      <c r="W16" s="4808"/>
      <c r="X16" s="4808"/>
      <c r="Y16" s="4808"/>
      <c r="Z16" s="4808"/>
      <c r="AA16" s="4808"/>
      <c r="AB16" s="4808"/>
      <c r="AC16" s="4808"/>
      <c r="AD16" s="4808"/>
      <c r="AE16" s="4808"/>
      <c r="AF16" s="4808"/>
      <c r="AG16" s="4808"/>
      <c r="AH16" s="4808"/>
      <c r="AI16" s="4808"/>
      <c r="AJ16" s="4808"/>
      <c r="AK16" s="4808"/>
      <c r="AL16" s="4808"/>
      <c r="AM16" s="4808"/>
      <c r="AN16" s="4808"/>
      <c r="AO16" s="4808"/>
      <c r="AP16" s="4808"/>
      <c r="AQ16" s="4808"/>
      <c r="AR16" s="4808"/>
      <c r="AS16" s="4808"/>
      <c r="AT16" s="4808"/>
      <c r="AU16" s="4808"/>
      <c r="AV16" s="4808"/>
      <c r="AW16" s="4808"/>
      <c r="AX16" s="4808"/>
      <c r="AY16" s="4808"/>
      <c r="AZ16" s="4808"/>
      <c r="BA16" s="4808"/>
      <c r="BB16" s="4808"/>
      <c r="BC16" s="4808"/>
      <c r="BD16" s="4808"/>
      <c r="BE16" s="4808"/>
      <c r="BF16" s="4808"/>
      <c r="BG16" s="4808"/>
      <c r="BH16" s="4808"/>
      <c r="BI16" s="4808"/>
      <c r="BJ16" s="4808"/>
      <c r="BK16" s="4808"/>
      <c r="BL16" s="4808"/>
      <c r="BM16" s="4808"/>
      <c r="BN16" s="4808"/>
      <c r="BO16" s="4808"/>
      <c r="BP16" s="4808"/>
      <c r="BQ16" s="4808"/>
      <c r="BR16" s="4808"/>
      <c r="BS16" s="4808"/>
      <c r="BT16" s="4808"/>
      <c r="BU16" s="4808"/>
      <c r="BV16" s="4808"/>
      <c r="BW16" s="4808"/>
      <c r="BX16" s="4808"/>
      <c r="BY16" s="4808"/>
      <c r="BZ16" s="4808"/>
      <c r="CA16" s="4808"/>
      <c r="CB16" s="4808"/>
      <c r="CC16" s="4808"/>
      <c r="CD16" s="4808"/>
      <c r="CE16" s="4808"/>
      <c r="CF16" s="4808"/>
      <c r="CG16" s="4808"/>
    </row>
    <row r="17" spans="1:83" x14ac:dyDescent="0.25">
      <c r="A17" s="4809" t="s">
        <v>1395</v>
      </c>
      <c r="B17">
        <v>0.98</v>
      </c>
      <c r="C17">
        <v>1.1000000000000001</v>
      </c>
    </row>
    <row r="18" spans="1:83" x14ac:dyDescent="0.25">
      <c r="A18" s="4810" t="s">
        <v>1397</v>
      </c>
      <c r="B18">
        <v>0.56000000000000005</v>
      </c>
      <c r="C18">
        <v>0.79</v>
      </c>
    </row>
    <row r="19" spans="1:83" x14ac:dyDescent="0.25">
      <c r="A19" s="619" t="s">
        <v>1454</v>
      </c>
      <c r="B19" s="619"/>
      <c r="C19" s="619"/>
      <c r="D19" s="619"/>
      <c r="E19" s="619"/>
      <c r="F19" s="5648"/>
      <c r="G19" s="5648"/>
      <c r="H19" s="5648"/>
      <c r="I19" s="5648"/>
      <c r="J19" s="5648"/>
      <c r="K19" s="5648"/>
      <c r="L19" s="5648"/>
      <c r="M19" s="5648"/>
      <c r="N19" s="5648"/>
      <c r="O19" s="5648"/>
      <c r="P19" s="5648"/>
      <c r="Q19" s="5648"/>
      <c r="R19" s="5648"/>
      <c r="S19" s="5648"/>
      <c r="T19" s="5648"/>
      <c r="U19" s="5648"/>
      <c r="V19" s="5648"/>
      <c r="W19" s="5648"/>
      <c r="X19" s="5648"/>
      <c r="Y19" s="5648"/>
      <c r="Z19" s="5648"/>
      <c r="AA19" s="5648"/>
      <c r="AB19" s="5648"/>
      <c r="AC19" s="5648"/>
      <c r="AD19" s="5648"/>
      <c r="AE19" s="5648"/>
      <c r="AF19" s="5648"/>
      <c r="AG19" s="5648"/>
      <c r="AH19" s="5648"/>
      <c r="AI19" s="5648"/>
      <c r="AJ19" s="5648"/>
      <c r="AK19" s="5648"/>
      <c r="AL19" s="5648"/>
      <c r="AM19" s="5648"/>
      <c r="AN19" s="5648"/>
      <c r="AO19" s="5648"/>
      <c r="AP19" s="5648"/>
      <c r="AQ19" s="5648"/>
      <c r="AR19" s="5648"/>
      <c r="AS19" s="5648"/>
      <c r="AT19" s="5648"/>
      <c r="AU19" s="5648"/>
      <c r="AV19" s="5648"/>
      <c r="AW19" s="5648"/>
      <c r="AX19" s="5648"/>
      <c r="AY19" s="5648"/>
      <c r="AZ19" s="5648"/>
      <c r="BA19" s="5648"/>
      <c r="BB19" s="5648"/>
      <c r="BC19" s="5648"/>
      <c r="BD19" s="5648"/>
      <c r="BE19" s="5648"/>
      <c r="BF19" s="5648"/>
      <c r="BG19" s="5648"/>
      <c r="BH19" s="5648"/>
      <c r="BI19" s="5648"/>
      <c r="BJ19" s="5648"/>
      <c r="BK19" s="5648"/>
      <c r="BL19" s="5648"/>
      <c r="BM19" s="5648"/>
      <c r="BN19" s="5648"/>
      <c r="BO19" s="5648"/>
      <c r="BP19" s="5648"/>
      <c r="BQ19" s="5648"/>
      <c r="BR19" s="5648"/>
      <c r="BS19" s="5648"/>
      <c r="BT19" s="5648"/>
      <c r="BU19" s="5648"/>
      <c r="BV19" s="5648"/>
      <c r="BW19" s="5648"/>
      <c r="BX19" s="5648"/>
      <c r="BY19" s="5648"/>
      <c r="BZ19" s="5648"/>
      <c r="CA19" s="5648"/>
      <c r="CB19" s="5648"/>
      <c r="CC19" s="5648"/>
      <c r="CD19" s="5648"/>
      <c r="CE19" s="5648"/>
    </row>
    <row r="20" spans="1:83" x14ac:dyDescent="0.25">
      <c r="A20" s="5649" t="s">
        <v>722</v>
      </c>
      <c r="B20">
        <v>0.6</v>
      </c>
      <c r="C20">
        <v>1.08</v>
      </c>
    </row>
    <row r="21" spans="1:83" x14ac:dyDescent="0.25">
      <c r="B21">
        <f>AVERAGE(B3:B20)</f>
        <v>0.97230769230769221</v>
      </c>
      <c r="C21" s="4150">
        <f t="shared" ref="C21:E21" si="7">AVERAGE(C3:C20)</f>
        <v>1.0316666666666667</v>
      </c>
      <c r="D21" s="4150" t="e">
        <f t="shared" si="7"/>
        <v>#DIV/0!</v>
      </c>
      <c r="E21" s="4150">
        <f t="shared" si="7"/>
        <v>1.35</v>
      </c>
    </row>
  </sheetData>
  <mergeCells count="14">
    <mergeCell ref="L5:O5"/>
    <mergeCell ref="H5:K5"/>
    <mergeCell ref="T5:W5"/>
    <mergeCell ref="X5:AA5"/>
    <mergeCell ref="H3:K3"/>
    <mergeCell ref="L3:O3"/>
    <mergeCell ref="P3:S3"/>
    <mergeCell ref="T3:W3"/>
    <mergeCell ref="X3:AA3"/>
    <mergeCell ref="AB3:AE3"/>
    <mergeCell ref="AB5:AE5"/>
    <mergeCell ref="AF5:AI5"/>
    <mergeCell ref="AF3:AI3"/>
    <mergeCell ref="P5:S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2026-04-19T13:02:51Z</dcterms:modified>
</cp:coreProperties>
</file>