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FD0BC7D1-9E6D-454B-B5D8-C79E0552D0AD}" xr6:coauthVersionLast="45" xr6:coauthVersionMax="47" xr10:uidLastSave="{00000000-0000-0000-0000-000000000000}"/>
  <bookViews>
    <workbookView xWindow="-120" yWindow="-120" windowWidth="29040" windowHeight="1572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5" i="13" l="1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C230" i="12"/>
  <c r="B230" i="12"/>
  <c r="EG2" i="14"/>
  <c r="EH2" i="14"/>
  <c r="EI2" i="14"/>
  <c r="EJ2" i="14"/>
  <c r="EK2" i="14"/>
  <c r="EF2" i="14"/>
  <c r="EA5" i="14"/>
  <c r="EB5" i="14"/>
  <c r="EC5" i="14"/>
  <c r="ED5" i="14"/>
  <c r="EE5" i="14"/>
  <c r="DZ5" i="14"/>
  <c r="CP5" i="13"/>
  <c r="AO4" i="12"/>
  <c r="AP4" i="12"/>
  <c r="AQ4" i="12"/>
  <c r="AN4" i="12"/>
  <c r="AC4" i="12"/>
  <c r="AD4" i="12"/>
  <c r="AE4" i="12"/>
  <c r="AB4" i="12"/>
  <c r="AN5" i="12" l="1"/>
  <c r="EF3" i="14" l="1"/>
  <c r="DZ6" i="14"/>
  <c r="DC5" i="14" l="1"/>
  <c r="DD5" i="14"/>
  <c r="DE5" i="14"/>
  <c r="DF5" i="14"/>
  <c r="DG5" i="14"/>
  <c r="DB5" i="14"/>
  <c r="DO5" i="14"/>
  <c r="DP5" i="14"/>
  <c r="DQ5" i="14"/>
  <c r="DR5" i="14"/>
  <c r="DS5" i="14"/>
  <c r="DN5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G4" i="15" l="1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U2" i="14"/>
  <c r="DV2" i="14"/>
  <c r="DW2" i="14"/>
  <c r="DX2" i="14"/>
  <c r="DY2" i="14"/>
  <c r="DT2" i="14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2" i="14"/>
  <c r="DC2" i="14"/>
  <c r="DD2" i="14"/>
  <c r="DE2" i="14"/>
  <c r="DF2" i="14"/>
  <c r="DG2" i="14"/>
  <c r="DB2" i="14"/>
  <c r="CW5" i="14"/>
  <c r="CX5" i="14"/>
  <c r="CY5" i="14"/>
  <c r="CZ5" i="14"/>
  <c r="DA5" i="14"/>
  <c r="CV5" i="14"/>
  <c r="CW2" i="14"/>
  <c r="CX2" i="14"/>
  <c r="CY2" i="14"/>
  <c r="CZ2" i="14"/>
  <c r="DA2" i="14"/>
  <c r="CV2" i="14"/>
  <c r="CQ2" i="14"/>
  <c r="CR2" i="14"/>
  <c r="CS2" i="14"/>
  <c r="CT2" i="14"/>
  <c r="CU2" i="14"/>
  <c r="CP2" i="14"/>
  <c r="CQ5" i="14"/>
  <c r="CR5" i="14"/>
  <c r="CS5" i="14"/>
  <c r="CT5" i="14"/>
  <c r="CU5" i="14"/>
  <c r="CP5" i="14"/>
  <c r="M4" i="12"/>
  <c r="L4" i="12"/>
  <c r="I4" i="12"/>
  <c r="H4" i="12"/>
  <c r="J4" i="12" l="1"/>
  <c r="K4" i="12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AJ5" i="12" l="1"/>
  <c r="AF5" i="12"/>
  <c r="DZ3" i="14"/>
  <c r="DT6" i="14" l="1"/>
  <c r="DN6" i="14"/>
  <c r="Y4" i="12" l="1"/>
  <c r="Z4" i="12"/>
  <c r="AA4" i="12"/>
  <c r="DH3" i="14" l="1"/>
  <c r="CP3" i="14"/>
  <c r="CJ3" i="14" l="1"/>
  <c r="CJ6" i="14" l="1"/>
  <c r="DT3" i="14" l="1"/>
  <c r="X5" i="12"/>
  <c r="DH6" i="14"/>
  <c r="DB6" i="14"/>
  <c r="CV6" i="14"/>
  <c r="CP6" i="14"/>
  <c r="DN3" i="14"/>
  <c r="DB3" i="14"/>
  <c r="CV3" i="14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P5" i="12"/>
  <c r="T5" i="12"/>
  <c r="L5" i="12"/>
  <c r="H5" i="12"/>
  <c r="AB5" i="12"/>
  <c r="B44" i="7"/>
  <c r="C4" i="2"/>
  <c r="C44" i="7"/>
  <c r="D44" i="7"/>
  <c r="F44" i="7"/>
  <c r="E44" i="7"/>
  <c r="E230" i="12"/>
  <c r="D230" i="12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C105" i="13"/>
  <c r="B105" i="13"/>
  <c r="CG265" i="14"/>
  <c r="CF265" i="14"/>
  <c r="CE265" i="14"/>
  <c r="CD265" i="14"/>
  <c r="CC265" i="14"/>
  <c r="CB265" i="14"/>
  <c r="CA265" i="14"/>
  <c r="BZ265" i="14"/>
  <c r="BY265" i="14"/>
  <c r="BX265" i="14"/>
  <c r="BW265" i="14"/>
  <c r="BV265" i="14"/>
  <c r="BU265" i="14"/>
  <c r="BT265" i="14"/>
  <c r="BS265" i="14"/>
  <c r="BR265" i="14"/>
  <c r="BQ265" i="14"/>
  <c r="BP265" i="14"/>
  <c r="BO265" i="14"/>
  <c r="BN265" i="14"/>
  <c r="BM265" i="14"/>
  <c r="BL265" i="14"/>
  <c r="BK265" i="14"/>
  <c r="BJ265" i="14"/>
  <c r="BI265" i="14"/>
  <c r="BH265" i="14"/>
  <c r="BG265" i="14"/>
  <c r="BF265" i="14"/>
  <c r="BE265" i="14"/>
  <c r="BD265" i="14"/>
  <c r="BC265" i="14"/>
  <c r="BB265" i="14"/>
  <c r="BA265" i="14"/>
  <c r="AZ265" i="14"/>
  <c r="AY265" i="14"/>
  <c r="AX265" i="14"/>
  <c r="AW265" i="14"/>
  <c r="AV265" i="14"/>
  <c r="AU265" i="14"/>
  <c r="AT265" i="14"/>
  <c r="AS265" i="14"/>
  <c r="AR265" i="14"/>
  <c r="AQ265" i="14"/>
  <c r="AP265" i="14"/>
  <c r="AO265" i="14"/>
  <c r="AN265" i="14"/>
  <c r="AM265" i="14"/>
  <c r="AL265" i="14"/>
  <c r="AK265" i="14"/>
  <c r="AJ265" i="14"/>
  <c r="AI265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B265" i="14"/>
</calcChain>
</file>

<file path=xl/sharedStrings.xml><?xml version="1.0" encoding="utf-8"?>
<sst xmlns="http://schemas.openxmlformats.org/spreadsheetml/2006/main" count="2394" uniqueCount="1241">
  <si>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</si>
  <si>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</si>
  <si>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</si>
  <si>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</si>
  <si>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</si>
  <si>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</si>
  <si>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</si>
  <si>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</si>
  <si>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</si>
  <si>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</si>
  <si>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</si>
  <si>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</si>
  <si>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</si>
  <si>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</si>
  <si>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</si>
  <si>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</si>
  <si>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</si>
  <si>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</si>
  <si>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</si>
  <si>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</si>
  <si>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</si>
  <si>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</si>
  <si>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</si>
  <si>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</si>
  <si>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</si>
  <si>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</si>
  <si>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</si>
  <si>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</si>
  <si>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</si>
  <si>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</si>
  <si>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</si>
  <si>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</si>
  <si>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</si>
  <si>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</si>
  <si>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</si>
  <si>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</si>
  <si>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</si>
  <si>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</si>
  <si>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</si>
  <si>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</si>
  <si>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</si>
  <si>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</si>
  <si>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</si>
  <si>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</si>
  <si>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</si>
  <si>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</si>
  <si>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</si>
  <si>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</si>
  <si>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</si>
  <si>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</si>
  <si>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</si>
  <si>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</si>
  <si>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</si>
  <si>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</si>
  <si>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</si>
  <si>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</si>
  <si>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</si>
  <si>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</si>
  <si>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</si>
  <si>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</si>
  <si>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</si>
  <si>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</si>
  <si>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</si>
  <si>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</si>
  <si>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</si>
  <si>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</si>
  <si>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</si>
  <si>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</si>
  <si>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</si>
  <si>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</si>
  <si>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</si>
  <si>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</si>
  <si>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</si>
  <si>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</si>
  <si>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</si>
  <si>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</si>
  <si>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</si>
  <si>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</si>
  <si>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</si>
  <si>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</si>
  <si>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</si>
  <si>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</si>
  <si>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</si>
  <si>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</si>
  <si>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</si>
  <si>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</si>
  <si>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</si>
  <si>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</si>
  <si>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</si>
  <si>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</si>
  <si>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</si>
  <si>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</si>
  <si>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</si>
  <si>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</si>
  <si>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</si>
  <si>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</si>
  <si>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</si>
  <si>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</si>
  <si>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</si>
  <si>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</si>
  <si>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</si>
  <si>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</si>
  <si>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</si>
  <si>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</si>
  <si>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</si>
  <si>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</si>
  <si>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</si>
  <si>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</si>
  <si>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</si>
  <si>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</si>
  <si>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</si>
  <si>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</si>
  <si>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</si>
  <si>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</si>
  <si>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</si>
  <si>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</si>
  <si>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</si>
  <si>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</si>
  <si>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</si>
  <si>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</si>
  <si>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</si>
  <si>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</si>
  <si>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</si>
  <si>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</si>
  <si>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</si>
  <si>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</si>
  <si>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</si>
  <si>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</si>
  <si>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</si>
  <si>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</si>
  <si>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</si>
  <si>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</si>
  <si>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</si>
  <si>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</si>
  <si>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</si>
  <si>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</si>
  <si>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</si>
  <si>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</si>
  <si>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</si>
  <si>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</si>
  <si>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</si>
  <si>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</si>
  <si>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</si>
  <si>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</si>
  <si>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</si>
  <si>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</si>
  <si>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</si>
  <si>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</si>
  <si>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</si>
  <si>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</si>
  <si>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</si>
  <si>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</si>
  <si>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</si>
  <si>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</si>
  <si>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</si>
  <si>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</si>
  <si>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</si>
  <si>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</si>
  <si>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</si>
  <si>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</si>
  <si>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</si>
  <si>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</si>
  <si>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</si>
  <si>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</si>
  <si>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</si>
  <si>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</si>
  <si>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</si>
  <si>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</si>
  <si>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</si>
  <si>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</si>
  <si>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</si>
  <si>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</si>
  <si>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</si>
  <si>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</si>
  <si>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</si>
  <si>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</si>
  <si>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</si>
  <si>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</si>
  <si>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</si>
  <si>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</si>
  <si>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</si>
  <si>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</si>
  <si>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</si>
  <si>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</si>
  <si>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</si>
  <si>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</si>
  <si>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</si>
  <si>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</si>
  <si>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</si>
  <si>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</si>
  <si>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</si>
  <si>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</si>
  <si>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</si>
  <si>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</si>
  <si>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</si>
  <si>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</si>
  <si>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</si>
  <si>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</si>
  <si>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</si>
  <si>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</si>
  <si>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</si>
  <si>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</si>
  <si>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</si>
  <si>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</si>
  <si>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</si>
  <si>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</si>
  <si>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</si>
  <si>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</si>
  <si>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</si>
  <si>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</si>
  <si>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</si>
  <si>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</si>
  <si>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</si>
  <si>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</si>
  <si>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</si>
  <si>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</si>
  <si>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</si>
  <si>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</si>
  <si>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</si>
  <si>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</si>
  <si>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</si>
  <si>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</si>
  <si>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</si>
  <si>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</si>
  <si>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</si>
  <si>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</si>
  <si>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</si>
  <si>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</si>
  <si>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</si>
  <si>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</si>
  <si>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</si>
  <si>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</si>
  <si>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</si>
  <si>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</si>
  <si>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</si>
  <si>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</si>
  <si>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</si>
  <si>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</si>
  <si>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</si>
  <si>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</si>
  <si>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</si>
  <si>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</si>
  <si>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</si>
  <si>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</si>
  <si>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</si>
  <si>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</si>
  <si>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</si>
  <si>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</si>
  <si>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</si>
  <si>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</si>
  <si>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</si>
  <si>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</si>
  <si>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</si>
  <si>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</si>
  <si>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</si>
  <si>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</si>
  <si>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</si>
  <si>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</si>
  <si>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</si>
  <si>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</si>
  <si>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</si>
  <si>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</si>
  <si>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</si>
  <si>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</si>
  <si>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</si>
  <si>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</si>
  <si>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</si>
  <si>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</si>
  <si>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</si>
  <si>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</si>
  <si>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</si>
  <si>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</si>
  <si>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</si>
  <si>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</si>
  <si>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</si>
  <si>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</si>
  <si>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</si>
  <si>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</si>
  <si>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</si>
  <si>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</si>
  <si>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</si>
  <si>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</si>
  <si>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</si>
  <si>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</si>
  <si>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</si>
  <si>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</si>
  <si>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</si>
  <si>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</si>
  <si>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</si>
  <si>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</si>
  <si>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</si>
  <si>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</si>
  <si>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</si>
  <si>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</si>
  <si>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</si>
  <si>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</si>
  <si>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</si>
  <si>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</si>
  <si>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</si>
  <si>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</si>
  <si>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</si>
  <si>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</si>
  <si>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</si>
  <si>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</si>
  <si>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</si>
  <si>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</si>
  <si>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</si>
  <si>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</si>
  <si>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</si>
  <si>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</si>
  <si>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</si>
  <si>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</si>
  <si>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</si>
  <si>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</si>
  <si>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</si>
  <si>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</si>
  <si>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</si>
  <si>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</si>
  <si>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</si>
  <si>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</si>
  <si>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</si>
  <si>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</si>
  <si>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</si>
  <si>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</si>
  <si>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</si>
  <si>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</si>
  <si>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</si>
  <si>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</si>
  <si>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</si>
  <si>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</si>
  <si>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</si>
  <si>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</si>
  <si>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</si>
  <si>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</si>
  <si>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</si>
  <si>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</si>
  <si>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</si>
  <si>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</si>
  <si>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</si>
  <si>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</si>
  <si>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</si>
  <si>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</si>
  <si>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</si>
  <si>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</si>
  <si>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</si>
  <si>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</si>
  <si>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</si>
  <si>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</si>
  <si>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</si>
  <si>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</si>
  <si>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</si>
  <si>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</si>
  <si>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</si>
  <si>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</si>
  <si>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</si>
  <si>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</si>
  <si>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</si>
  <si>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</si>
  <si>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</si>
  <si>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</si>
  <si>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</si>
  <si>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</si>
  <si>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</si>
  <si>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</si>
  <si>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</si>
  <si>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</si>
  <si>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</si>
  <si>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</si>
  <si>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</si>
  <si>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</si>
  <si>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</si>
  <si>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</si>
  <si>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</si>
  <si>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</si>
  <si>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</si>
  <si>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</si>
  <si>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</si>
  <si>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</si>
  <si>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</si>
  <si>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</si>
  <si>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</si>
  <si>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</si>
  <si>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</si>
  <si>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</si>
  <si>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</si>
  <si>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</si>
  <si>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</si>
  <si>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</si>
  <si>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</si>
  <si>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</si>
  <si>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</si>
  <si>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</si>
  <si>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</si>
  <si>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</si>
  <si>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</si>
  <si>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</si>
  <si>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</si>
  <si>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</si>
  <si>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</si>
  <si>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</si>
  <si>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</si>
  <si>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</si>
  <si>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</si>
  <si>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</si>
  <si>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</si>
  <si>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</si>
  <si>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</si>
  <si>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</si>
  <si>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</si>
  <si>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</si>
  <si>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</si>
  <si>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</si>
  <si>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</si>
  <si>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</si>
  <si>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</si>
  <si>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</si>
  <si>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</si>
  <si>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</si>
  <si>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</si>
  <si>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</si>
  <si>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</si>
  <si>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</si>
  <si>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</si>
  <si>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</si>
  <si>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</si>
  <si>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</si>
  <si>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</si>
  <si>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</si>
  <si>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</si>
  <si>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</si>
  <si>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</si>
  <si>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</si>
  <si>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</si>
  <si>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</si>
  <si>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</si>
  <si>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</si>
  <si>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</si>
  <si>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</si>
  <si>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</si>
  <si>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</si>
  <si>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</si>
  <si>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</si>
  <si>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</si>
  <si>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</si>
  <si>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</si>
  <si>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</si>
  <si>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</si>
  <si>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</si>
  <si>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</si>
  <si>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</si>
  <si>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</si>
  <si>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</si>
  <si>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</si>
  <si>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</si>
  <si>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</si>
  <si>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</si>
  <si>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</si>
  <si>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</si>
  <si>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</si>
  <si>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</si>
  <si>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</si>
  <si>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</si>
  <si>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</si>
  <si>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</si>
  <si>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</si>
  <si>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</si>
  <si>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</si>
  <si>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</si>
  <si>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</si>
  <si>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</si>
  <si>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</si>
  <si>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</si>
  <si>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</si>
  <si>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</si>
  <si>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</si>
  <si>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</si>
  <si>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</si>
  <si>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</si>
  <si>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</si>
  <si>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</si>
  <si>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</si>
  <si>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</si>
  <si>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</si>
  <si>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</si>
  <si>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</si>
  <si>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</si>
  <si>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</si>
  <si>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</si>
  <si>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</si>
  <si>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</si>
  <si>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</si>
  <si>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</si>
  <si>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</si>
  <si>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</si>
  <si>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</si>
  <si>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</si>
  <si>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</si>
  <si>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</si>
  <si>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</si>
  <si>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</si>
  <si>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</si>
  <si>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</si>
  <si>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</si>
  <si>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</si>
  <si>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</si>
  <si>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</si>
  <si>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</si>
  <si>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</si>
  <si>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</si>
  <si>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</si>
  <si>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</si>
  <si>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</si>
  <si>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</si>
  <si>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</si>
  <si>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</si>
  <si>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</si>
  <si>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</si>
  <si>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</si>
  <si>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</si>
  <si>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</si>
  <si>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</si>
  <si>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</si>
  <si>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</si>
  <si>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</si>
  <si>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</si>
  <si>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</si>
  <si>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</si>
  <si>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</si>
  <si>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</si>
  <si>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</si>
  <si>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</si>
  <si>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</si>
  <si>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</si>
  <si>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</si>
  <si>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</si>
  <si>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</si>
  <si>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</si>
  <si>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</si>
  <si>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</si>
  <si>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</si>
  <si>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</si>
  <si>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</si>
  <si>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</si>
  <si>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</si>
  <si>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</si>
  <si>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</si>
  <si>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</si>
  <si>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</si>
  <si>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</si>
  <si>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</si>
  <si>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</si>
  <si>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</si>
  <si>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</si>
  <si>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</si>
  <si>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</si>
  <si>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</si>
  <si>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</si>
  <si>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</si>
  <si>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</si>
  <si>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</si>
  <si>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</si>
  <si>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</si>
  <si>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</si>
  <si>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</si>
  <si>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</si>
  <si>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</si>
  <si>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</si>
  <si>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</si>
  <si>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</si>
  <si>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</si>
  <si>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</si>
  <si>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</si>
  <si>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</si>
  <si>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</si>
  <si>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</si>
  <si>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</si>
  <si>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</si>
  <si>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</si>
  <si>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</si>
  <si>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</si>
  <si>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</si>
  <si>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</si>
  <si>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</si>
  <si>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</si>
  <si>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</si>
  <si>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</si>
  <si>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</si>
  <si>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</si>
  <si>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</si>
  <si>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</si>
  <si>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</si>
  <si>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</si>
  <si>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</si>
  <si>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</si>
  <si>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</si>
  <si>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</si>
  <si>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</si>
  <si>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</si>
  <si>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</si>
  <si>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</si>
  <si>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</si>
  <si>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</si>
  <si>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</si>
  <si>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</si>
  <si>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</si>
  <si>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</si>
  <si>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</si>
  <si>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</si>
  <si>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</si>
  <si>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</si>
  <si>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</si>
  <si>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</si>
  <si>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</si>
  <si>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</si>
  <si>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</si>
  <si>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</si>
  <si>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</si>
  <si>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</si>
  <si>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</si>
  <si>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</si>
  <si>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</si>
  <si>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</si>
  <si>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</si>
  <si>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</si>
  <si>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</si>
  <si>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</si>
  <si>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</si>
  <si>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</si>
  <si>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</si>
  <si>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</si>
  <si>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</si>
  <si>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</si>
  <si>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</si>
  <si>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</si>
  <si>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</si>
  <si>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</si>
  <si>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</si>
  <si>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</si>
  <si>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</si>
  <si>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</si>
  <si>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</si>
  <si>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</si>
  <si>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</si>
  <si>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</si>
  <si>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</si>
  <si>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</si>
  <si>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</si>
  <si>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</si>
  <si>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</si>
  <si>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</si>
  <si>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</si>
  <si>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</si>
  <si>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</si>
  <si>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</si>
  <si>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</si>
  <si>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</si>
  <si>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</si>
  <si>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</si>
  <si>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</si>
  <si>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</si>
  <si>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</si>
  <si>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</si>
  <si>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</si>
  <si>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</si>
  <si>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</si>
  <si>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</si>
  <si>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</si>
  <si>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</si>
  <si>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</si>
  <si>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</si>
  <si>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</si>
  <si>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</si>
  <si>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</si>
  <si>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</si>
  <si>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</si>
  <si>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</si>
  <si>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</si>
  <si>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</si>
  <si>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</si>
  <si>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</si>
  <si>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</si>
  <si>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</si>
  <si>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</si>
  <si>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</si>
  <si>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</si>
  <si>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</si>
  <si>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</si>
  <si>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</si>
  <si>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</si>
  <si>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</si>
  <si>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</si>
  <si>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</si>
  <si>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</si>
  <si>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</si>
  <si>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</si>
  <si>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</si>
  <si>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</si>
  <si>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</si>
  <si>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</si>
  <si>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</si>
  <si>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</si>
  <si>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</si>
  <si>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</si>
  <si>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</si>
  <si>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</si>
  <si>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</si>
  <si>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</si>
  <si>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</si>
  <si>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</si>
  <si>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</si>
  <si>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</si>
  <si>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</si>
  <si>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</si>
  <si>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</si>
  <si>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</si>
  <si>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</si>
  <si>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</si>
  <si>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</si>
  <si>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</si>
  <si>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</si>
  <si>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</si>
  <si>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</si>
  <si>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</si>
  <si>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</si>
  <si>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</si>
  <si>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</si>
  <si>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</si>
  <si>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</si>
  <si>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</si>
  <si>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</si>
  <si>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</si>
  <si>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</si>
  <si>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</si>
  <si>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</si>
  <si>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</si>
  <si>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</si>
  <si>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</si>
  <si>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</si>
  <si>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</si>
  <si>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</si>
  <si>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</si>
  <si>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</si>
  <si>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</si>
  <si>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</si>
  <si>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</si>
  <si>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</si>
  <si>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</si>
  <si>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</si>
  <si>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</si>
  <si>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</si>
  <si>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</si>
  <si>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</si>
  <si>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</si>
  <si>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</si>
  <si>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</si>
  <si>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</si>
  <si>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</si>
  <si>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</si>
  <si>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</si>
  <si>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</si>
  <si>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</si>
  <si>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</si>
  <si>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</si>
  <si>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</si>
  <si>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</si>
  <si>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</si>
  <si>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</si>
  <si>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</si>
  <si>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</si>
  <si>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</si>
  <si>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</si>
  <si>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</si>
  <si>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</si>
  <si>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</si>
  <si>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</si>
  <si>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</si>
  <si>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</si>
  <si>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</si>
  <si>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</si>
  <si>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</si>
  <si>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</si>
  <si>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</si>
  <si>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</si>
  <si>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</si>
  <si>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</si>
  <si>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</si>
  <si>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</si>
  <si>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</si>
  <si>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</si>
  <si>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</si>
  <si>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</si>
  <si>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</si>
  <si>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</si>
  <si>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</si>
  <si>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</si>
  <si>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</si>
  <si>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</si>
  <si>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</si>
  <si>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</si>
  <si>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</si>
  <si>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</si>
  <si>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</si>
  <si>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</si>
  <si>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</si>
  <si>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</si>
  <si>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</si>
  <si>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</si>
  <si>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</si>
  <si>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</si>
  <si>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</si>
  <si>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</si>
  <si>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</si>
  <si>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</si>
  <si>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</si>
  <si>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</si>
  <si>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</si>
  <si>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</si>
  <si>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</si>
  <si>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</si>
  <si>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</si>
  <si>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</si>
  <si>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</si>
  <si>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</si>
  <si>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</si>
  <si>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</si>
  <si>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</si>
  <si>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</si>
  <si>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</si>
  <si>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</si>
  <si>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</si>
  <si>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</si>
  <si>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</si>
  <si>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</si>
  <si>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</si>
  <si>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</si>
  <si>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</si>
  <si>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</si>
  <si>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</si>
  <si>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</si>
  <si>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</si>
  <si>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</si>
  <si>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</si>
  <si>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</si>
  <si>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</si>
  <si>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</si>
  <si>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</si>
  <si>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</si>
  <si>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</si>
  <si>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</si>
  <si>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</si>
  <si>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</si>
  <si>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</si>
  <si>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</si>
  <si>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</si>
  <si>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</si>
  <si>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</si>
  <si>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</si>
  <si>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</si>
  <si>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</si>
  <si>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</si>
  <si>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</si>
  <si>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</si>
  <si>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</si>
  <si>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</si>
  <si>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</si>
  <si>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</si>
  <si>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</si>
  <si>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</si>
  <si>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</si>
  <si>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</si>
  <si>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</si>
  <si>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</si>
  <si>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</si>
  <si>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</si>
  <si>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</si>
  <si>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</si>
  <si>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</si>
  <si>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</si>
  <si>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</si>
  <si>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</si>
  <si>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</si>
  <si>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</si>
  <si>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</si>
  <si>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</si>
  <si>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</si>
  <si>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</si>
  <si>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</si>
  <si>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</si>
  <si>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</si>
  <si>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</si>
  <si>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</si>
  <si>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</si>
  <si>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</si>
  <si>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</si>
  <si>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</si>
  <si>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</si>
  <si>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</si>
  <si>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</si>
  <si>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</si>
  <si>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</si>
  <si>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</si>
  <si>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</si>
  <si>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</si>
  <si>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</si>
  <si>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</si>
  <si>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</si>
  <si>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</si>
  <si>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</si>
  <si>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</si>
  <si>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</si>
  <si>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</si>
  <si>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</si>
  <si>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</si>
  <si>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</si>
  <si>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</si>
  <si>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</si>
  <si>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</si>
  <si>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</si>
  <si>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</si>
  <si>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</si>
  <si>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</si>
  <si>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</si>
  <si>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</si>
  <si>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</si>
  <si>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</si>
  <si>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</si>
  <si>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</si>
  <si>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</si>
  <si>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</si>
  <si>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</si>
  <si>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</si>
  <si>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</si>
  <si>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</si>
  <si>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</si>
  <si>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</si>
  <si>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</si>
  <si>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</si>
  <si>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</si>
  <si>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</si>
  <si>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</si>
  <si>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</si>
  <si>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</si>
  <si>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</si>
  <si>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</si>
  <si>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</si>
  <si>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</si>
  <si>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</si>
  <si>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</si>
  <si>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</si>
  <si>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</si>
  <si>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</si>
  <si>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</si>
  <si>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</si>
  <si>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</si>
  <si>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</si>
  <si>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</si>
  <si>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</si>
  <si>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</si>
  <si>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</si>
  <si>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</si>
  <si>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</si>
  <si>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</si>
  <si>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</si>
  <si>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</si>
  <si>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</si>
  <si>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</si>
  <si>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</si>
  <si>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</si>
  <si>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</si>
  <si>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</si>
  <si>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</si>
  <si>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</si>
  <si>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</si>
  <si>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</si>
  <si>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</si>
  <si>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</si>
  <si>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</si>
  <si>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</si>
  <si>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</si>
  <si>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</si>
  <si>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</si>
  <si>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</si>
  <si>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</si>
  <si>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</si>
  <si>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</si>
  <si>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</si>
  <si>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</si>
  <si>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</si>
  <si>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</si>
  <si>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</si>
  <si>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</si>
  <si>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</si>
  <si>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</si>
  <si>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</si>
  <si>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</si>
  <si>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</si>
  <si>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</si>
  <si>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</si>
  <si>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</si>
  <si>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</si>
  <si>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</si>
  <si>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</si>
  <si>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</si>
  <si>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</si>
  <si>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</si>
  <si>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</si>
  <si>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</si>
  <si>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</si>
  <si>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</si>
  <si>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</si>
  <si>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</si>
  <si>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</si>
  <si>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</si>
  <si>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</si>
  <si>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</si>
  <si>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</si>
  <si>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</si>
  <si>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</si>
  <si>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</si>
  <si>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</si>
  <si>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</si>
  <si>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</si>
  <si>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</si>
  <si>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</si>
  <si>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</si>
  <si>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</si>
  <si>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</si>
  <si>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</si>
  <si>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</si>
  <si>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</si>
  <si>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</si>
  <si>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</si>
  <si>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</si>
  <si>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</si>
  <si>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</si>
  <si>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</si>
  <si>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</si>
  <si>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</si>
  <si>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</si>
  <si>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</si>
  <si>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</si>
  <si>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</si>
  <si>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</si>
  <si>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</si>
  <si>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</si>
  <si>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</si>
  <si>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</si>
  <si>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</si>
  <si>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</si>
  <si>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</si>
  <si>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</si>
  <si>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</si>
  <si>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</si>
  <si>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</si>
  <si>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</si>
  <si>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</si>
  <si>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</si>
  <si>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</si>
  <si>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</si>
  <si>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</si>
  <si>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</si>
  <si>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</si>
  <si>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</si>
  <si>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</si>
  <si>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</si>
  <si>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</si>
  <si>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</si>
  <si>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</si>
  <si>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</si>
  <si>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</si>
  <si>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</si>
  <si>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</si>
  <si>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</si>
  <si>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</si>
  <si>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</si>
  <si>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</si>
  <si>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ANCIENT (8/3/3)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</si>
  <si>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</si>
  <si>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</si>
  <si>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</si>
  <si>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</si>
  <si>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</si>
  <si>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</si>
  <si>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</si>
  <si>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</si>
  <si>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</si>
  <si>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</si>
  <si>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</si>
  <si>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</si>
  <si>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</si>
  <si>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</si>
  <si>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</si>
  <si>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</si>
  <si>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TRAIN (7/4/2)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</si>
  <si>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</si>
  <si>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</si>
  <si>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</si>
  <si>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</si>
  <si>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</si>
  <si>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</si>
  <si>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</si>
  <si>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</si>
  <si>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</si>
  <si>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</si>
  <si>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</si>
  <si>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</si>
  <si>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</si>
  <si>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</si>
  <si>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</si>
  <si>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</si>
  <si>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</si>
  <si>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</si>
  <si>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</si>
  <si>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</si>
  <si>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OVERPASS (28)</t>
  </si>
  <si>
    <t>MIRAGE (1/0/0)</t>
  </si>
  <si>
    <t>24.09.2025</t>
  </si>
  <si>
    <t>170 map (over)</t>
  </si>
  <si>
    <t>171 map (over)</t>
  </si>
  <si>
    <t>OVERPASS (3/4/0)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</si>
  <si>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</si>
  <si>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</si>
  <si>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</si>
  <si>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</si>
  <si>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</si>
  <si>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</si>
  <si>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</si>
  <si>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</si>
  <si>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</si>
  <si>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</si>
  <si>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</si>
  <si>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</si>
  <si>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</si>
  <si>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</si>
  <si>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</si>
  <si>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</si>
  <si>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</si>
  <si>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</si>
  <si>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</si>
  <si>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</si>
  <si>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</si>
  <si>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</si>
  <si>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</si>
  <si>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</si>
  <si>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nuke (43)</t>
  </si>
  <si>
    <t>191 map (roof)</t>
  </si>
  <si>
    <t>rooftop (1)</t>
  </si>
  <si>
    <t>192 map (inf)</t>
  </si>
  <si>
    <t>04.10.2025</t>
  </si>
  <si>
    <t>179 map (off)</t>
  </si>
  <si>
    <t>180 map (off)</t>
  </si>
  <si>
    <t>181 map (off)</t>
  </si>
  <si>
    <t>182 map (inf)</t>
  </si>
  <si>
    <t>INFERNO (7/3/0)</t>
  </si>
  <si>
    <t>183 map (dust)</t>
  </si>
  <si>
    <t>184 map (vert)</t>
  </si>
  <si>
    <t>185 map (gold)</t>
  </si>
  <si>
    <t>50 map (inf)</t>
  </si>
  <si>
    <t>51 map (mir)</t>
  </si>
  <si>
    <t>52 map (dust)</t>
  </si>
  <si>
    <t>vertigo (27)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</si>
  <si>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</si>
  <si>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</si>
  <si>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</si>
  <si>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</si>
  <si>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</si>
  <si>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</si>
  <si>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</si>
  <si>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MIRAGE (14/11/2)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</si>
  <si>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</si>
  <si>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</si>
  <si>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</si>
  <si>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</si>
  <si>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</si>
  <si>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</si>
  <si>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</si>
  <si>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</si>
  <si>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</si>
  <si>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</si>
  <si>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</si>
  <si>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inferno (50)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</si>
  <si>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</si>
  <si>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</si>
  <si>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</si>
  <si>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</si>
  <si>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</si>
  <si>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</si>
  <si>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</si>
  <si>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</si>
  <si>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</si>
  <si>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</si>
  <si>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</si>
  <si>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</si>
  <si>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</si>
  <si>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</si>
  <si>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</si>
  <si>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</si>
  <si>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</si>
  <si>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</si>
  <si>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</si>
  <si>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</si>
  <si>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</si>
  <si>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</si>
  <si>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NUKE (5/7/1)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</si>
  <si>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</si>
  <si>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</si>
  <si>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</si>
  <si>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</si>
  <si>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</si>
  <si>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</si>
  <si>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</si>
  <si>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TRAIN (1/3/0)</t>
  </si>
  <si>
    <t>206 map (off)</t>
  </si>
  <si>
    <t>207 map (off)</t>
  </si>
  <si>
    <t>208 map (anu)</t>
  </si>
  <si>
    <t>209 map (vert)</t>
  </si>
  <si>
    <t>VERTIGO (8/5/1)</t>
  </si>
  <si>
    <t>210 map (off)</t>
  </si>
  <si>
    <t>211 map (off)</t>
  </si>
  <si>
    <t>OFFICE (18/16/4)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</si>
  <si>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</si>
  <si>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</si>
  <si>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</si>
  <si>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</si>
  <si>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</si>
  <si>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</si>
  <si>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</si>
  <si>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</si>
  <si>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</si>
  <si>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</si>
  <si>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</si>
  <si>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</si>
  <si>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</si>
  <si>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</si>
  <si>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</si>
  <si>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</si>
  <si>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</si>
  <si>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</si>
  <si>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ANUBIS (11/8/0)</t>
  </si>
  <si>
    <t>214 map (dust)</t>
  </si>
  <si>
    <t>DUST (19/13/2)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</si>
</sst>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0" fillId="14" borderId="0" applyNumberFormat="0" applyBorder="0" applyAlignment="0" applyProtection="0"/>
    <xf numFmtId="0" fontId="6" fillId="17" borderId="2" applyNumberFormat="0" applyFont="0" applyAlignment="0" applyProtection="0"/>
    <xf numFmtId="0" fontId="21" fillId="15" borderId="0" applyNumberFormat="0" applyBorder="0" applyAlignment="0" applyProtection="0"/>
    <xf numFmtId="0" fontId="22" fillId="16" borderId="0" applyNumberFormat="0" applyBorder="0" applyAlignment="0" applyProtection="0"/>
  </cellStyleXfs>
  <cellXfs count="2952">
    <xf numFmtId="0" fontId="0" fillId="0" borderId="0" xfId="0"/>
    <xf numFmtId="0" fontId="6" fillId="0" borderId="0" xfId="0" applyFont="1"/>
    <xf numFmtId="0" fontId="7" fillId="2" borderId="1" xfId="0" applyFont="1" applyFill="1" applyBorder="1"/>
    <xf numFmtId="0" fontId="7" fillId="2" borderId="2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9" fillId="4" borderId="1" xfId="0" applyFont="1" applyFill="1" applyBorder="1"/>
    <xf numFmtId="0" fontId="9" fillId="4" borderId="2" xfId="0" applyFont="1" applyFill="1" applyBorder="1"/>
    <xf numFmtId="0" fontId="10" fillId="5" borderId="1" xfId="0" applyFont="1" applyFill="1" applyBorder="1"/>
    <xf numFmtId="0" fontId="10" fillId="5" borderId="2" xfId="0" applyFont="1" applyFill="1" applyBorder="1"/>
    <xf numFmtId="0" fontId="11" fillId="6" borderId="1" xfId="0" applyFont="1" applyFill="1" applyBorder="1"/>
    <xf numFmtId="0" fontId="11" fillId="6" borderId="2" xfId="0" applyFont="1" applyFill="1" applyBorder="1"/>
    <xf numFmtId="14" fontId="7" fillId="2" borderId="1" xfId="0" applyNumberFormat="1" applyFont="1" applyFill="1" applyBorder="1"/>
    <xf numFmtId="0" fontId="11" fillId="7" borderId="2" xfId="0" applyFont="1" applyFill="1" applyBorder="1"/>
    <xf numFmtId="14" fontId="9" fillId="4" borderId="1" xfId="0" applyNumberFormat="1" applyFont="1" applyFill="1" applyBorder="1"/>
    <xf numFmtId="14" fontId="8" fillId="3" borderId="1" xfId="0" applyNumberFormat="1" applyFont="1" applyFill="1" applyBorder="1"/>
    <xf numFmtId="2" fontId="11" fillId="0" borderId="0" xfId="0" applyNumberFormat="1" applyFont="1"/>
    <xf numFmtId="14" fontId="11" fillId="0" borderId="0" xfId="0" applyNumberFormat="1" applyFont="1"/>
    <xf numFmtId="14" fontId="10" fillId="8" borderId="1" xfId="0" applyNumberFormat="1" applyFont="1" applyFill="1" applyBorder="1"/>
    <xf numFmtId="0" fontId="10" fillId="8" borderId="1" xfId="0" applyFont="1" applyFill="1" applyBorder="1"/>
    <xf numFmtId="49" fontId="11" fillId="0" borderId="0" xfId="0" applyNumberFormat="1" applyFont="1"/>
    <xf numFmtId="49" fontId="8" fillId="3" borderId="1" xfId="0" applyNumberFormat="1" applyFont="1" applyFill="1" applyBorder="1"/>
    <xf numFmtId="49" fontId="7" fillId="2" borderId="1" xfId="0" applyNumberFormat="1" applyFont="1" applyFill="1" applyBorder="1"/>
    <xf numFmtId="49" fontId="9" fillId="4" borderId="1" xfId="0" applyNumberFormat="1" applyFont="1" applyFill="1" applyBorder="1"/>
    <xf numFmtId="0" fontId="11" fillId="0" borderId="0" xfId="0" applyFont="1"/>
    <xf numFmtId="2" fontId="7" fillId="2" borderId="1" xfId="0" applyNumberFormat="1" applyFont="1" applyFill="1" applyBorder="1"/>
    <xf numFmtId="2" fontId="8" fillId="3" borderId="1" xfId="0" applyNumberFormat="1" applyFont="1" applyFill="1" applyBorder="1"/>
    <xf numFmtId="2" fontId="9" fillId="4" borderId="1" xfId="0" applyNumberFormat="1" applyFont="1" applyFill="1" applyBorder="1"/>
    <xf numFmtId="2" fontId="10" fillId="5" borderId="1" xfId="0" applyNumberFormat="1" applyFont="1" applyFill="1" applyBorder="1"/>
    <xf numFmtId="2" fontId="11" fillId="9" borderId="1" xfId="0" applyNumberFormat="1" applyFont="1" applyFill="1" applyBorder="1"/>
    <xf numFmtId="0" fontId="13" fillId="10" borderId="16" xfId="0" applyFont="1" applyFill="1" applyBorder="1"/>
    <xf numFmtId="0" fontId="11" fillId="11" borderId="1" xfId="0" applyFont="1" applyFill="1" applyBorder="1"/>
    <xf numFmtId="0" fontId="14" fillId="0" borderId="17" xfId="0" applyFont="1" applyBorder="1"/>
    <xf numFmtId="0" fontId="15" fillId="10" borderId="18" xfId="0" applyFont="1" applyFill="1" applyBorder="1"/>
    <xf numFmtId="164" fontId="8" fillId="3" borderId="1" xfId="0" applyNumberFormat="1" applyFont="1" applyFill="1" applyBorder="1"/>
    <xf numFmtId="0" fontId="16" fillId="0" borderId="0" xfId="0" applyFont="1"/>
    <xf numFmtId="0" fontId="16" fillId="0" borderId="0" xfId="0" applyFont="1" applyAlignment="1">
      <alignment horizontal="right"/>
    </xf>
    <xf numFmtId="0" fontId="16" fillId="4" borderId="0" xfId="0" applyFont="1" applyFill="1"/>
    <xf numFmtId="0" fontId="16" fillId="2" borderId="0" xfId="0" applyFont="1" applyFill="1"/>
    <xf numFmtId="164" fontId="16" fillId="4" borderId="0" xfId="0" applyNumberFormat="1" applyFont="1" applyFill="1"/>
    <xf numFmtId="164" fontId="17" fillId="3" borderId="0" xfId="0" applyNumberFormat="1" applyFont="1" applyFill="1"/>
    <xf numFmtId="0" fontId="17" fillId="3" borderId="0" xfId="0" applyFont="1" applyFill="1"/>
    <xf numFmtId="0" fontId="16" fillId="3" borderId="0" xfId="0" applyFont="1" applyFill="1"/>
    <xf numFmtId="0" fontId="10" fillId="5" borderId="0" xfId="0" applyFont="1" applyFill="1"/>
    <xf numFmtId="164" fontId="16" fillId="2" borderId="0" xfId="0" applyNumberFormat="1" applyFont="1" applyFill="1"/>
    <xf numFmtId="0" fontId="8" fillId="2" borderId="1" xfId="0" applyFont="1" applyFill="1" applyBorder="1"/>
    <xf numFmtId="0" fontId="18" fillId="5" borderId="1" xfId="0" applyFont="1" applyFill="1" applyBorder="1"/>
    <xf numFmtId="0" fontId="7" fillId="2" borderId="0" xfId="0" applyFont="1" applyFill="1"/>
    <xf numFmtId="0" fontId="16" fillId="12" borderId="0" xfId="0" applyFont="1" applyFill="1"/>
    <xf numFmtId="0" fontId="16" fillId="12" borderId="2" xfId="0" applyFont="1" applyFill="1" applyBorder="1"/>
    <xf numFmtId="164" fontId="16" fillId="3" borderId="0" xfId="0" applyNumberFormat="1" applyFont="1" applyFill="1"/>
    <xf numFmtId="0" fontId="8" fillId="3" borderId="16" xfId="0" applyFont="1" applyFill="1" applyBorder="1"/>
    <xf numFmtId="0" fontId="16" fillId="7" borderId="2" xfId="0" applyFont="1" applyFill="1" applyBorder="1"/>
    <xf numFmtId="0" fontId="8" fillId="3" borderId="0" xfId="0" applyFont="1" applyFill="1"/>
    <xf numFmtId="0" fontId="7" fillId="2" borderId="0" xfId="0" applyFont="1" applyFill="1" applyAlignment="1">
      <alignment horizontal="right"/>
    </xf>
    <xf numFmtId="0" fontId="16" fillId="7" borderId="22" xfId="0" applyFont="1" applyFill="1" applyBorder="1" applyAlignment="1">
      <alignment horizontal="right"/>
    </xf>
    <xf numFmtId="0" fontId="8" fillId="3" borderId="0" xfId="0" applyFont="1" applyFill="1" applyAlignment="1">
      <alignment horizontal="right"/>
    </xf>
    <xf numFmtId="0" fontId="18" fillId="13" borderId="0" xfId="0" applyFont="1" applyFill="1"/>
    <xf numFmtId="0" fontId="9" fillId="4" borderId="0" xfId="0" applyFont="1" applyFill="1"/>
    <xf numFmtId="0" fontId="16" fillId="6" borderId="0" xfId="0" applyFont="1" applyFill="1"/>
    <xf numFmtId="0" fontId="16" fillId="7" borderId="22" xfId="0" applyFont="1" applyFill="1" applyBorder="1"/>
    <xf numFmtId="0" fontId="9" fillId="4" borderId="0" xfId="0" applyFont="1" applyFill="1" applyAlignment="1">
      <alignment horizontal="right"/>
    </xf>
    <xf numFmtId="0" fontId="16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0" fillId="14" borderId="0" xfId="1" applyAlignment="1"/>
    <xf numFmtId="0" fontId="16" fillId="17" borderId="2" xfId="2" applyFont="1" applyAlignment="1"/>
    <xf numFmtId="0" fontId="21" fillId="15" borderId="0" xfId="3" applyAlignment="1"/>
    <xf numFmtId="0" fontId="5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4" fillId="21" borderId="24" xfId="0" applyFont="1" applyFill="1" applyBorder="1" applyAlignment="1">
      <alignment wrapText="1"/>
    </xf>
    <xf numFmtId="0" fontId="4" fillId="22" borderId="24" xfId="0" applyFont="1" applyFill="1" applyBorder="1" applyAlignment="1">
      <alignment wrapText="1"/>
    </xf>
    <xf numFmtId="0" fontId="4" fillId="23" borderId="24" xfId="0" applyFont="1" applyFill="1" applyBorder="1" applyAlignment="1">
      <alignment wrapText="1"/>
    </xf>
    <xf numFmtId="14" fontId="4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2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2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2" fillId="16" borderId="0" xfId="0" applyFont="1" applyFill="1"/>
    <xf numFmtId="0" fontId="2" fillId="15" borderId="0" xfId="0" applyFont="1" applyFill="1"/>
    <xf numFmtId="0" fontId="2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7" fillId="2" borderId="3" xfId="0" applyFont="1" applyFill="1" applyBorder="1" applyAlignment="1">
      <alignment horizontal="center"/>
    </xf>
    <xf numFmtId="0" fontId="12" fillId="0" borderId="4" xfId="0" applyFont="1" applyBorder="1"/>
    <xf numFmtId="0" fontId="8" fillId="3" borderId="3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/>
    <xf numFmtId="0" fontId="15" fillId="10" borderId="19" xfId="0" applyFont="1" applyFill="1" applyBorder="1" applyAlignment="1">
      <alignment horizontal="center"/>
    </xf>
    <xf numFmtId="0" fontId="12" fillId="0" borderId="20" xfId="0" applyFont="1" applyBorder="1"/>
    <xf numFmtId="0" fontId="12" fillId="0" borderId="21" xfId="0" applyFont="1" applyBorder="1"/>
    <xf numFmtId="0" fontId="12" fillId="0" borderId="5" xfId="0" applyFont="1" applyBorder="1"/>
    <xf numFmtId="0" fontId="11" fillId="7" borderId="6" xfId="0" applyFont="1" applyFill="1" applyBorder="1" applyAlignment="1">
      <alignment horizontal="center"/>
    </xf>
    <xf numFmtId="0" fontId="12" fillId="0" borderId="7" xfId="0" applyFont="1" applyBorder="1"/>
    <xf numFmtId="0" fontId="12" fillId="0" borderId="8" xfId="0" applyFont="1" applyBorder="1"/>
    <xf numFmtId="0" fontId="13" fillId="10" borderId="9" xfId="0" applyFont="1" applyFill="1" applyBorder="1" applyAlignment="1">
      <alignment horizontal="center"/>
    </xf>
    <xf numFmtId="0" fontId="12" fillId="0" borderId="10" xfId="0" applyFont="1" applyBorder="1"/>
    <xf numFmtId="0" fontId="12" fillId="0" borderId="11" xfId="0" applyFont="1" applyBorder="1"/>
    <xf numFmtId="0" fontId="11" fillId="11" borderId="12" xfId="0" applyFont="1" applyFill="1" applyBorder="1" applyAlignment="1">
      <alignment horizontal="center"/>
    </xf>
    <xf numFmtId="0" fontId="12" fillId="0" borderId="13" xfId="0" applyFont="1" applyBorder="1"/>
    <xf numFmtId="0" fontId="12" fillId="0" borderId="14" xfId="0" applyFont="1" applyBorder="1"/>
    <xf numFmtId="0" fontId="7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7" borderId="0" xfId="0" applyFont="1" applyFill="1" applyAlignment="1">
      <alignment horizontal="center"/>
    </xf>
    <xf numFmtId="0" fontId="20" fillId="14" borderId="0" xfId="1" applyAlignment="1">
      <alignment horizontal="center"/>
    </xf>
    <xf numFmtId="0" fontId="22" fillId="16" borderId="0" xfId="4" applyAlignment="1">
      <alignment horizontal="center"/>
    </xf>
    <xf numFmtId="0" fontId="19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22" fillId="23" borderId="25" xfId="0" applyFont="1" applyFill="1" applyBorder="1" applyAlignment="1">
      <alignment horizontal="center" wrapText="1"/>
    </xf>
    <xf numFmtId="0" fontId="22" fillId="23" borderId="26" xfId="0" applyFont="1" applyFill="1" applyBorder="1" applyAlignment="1">
      <alignment horizontal="center" wrapText="1"/>
    </xf>
    <xf numFmtId="0" fontId="22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2" fillId="24" borderId="26" xfId="0" applyFont="1" applyFill="1" applyBorder="1" applyAlignment="1">
      <alignment horizontal="center" wrapText="1"/>
    </xf>
    <xf numFmtId="0" fontId="2" fillId="24" borderId="27" xfId="0" applyFont="1" applyFill="1" applyBorder="1" applyAlignment="1">
      <alignment horizontal="center" wrapText="1"/>
    </xf>
    <xf numFmtId="0" fontId="2" fillId="22" borderId="25" xfId="0" applyFont="1" applyFill="1" applyBorder="1" applyAlignment="1">
      <alignment horizontal="center" wrapText="1"/>
    </xf>
    <xf numFmtId="0" fontId="2" fillId="22" borderId="26" xfId="0" applyFont="1" applyFill="1" applyBorder="1" applyAlignment="1">
      <alignment horizontal="center" wrapText="1"/>
    </xf>
    <xf numFmtId="0" fontId="2" fillId="22" borderId="27" xfId="0" applyFont="1" applyFill="1" applyBorder="1" applyAlignment="1">
      <alignment horizontal="center" wrapText="1"/>
    </xf>
    <xf numFmtId="0" fontId="1" fillId="24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2" fillId="23" borderId="26" xfId="0" applyFont="1" applyFill="1" applyBorder="1" applyAlignment="1">
      <alignment horizontal="center" wrapText="1"/>
    </xf>
    <xf numFmtId="0" fontId="2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2909" t="s">
        <v>0</v>
      </c>
      <c r="C1" s="2910"/>
      <c r="D1" s="2911" t="s">
        <v>1</v>
      </c>
      <c r="E1" s="2910"/>
      <c r="F1" s="2912" t="s">
        <v>177</v>
      </c>
      <c r="G1" s="2910"/>
      <c r="H1" s="2909" t="s">
        <v>174</v>
      </c>
      <c r="I1" s="2910"/>
      <c r="J1" s="2911" t="s">
        <v>175</v>
      </c>
      <c r="K1" s="2910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2913" t="str">
        <f>"Mirage"&amp;" "&amp;H5/SUM(H5:I5)*100</f>
        <v>Mirage 25</v>
      </c>
      <c r="I3" s="2914"/>
      <c r="J3" s="2913" t="str">
        <f>"Inferno"&amp;" "&amp;ROUND(J5/SUM(J5:K5)*100,0)</f>
        <v>Inferno 40</v>
      </c>
      <c r="K3" s="2914"/>
      <c r="L3" s="2913" t="str">
        <f>"Overpass"&amp;" "&amp;ROUND(L5/SUM(L5:M5)*100,0)</f>
        <v>Overpass 67</v>
      </c>
      <c r="M3" s="2914"/>
      <c r="N3" s="2913" t="str">
        <f>"Vertigo"&amp;" "&amp;ROUND(N5/SUM(N5:O5)*100,0)</f>
        <v>Vertigo 80</v>
      </c>
      <c r="O3" s="2914"/>
      <c r="P3" s="2913" t="str">
        <f>"Ancient"&amp;" "&amp;ROUND(P5/SUM(P5:Q5)*100,0)</f>
        <v>Ancient 50</v>
      </c>
      <c r="Q3" s="2914"/>
      <c r="R3" s="2913" t="str">
        <f>"Anubis"&amp;" "&amp;ROUND(R5/SUM(R5:S5)*100,0)</f>
        <v>Anubis 67</v>
      </c>
      <c r="S3" s="2914"/>
      <c r="T3" s="2913" t="str">
        <f>"Dust II"&amp;" "&amp;ROUND(T5/SUM(T5:U5)*100,0)</f>
        <v>Dust II 100</v>
      </c>
      <c r="U3" s="2914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2913" t="s">
        <v>206</v>
      </c>
      <c r="I7" s="2914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2913" t="s">
        <v>373</v>
      </c>
      <c r="G3" s="2914"/>
      <c r="H3" s="2914"/>
      <c r="I3" s="2913" t="s">
        <v>374</v>
      </c>
      <c r="J3" s="2914"/>
      <c r="K3" s="2914"/>
      <c r="L3" s="2913" t="s">
        <v>375</v>
      </c>
      <c r="M3" s="2914"/>
      <c r="N3" s="2914"/>
      <c r="O3" s="2913" t="s">
        <v>376</v>
      </c>
      <c r="P3" s="2914"/>
      <c r="Q3" s="2914"/>
      <c r="R3" s="2913" t="s">
        <v>377</v>
      </c>
      <c r="S3" s="2914"/>
      <c r="T3" s="2913" t="s">
        <v>378</v>
      </c>
      <c r="U3" s="2914"/>
      <c r="V3" s="2913" t="s">
        <v>379</v>
      </c>
      <c r="W3" s="2914"/>
      <c r="X3" s="2914"/>
      <c r="Y3" s="2913" t="s">
        <v>380</v>
      </c>
      <c r="Z3" s="2914"/>
      <c r="AA3" s="2914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2909" t="s">
        <v>641</v>
      </c>
      <c r="B1" s="2918"/>
      <c r="C1" s="2918"/>
      <c r="D1" s="2910"/>
      <c r="E1" s="2911" t="s">
        <v>642</v>
      </c>
      <c r="F1" s="2918"/>
      <c r="G1" s="2918"/>
      <c r="H1" s="2918"/>
      <c r="I1" s="2918"/>
      <c r="J1" s="2910"/>
      <c r="K1" s="2912" t="s">
        <v>643</v>
      </c>
      <c r="L1" s="2918"/>
      <c r="M1" s="2918"/>
      <c r="N1" s="2910"/>
      <c r="O1" s="2919" t="s">
        <v>644</v>
      </c>
      <c r="P1" s="2920"/>
      <c r="Q1" s="2920"/>
      <c r="R1" s="2920"/>
      <c r="S1" s="2921"/>
      <c r="T1" s="2922" t="s">
        <v>645</v>
      </c>
      <c r="U1" s="2923"/>
      <c r="V1" s="2923"/>
      <c r="W1" s="2923"/>
      <c r="X1" s="2924"/>
      <c r="Y1" s="2925" t="s">
        <v>646</v>
      </c>
      <c r="Z1" s="2926"/>
      <c r="AA1" s="2926"/>
      <c r="AB1" s="2927"/>
      <c r="AC1" s="2928" t="s">
        <v>647</v>
      </c>
      <c r="AD1" s="2918"/>
      <c r="AE1" s="2918"/>
      <c r="AF1" s="2918"/>
      <c r="AG1" s="2910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2913" t="s">
        <v>651</v>
      </c>
      <c r="B8" s="2914"/>
      <c r="C8" s="2914"/>
      <c r="D8" s="2914"/>
      <c r="E8" s="2914"/>
      <c r="F8" s="2914"/>
      <c r="G8" s="2914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2915" t="s">
        <v>710</v>
      </c>
      <c r="C20" s="2916"/>
      <c r="D20" s="2916"/>
      <c r="E20" s="2916"/>
      <c r="F20" s="2916"/>
      <c r="G20" s="2916"/>
      <c r="H20" s="2917"/>
    </row>
    <row r="21" spans="1:13" ht="15.75" customHeight="1" x14ac:dyDescent="0.25"/>
    <row r="22" spans="1:13" ht="15.75" customHeight="1" x14ac:dyDescent="0.25">
      <c r="A22" s="2915" t="s">
        <v>711</v>
      </c>
      <c r="B22" s="2916"/>
      <c r="C22" s="291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30"/>
  <sheetViews>
    <sheetView workbookViewId="0">
      <pane ySplit="1" topLeftCell="A199" activePane="bottomLeft" state="frozen"/>
      <selection pane="bottomLeft" activeCell="J228" sqref="J228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2933" t="s">
        <v>1180</v>
      </c>
      <c r="I3" s="2914"/>
      <c r="J3" s="2914"/>
      <c r="K3" s="2914"/>
      <c r="L3" s="2934" t="s">
        <v>1144</v>
      </c>
      <c r="M3" s="2914"/>
      <c r="N3" s="2914"/>
      <c r="O3" s="2914"/>
      <c r="P3" s="2935" t="s">
        <v>944</v>
      </c>
      <c r="Q3" s="2914"/>
      <c r="R3" s="2914"/>
      <c r="S3" s="2914"/>
      <c r="T3" s="2935" t="s">
        <v>941</v>
      </c>
      <c r="U3" s="2914"/>
      <c r="V3" s="2914"/>
      <c r="W3" s="2914"/>
      <c r="X3" s="2936" t="s">
        <v>1114</v>
      </c>
      <c r="Y3" s="2914"/>
      <c r="Z3" s="2914"/>
      <c r="AA3" s="2914"/>
      <c r="AB3" s="2930" t="s">
        <v>1160</v>
      </c>
      <c r="AC3" s="2914"/>
      <c r="AD3" s="2914"/>
      <c r="AE3" s="2914"/>
      <c r="AF3" s="2932" t="s">
        <v>1029</v>
      </c>
      <c r="AG3" s="2932"/>
      <c r="AH3" s="2932"/>
      <c r="AI3" s="2932"/>
      <c r="AJ3" s="2932" t="s">
        <v>1030</v>
      </c>
      <c r="AK3" s="2932"/>
      <c r="AL3" s="2932"/>
      <c r="AM3" s="2932"/>
      <c r="AN3" s="2931" t="s">
        <v>1146</v>
      </c>
      <c r="AO3" s="2931"/>
      <c r="AP3" s="2931"/>
      <c r="AQ3" s="293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AVERAGE(B6,B8,B10,B11,B13,B14,B16,B17,B23,B30,B42,B50,B53,B55,B60,B66,B70,B77,B79,B84,B97,B101,B106,B109,B115,B119,B126,B134,B136,B138,B145,B149,B167,B171,B173,B174,B184,B190,B193,B194,B201,B207,B208,B210,B212,B215,B217,B221,B227,B229)</f>
        <v>1.0120408163265304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AVERAGE(C6,C8,C10,C11,C13,C14,C16,C17,C23,C30,C42,C50,C53,C55,C60,C66,C70,C77,C79,C84,C97,C101,C106,C109,C115,C119,C126,C134,C136,C138,C145,C149,C167,C171,C173,C174,C184,C190,C193,C194,C201,C207,C208,C210,C212,C215,C217,C221,C227,C229)</f>
        <v>0.96913043478260885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AVERAGE(B3,B5,B18,B27,B28,B32,B34,B36,B44,B56,B61,B63,B69,B75,B88,B96,B99,B105,B111,B116,B117,B128,B133,B139,B144,B147,B158,B162,B163,B164,B165,B166,B172,B177,B183,B195,B200,B202,B203,B206,B214,B218,B225)</f>
        <v>1.1265116279069767</v>
      </c>
      <c r="M4" s="1">
        <f>AVERAGE(C3,C5,C18,C27,C28,C32,C34,C36,C44,C56,C61,C63,C69,C75,C88,C96,C99,C105,C111,C116,C117,C128,C133,C139,C144,C147,C158,C162,C163,C164,C165,C166,C172,C177,C183,C195,C200,C202,C203,C206,C214,C218,C225)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AVERAGE(B21,B24,B39,B40,B47,B49,B51,B52,B65,B80,B82,B92,B93,B112,B130,B140,B148,B150,B153,B154,B155,B157,B161,B181,B196,B204,B222,B223)</f>
        <v>1.1296428571428572</v>
      </c>
      <c r="Y4" s="1">
        <f t="shared" ref="Y4:AA4" si="2">AVERAGE(C21,C24,C39,C40,C47,C49,C51,C52,C65,C80,C82,C92,C93,C112,C130,C140,C148,C150,C153,C154,C155,C157,C161,C181,C196,C204,C222,C223)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AVERAGE(B9,B15,B25,B26,B37,B38,B45,B48,B59,B64,B73,B78,B86,B94,B95,B98,B113,B121,B123,B131,B142,B156,B160,B170,B175,B185,B191)</f>
        <v>1.021851851851852</v>
      </c>
      <c r="AC4" s="1">
        <f t="shared" ref="AC4:AE4" si="3">AVERAGE(C9,C15,C25,C26,C37,C38,C45,C48,C59,C64,C73,C78,C86,C94,C95,C98,C113,C121,C123,C131,C142,C156,C160,C170,C175,C185,C191)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AVERAGE(B226)</f>
        <v>1.44</v>
      </c>
      <c r="AO4" s="1">
        <f t="shared" ref="AO4:AQ4" si="5">AVERAGE(C226)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2929">
        <f>AVERAGE(H4:K4)</f>
        <v>0.67404281277728484</v>
      </c>
      <c r="I5" s="2929"/>
      <c r="J5" s="2929"/>
      <c r="K5" s="2929"/>
      <c r="L5" s="2929">
        <f>AVERAGE(L4:O4)</f>
        <v>0.91669200954084673</v>
      </c>
      <c r="M5" s="2929"/>
      <c r="N5" s="2929"/>
      <c r="O5" s="2929"/>
      <c r="P5" s="2929" t="e">
        <f t="shared" ref="P5" si="6">AVERAGE(P4:S4)</f>
        <v>#DIV/0!</v>
      </c>
      <c r="Q5" s="2929"/>
      <c r="R5" s="2929"/>
      <c r="S5" s="2929"/>
      <c r="T5" s="2929">
        <f t="shared" ref="T5" si="7">AVERAGE(T4:W4)</f>
        <v>1.0948529411764707</v>
      </c>
      <c r="U5" s="2929"/>
      <c r="V5" s="2929"/>
      <c r="W5" s="2929"/>
      <c r="X5" s="2929" t="e">
        <f t="shared" ref="X5" si="8">AVERAGE(X4:AA4)</f>
        <v>#DIV/0!</v>
      </c>
      <c r="Y5" s="2929"/>
      <c r="Z5" s="2929"/>
      <c r="AA5" s="2929"/>
      <c r="AB5" s="2929">
        <f t="shared" ref="AB5" si="9">AVERAGE(AB4:AE4)</f>
        <v>1.009662962962963</v>
      </c>
      <c r="AC5" s="2929"/>
      <c r="AD5" s="2929"/>
      <c r="AE5" s="2929"/>
      <c r="AF5" s="2929" t="e">
        <f>AVERAGE(AF4:AI4)</f>
        <v>#DIV/0!</v>
      </c>
      <c r="AG5" s="2929"/>
      <c r="AH5" s="2929"/>
      <c r="AI5" s="2929"/>
      <c r="AJ5" s="2929" t="e">
        <f>AVERAGE(AJ4:AM4)</f>
        <v>#DIV/0!</v>
      </c>
      <c r="AK5" s="2929"/>
      <c r="AL5" s="2929"/>
      <c r="AM5" s="2929"/>
      <c r="AN5" s="2929" t="e">
        <f>AVERAGE(AN4:AQ4)</f>
        <v>#DIV/0!</v>
      </c>
      <c r="AO5" s="2929"/>
      <c r="AP5" s="2929"/>
      <c r="AQ5" s="2929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1133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1134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1135</v>
      </c>
      <c r="B25" s="1">
        <v>1.58</v>
      </c>
      <c r="C25" s="1">
        <v>1.39</v>
      </c>
    </row>
    <row r="26" spans="1:5" ht="15.75" customHeight="1" x14ac:dyDescent="0.25">
      <c r="A26" s="1" t="s">
        <v>1136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1137</v>
      </c>
      <c r="B37" s="1">
        <v>1.24</v>
      </c>
      <c r="C37" s="1">
        <v>1.48</v>
      </c>
    </row>
    <row r="38" spans="1:7" ht="15.75" customHeight="1" x14ac:dyDescent="0.25">
      <c r="A38" s="1" t="s">
        <v>1138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1139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1140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1141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1142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1080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1081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1082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1083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1084</v>
      </c>
      <c r="B218">
        <v>0.85</v>
      </c>
      <c r="C218">
        <v>0.77</v>
      </c>
    </row>
    <row r="219" spans="1:91" x14ac:dyDescent="0.25">
      <c r="A219" s="41" t="s">
        <v>1109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1110</v>
      </c>
      <c r="B220">
        <v>0.48</v>
      </c>
      <c r="C220">
        <v>0.98</v>
      </c>
    </row>
    <row r="221" spans="1:91" x14ac:dyDescent="0.25">
      <c r="A221" s="1557" t="s">
        <v>1111</v>
      </c>
      <c r="B221">
        <v>1.54</v>
      </c>
      <c r="C221">
        <v>1.7</v>
      </c>
    </row>
    <row r="222" spans="1:91" x14ac:dyDescent="0.25">
      <c r="A222" s="1558" t="s">
        <v>1112</v>
      </c>
      <c r="B222">
        <v>1.56</v>
      </c>
      <c r="C222">
        <v>1.56</v>
      </c>
    </row>
    <row r="223" spans="1:91" x14ac:dyDescent="0.25">
      <c r="A223" s="1559" t="s">
        <v>1113</v>
      </c>
      <c r="B223">
        <v>1.64</v>
      </c>
      <c r="C223">
        <v>1.2</v>
      </c>
    </row>
    <row r="224" spans="1:91" x14ac:dyDescent="0.25">
      <c r="A224" s="41" t="s">
        <v>1143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1145</v>
      </c>
      <c r="B226">
        <v>1.44</v>
      </c>
      <c r="C226">
        <v>1.41</v>
      </c>
    </row>
    <row r="227" spans="1:87" x14ac:dyDescent="0.25">
      <c r="A227" s="1832" t="s">
        <v>1147</v>
      </c>
      <c r="B227">
        <v>0.98</v>
      </c>
      <c r="C227">
        <v>1.6</v>
      </c>
    </row>
    <row r="228" spans="1:87" x14ac:dyDescent="0.25">
      <c r="A228" s="44" t="s">
        <v>1178</v>
      </c>
      <c r="B228" s="44"/>
      <c r="C228" s="44"/>
      <c r="D228" s="44"/>
      <c r="E228" s="44"/>
      <c r="G228" s="2180"/>
      <c r="H228" s="2180"/>
      <c r="I228" s="2180"/>
      <c r="J228" s="2180"/>
      <c r="K228" s="2180"/>
      <c r="L228" s="2180"/>
      <c r="M228" s="2180"/>
      <c r="N228" s="2180"/>
      <c r="O228" s="2180"/>
      <c r="P228" s="2180"/>
      <c r="Q228" s="2180"/>
      <c r="R228" s="2180"/>
      <c r="S228" s="2180"/>
      <c r="T228" s="2180"/>
      <c r="U228" s="2180"/>
      <c r="V228" s="2180"/>
      <c r="W228" s="2180"/>
      <c r="X228" s="2180"/>
      <c r="Y228" s="2180"/>
      <c r="Z228" s="2180"/>
      <c r="AA228" s="2180"/>
      <c r="AB228" s="2180"/>
      <c r="AC228" s="2180"/>
      <c r="AD228" s="2180"/>
      <c r="AE228" s="2180"/>
      <c r="AF228" s="2180"/>
      <c r="AG228" s="2180"/>
      <c r="AH228" s="2180"/>
      <c r="AI228" s="2180"/>
      <c r="AJ228" s="2180"/>
      <c r="AK228" s="2180"/>
      <c r="AL228" s="2180"/>
      <c r="AM228" s="2180"/>
      <c r="AN228" s="2180"/>
      <c r="AO228" s="2180"/>
      <c r="AP228" s="2180"/>
      <c r="AQ228" s="2180"/>
      <c r="AR228" s="2180"/>
      <c r="AS228" s="2180"/>
      <c r="AT228" s="2180"/>
      <c r="AU228" s="2180"/>
      <c r="AV228" s="2180"/>
      <c r="AW228" s="2180"/>
      <c r="AX228" s="2180"/>
      <c r="AY228" s="2180"/>
      <c r="AZ228" s="2180"/>
      <c r="BA228" s="2180"/>
      <c r="BB228" s="2180"/>
      <c r="BC228" s="2180"/>
      <c r="BD228" s="2180"/>
      <c r="BE228" s="2180"/>
      <c r="BF228" s="2180"/>
      <c r="BG228" s="2180"/>
      <c r="BH228" s="2180"/>
      <c r="BI228" s="2180"/>
      <c r="BJ228" s="2180"/>
      <c r="BK228" s="2180"/>
      <c r="BL228" s="2180"/>
      <c r="BM228" s="2180"/>
      <c r="BN228" s="2180"/>
      <c r="BO228" s="2180"/>
      <c r="BP228" s="2180"/>
      <c r="BQ228" s="2180"/>
      <c r="BR228" s="2180"/>
      <c r="BS228" s="2180"/>
      <c r="BT228" s="2180"/>
      <c r="BU228" s="2180"/>
      <c r="BV228" s="2180"/>
      <c r="BW228" s="2180"/>
      <c r="BX228" s="2180"/>
      <c r="BY228" s="2180"/>
      <c r="BZ228" s="2180"/>
      <c r="CA228" s="2180"/>
      <c r="CB228" s="2180"/>
      <c r="CC228" s="2180"/>
      <c r="CD228" s="2180"/>
      <c r="CE228" s="2180"/>
      <c r="CF228" s="2180"/>
      <c r="CG228" s="2180"/>
      <c r="CH228" s="2180"/>
    </row>
    <row r="229" spans="1:87" x14ac:dyDescent="0.25">
      <c r="A229" s="2181" t="s">
        <v>1179</v>
      </c>
      <c r="B229">
        <v>1.95</v>
      </c>
      <c r="C229">
        <v>0.87</v>
      </c>
    </row>
    <row r="230" spans="1:87" ht="15.75" customHeight="1" x14ac:dyDescent="0.25">
      <c r="A230" s="35"/>
      <c r="B230" s="36">
        <f>AVERAGE(B3:B229)</f>
        <v>1.0707253886010359</v>
      </c>
      <c r="C230" s="36">
        <f>AVERAGE(C3:C229)</f>
        <v>1.006312849162011</v>
      </c>
      <c r="D230" s="36">
        <f t="shared" ref="D230:E230" si="10">AVERAGE(D3:D229)</f>
        <v>0.86599999999999999</v>
      </c>
      <c r="E230" s="36">
        <f t="shared" si="10"/>
        <v>0.77888888888888896</v>
      </c>
      <c r="F230" s="36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5"/>
  <sheetViews>
    <sheetView workbookViewId="0">
      <pane ySplit="1" topLeftCell="A72" activePane="bottomLeft" state="frozen"/>
      <selection pane="bottomLeft" activeCell="T85" sqref="T85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2938" t="s">
        <v>1233</v>
      </c>
      <c r="CK1" s="2938"/>
      <c r="CL1" s="2938"/>
      <c r="CM1" s="2938"/>
      <c r="CN1" s="2938"/>
      <c r="CO1" s="2938"/>
      <c r="CP1" s="2935" t="s">
        <v>1235</v>
      </c>
      <c r="CQ1" s="2935"/>
      <c r="CR1" s="2935"/>
      <c r="CS1" s="2935"/>
      <c r="CT1" s="2935"/>
      <c r="CU1" s="2935"/>
      <c r="CV1" s="2930" t="s">
        <v>1226</v>
      </c>
      <c r="CW1" s="2930"/>
      <c r="CX1" s="2930"/>
      <c r="CY1" s="2930"/>
      <c r="CZ1" s="2930"/>
      <c r="DA1" s="2930"/>
      <c r="DB1" s="2937" t="s">
        <v>1211</v>
      </c>
      <c r="DC1" s="2937"/>
      <c r="DD1" s="2937"/>
      <c r="DE1" s="2937"/>
      <c r="DF1" s="2937"/>
      <c r="DG1" s="2937"/>
      <c r="DH1" s="2930" t="s">
        <v>1066</v>
      </c>
      <c r="DI1" s="2930"/>
      <c r="DJ1" s="2930"/>
      <c r="DK1" s="2930"/>
      <c r="DL1" s="2930"/>
      <c r="DM1" s="2930"/>
      <c r="DN1" s="2935" t="s">
        <v>997</v>
      </c>
      <c r="DO1" s="2935"/>
      <c r="DP1" s="2935"/>
      <c r="DQ1" s="2935"/>
      <c r="DR1" s="2935"/>
      <c r="DS1" s="2935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AVERAGE(B13,B41,B56,B93)</f>
        <v>1.2325000000000002</v>
      </c>
      <c r="DC2" s="1">
        <f t="shared" ref="DC2:DE2" si="3">AVERAGE(C13,C41,C56,C93)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2913">
        <f>_xlfn.AGGREGATE(1,6,CJ2:CO2)</f>
        <v>1.0372058823529411</v>
      </c>
      <c r="CK3" s="2913"/>
      <c r="CL3" s="2913"/>
      <c r="CM3" s="2913"/>
      <c r="CN3" s="2913"/>
      <c r="CO3" s="2913"/>
      <c r="CP3" s="2913">
        <f t="shared" ref="CP3" si="6">_xlfn.AGGREGATE(1,6,CP2:CU2)</f>
        <v>1.0807253086419752</v>
      </c>
      <c r="CQ3" s="2913"/>
      <c r="CR3" s="2913"/>
      <c r="CS3" s="2913"/>
      <c r="CT3" s="2913"/>
      <c r="CU3" s="2913"/>
      <c r="CV3" s="2913">
        <f t="shared" ref="CV3" si="7">_xlfn.AGGREGATE(1,6,CV2:DA2)</f>
        <v>1.1217460317460317</v>
      </c>
      <c r="CW3" s="2913"/>
      <c r="CX3" s="2913"/>
      <c r="CY3" s="2913"/>
      <c r="CZ3" s="2913"/>
      <c r="DA3" s="2913"/>
      <c r="DB3" s="2913">
        <f t="shared" ref="DB3" si="8">_xlfn.AGGREGATE(1,6,DB2:DG2)</f>
        <v>1.0858333333333337</v>
      </c>
      <c r="DC3" s="2913"/>
      <c r="DD3" s="2913"/>
      <c r="DE3" s="2913"/>
      <c r="DF3" s="2913"/>
      <c r="DG3" s="2913"/>
      <c r="DH3" s="2913">
        <f t="shared" ref="DH3" si="9">_xlfn.AGGREGATE(1,6,DH2:DM2)</f>
        <v>0.97333333333333327</v>
      </c>
      <c r="DI3" s="2913"/>
      <c r="DJ3" s="2913"/>
      <c r="DK3" s="2913"/>
      <c r="DL3" s="2913"/>
      <c r="DM3" s="2913"/>
      <c r="DN3" s="2913" t="e">
        <f t="shared" ref="DN3" si="10">_xlfn.AGGREGATE(1,6,DN2:DS2)</f>
        <v>#DIV/0!</v>
      </c>
      <c r="DO3" s="2913"/>
      <c r="DP3" s="2913"/>
      <c r="DQ3" s="2913"/>
      <c r="DR3" s="2913"/>
      <c r="DS3" s="2913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2930" t="s">
        <v>1177</v>
      </c>
      <c r="CK4" s="2930"/>
      <c r="CL4" s="2930"/>
      <c r="CM4" s="2930"/>
      <c r="CN4" s="2930"/>
      <c r="CO4" s="2930"/>
      <c r="CP4" s="2934" t="s">
        <v>993</v>
      </c>
      <c r="CQ4" s="2934"/>
      <c r="CR4" s="2934"/>
      <c r="CS4" s="2934"/>
      <c r="CT4" s="2934"/>
      <c r="CU4" s="2934"/>
      <c r="CV4" s="2935" t="s">
        <v>994</v>
      </c>
      <c r="CW4" s="2935"/>
      <c r="CX4" s="2935"/>
      <c r="CY4" s="2935"/>
      <c r="CZ4" s="2935"/>
      <c r="DA4" s="2935"/>
      <c r="DB4" s="2930" t="s">
        <v>995</v>
      </c>
      <c r="DC4" s="2930"/>
      <c r="DD4" s="2930"/>
      <c r="DE4" s="2930"/>
      <c r="DF4" s="2930"/>
      <c r="DG4" s="2930"/>
      <c r="DH4" s="2935" t="s">
        <v>996</v>
      </c>
      <c r="DI4" s="2935"/>
      <c r="DJ4" s="2935"/>
      <c r="DK4" s="2935"/>
      <c r="DL4" s="2935"/>
      <c r="DM4" s="2935"/>
      <c r="DN4" s="2937" t="s">
        <v>1205</v>
      </c>
      <c r="DO4" s="2937"/>
      <c r="DP4" s="2937"/>
      <c r="DQ4" s="2937"/>
      <c r="DR4" s="2937"/>
      <c r="DS4" s="2937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2913">
        <f>_xlfn.AGGREGATE(1,6,CJ5:CO5)</f>
        <v>1.085</v>
      </c>
      <c r="CK6" s="2913"/>
      <c r="CL6" s="2913"/>
      <c r="CM6" s="2913"/>
      <c r="CN6" s="2913"/>
      <c r="CO6" s="2913"/>
      <c r="CP6" s="2913" t="e">
        <f t="shared" ref="CP6" si="17">_xlfn.AGGREGATE(1,6,CP5:CU5)</f>
        <v>#DIV/0!</v>
      </c>
      <c r="CQ6" s="2913"/>
      <c r="CR6" s="2913"/>
      <c r="CS6" s="2913"/>
      <c r="CT6" s="2913"/>
      <c r="CU6" s="2913"/>
      <c r="CV6" s="2913" t="e">
        <f t="shared" ref="CV6" si="18">_xlfn.AGGREGATE(1,6,CV5:DA5)</f>
        <v>#DIV/0!</v>
      </c>
      <c r="CW6" s="2913"/>
      <c r="CX6" s="2913"/>
      <c r="CY6" s="2913"/>
      <c r="CZ6" s="2913"/>
      <c r="DA6" s="2913"/>
      <c r="DB6" s="2913">
        <f t="shared" ref="DB6" si="19">_xlfn.AGGREGATE(1,6,DB5:DG5)</f>
        <v>1.0416666666666667</v>
      </c>
      <c r="DC6" s="2913"/>
      <c r="DD6" s="2913"/>
      <c r="DE6" s="2913"/>
      <c r="DF6" s="2913"/>
      <c r="DG6" s="2913"/>
      <c r="DH6" s="2913" t="e">
        <f t="shared" ref="DH6" si="20">_xlfn.AGGREGATE(1,6,DH5:DM5)</f>
        <v>#DIV/0!</v>
      </c>
      <c r="DI6" s="2913"/>
      <c r="DJ6" s="2913"/>
      <c r="DK6" s="2913"/>
      <c r="DL6" s="2913"/>
      <c r="DM6" s="2913"/>
      <c r="DN6" s="2913">
        <f t="shared" ref="DN6" si="21">_xlfn.AGGREGATE(1,6,DN5:DS5)</f>
        <v>1.0547685185185187</v>
      </c>
      <c r="DO6" s="2913"/>
      <c r="DP6" s="2913"/>
      <c r="DQ6" s="2913"/>
      <c r="DR6" s="2913"/>
      <c r="DS6" s="2913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1101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1083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1109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1130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1131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1132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1143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1157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1158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1161</v>
      </c>
    </row>
    <row r="70" spans="1:84" x14ac:dyDescent="0.25">
      <c r="A70" s="1986" t="s">
        <v>1159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1163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1173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1174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1175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1176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1178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1194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1185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1195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1196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1187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1197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1198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1204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1206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1201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1207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1208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1209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1210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1220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1223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1224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1225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1228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1229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1230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1231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1232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1234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B105" s="1">
        <f t="shared" ref="B105:E105" si="22">AVERAGE(B3:B104)</f>
        <v>1.1552564102564102</v>
      </c>
      <c r="C105" s="1">
        <f t="shared" si="22"/>
        <v>1.0680769230769234</v>
      </c>
      <c r="D105" s="1">
        <f>AVERAGE(D3:D104)</f>
        <v>1.015090909090909</v>
      </c>
      <c r="E105" s="1" t="e">
        <f t="shared" si="22"/>
        <v>#DIV/0!</v>
      </c>
      <c r="F105" s="2">
        <f>AVERAGE(F3:F104)</f>
        <v>0.62820512820512819</v>
      </c>
      <c r="G105" s="2">
        <f>AVERAGE(G3:G104)</f>
        <v>2.641025641025641</v>
      </c>
      <c r="H105" s="2">
        <f t="shared" ref="H105:AP105" si="23">AVERAGE(H3:H104)</f>
        <v>1</v>
      </c>
      <c r="I105" s="2">
        <f t="shared" si="23"/>
        <v>0.14102564102564102</v>
      </c>
      <c r="J105" s="2">
        <f t="shared" si="23"/>
        <v>2.564102564102564E-2</v>
      </c>
      <c r="K105" s="2">
        <f t="shared" si="23"/>
        <v>0.12820512820512819</v>
      </c>
      <c r="L105" s="2">
        <f t="shared" si="23"/>
        <v>2.3461538461538463</v>
      </c>
      <c r="M105" s="2">
        <f t="shared" si="23"/>
        <v>0.58974358974358976</v>
      </c>
      <c r="N105" s="2">
        <f t="shared" si="23"/>
        <v>0.26923076923076922</v>
      </c>
      <c r="O105" s="2">
        <f t="shared" si="23"/>
        <v>3.8461538461538464E-2</v>
      </c>
      <c r="P105" s="2">
        <f t="shared" si="23"/>
        <v>2.564102564102564E-2</v>
      </c>
      <c r="Q105" s="2">
        <f t="shared" si="23"/>
        <v>0</v>
      </c>
      <c r="R105" s="2">
        <f t="shared" si="23"/>
        <v>0</v>
      </c>
      <c r="S105" s="2">
        <f t="shared" si="23"/>
        <v>0.39743589743589741</v>
      </c>
      <c r="T105" s="2">
        <f t="shared" si="23"/>
        <v>0.92307692307692313</v>
      </c>
      <c r="U105" s="2">
        <f t="shared" si="23"/>
        <v>0.67948717948717952</v>
      </c>
      <c r="V105" s="2">
        <f t="shared" si="23"/>
        <v>0.14102564102564102</v>
      </c>
      <c r="W105" s="2">
        <f t="shared" si="23"/>
        <v>5.128205128205128E-2</v>
      </c>
      <c r="X105" s="2">
        <f t="shared" si="23"/>
        <v>0.26923076923076922</v>
      </c>
      <c r="Y105" s="2">
        <f t="shared" si="23"/>
        <v>3.1923076923076925</v>
      </c>
      <c r="Z105" s="2">
        <f t="shared" si="23"/>
        <v>0.51282051282051277</v>
      </c>
      <c r="AA105" s="2">
        <f t="shared" si="23"/>
        <v>0.28205128205128205</v>
      </c>
      <c r="AB105" s="2">
        <f t="shared" si="23"/>
        <v>0.19230769230769232</v>
      </c>
      <c r="AC105" s="2">
        <f t="shared" si="23"/>
        <v>7.6923076923076927E-2</v>
      </c>
      <c r="AD105" s="2">
        <f t="shared" si="23"/>
        <v>1.282051282051282E-2</v>
      </c>
      <c r="AE105" s="2">
        <f t="shared" si="23"/>
        <v>0</v>
      </c>
      <c r="AF105" s="2">
        <f t="shared" si="23"/>
        <v>1.0909090909090908</v>
      </c>
      <c r="AG105" s="2">
        <f t="shared" si="23"/>
        <v>1.5636363636363637</v>
      </c>
      <c r="AH105" s="2">
        <f t="shared" si="23"/>
        <v>0.6</v>
      </c>
      <c r="AI105" s="2">
        <f t="shared" si="23"/>
        <v>0.16363636363636364</v>
      </c>
      <c r="AJ105" s="2">
        <f t="shared" si="23"/>
        <v>1.8181818181818181E-2</v>
      </c>
      <c r="AK105" s="2">
        <f t="shared" si="23"/>
        <v>0.29090909090909089</v>
      </c>
      <c r="AL105" s="2">
        <f t="shared" si="23"/>
        <v>2.5636363636363635</v>
      </c>
      <c r="AM105" s="2">
        <f t="shared" si="23"/>
        <v>0.41818181818181815</v>
      </c>
      <c r="AN105" s="2">
        <f t="shared" si="23"/>
        <v>0.4</v>
      </c>
      <c r="AO105" s="2">
        <f t="shared" si="23"/>
        <v>0.14545454545454545</v>
      </c>
      <c r="AP105" s="2">
        <f t="shared" si="23"/>
        <v>5.4545454545454543E-2</v>
      </c>
      <c r="AQ105" s="47"/>
      <c r="AR105" s="47"/>
      <c r="AS105" s="47"/>
      <c r="AT105" s="47"/>
      <c r="AU105" s="47"/>
      <c r="AV105" s="47"/>
      <c r="AW105" s="47"/>
      <c r="AX105" s="47"/>
      <c r="AY105" s="47"/>
      <c r="AZ105" s="47"/>
      <c r="BA105" s="47"/>
      <c r="BB105" s="47"/>
      <c r="BC105" s="47"/>
      <c r="BD105" s="47"/>
      <c r="BE105" s="47"/>
      <c r="BF105" s="47"/>
      <c r="BG105" s="47"/>
      <c r="BH105" s="47"/>
      <c r="BI105" s="47"/>
      <c r="BJ105" s="47"/>
      <c r="BK105" s="47"/>
      <c r="BL105" s="47"/>
      <c r="BM105" s="47"/>
      <c r="BN105" s="47"/>
      <c r="BO105" s="47"/>
      <c r="BP105" s="47"/>
      <c r="BQ105" s="47"/>
      <c r="BR105" s="47"/>
      <c r="BS105" s="47"/>
      <c r="BT105" s="47"/>
      <c r="BU105" s="47"/>
      <c r="BV105" s="47"/>
      <c r="BW105" s="47"/>
      <c r="BX105" s="47"/>
      <c r="BY105" s="47"/>
      <c r="BZ105" s="47"/>
      <c r="CA105" s="47"/>
      <c r="CB105" s="47"/>
      <c r="CC105" s="47"/>
      <c r="CF105" s="344"/>
      <c r="CG105" s="344"/>
      <c r="CH105" s="344"/>
      <c r="CI105" s="344"/>
      <c r="CJ105" s="344"/>
      <c r="CK105" s="344"/>
      <c r="CL105" s="344"/>
      <c r="CM105" s="344"/>
      <c r="CN105" s="344"/>
      <c r="CO105" s="344"/>
      <c r="CP105" s="344"/>
      <c r="CQ105" s="344"/>
      <c r="CR105" s="344"/>
      <c r="CS105" s="344"/>
      <c r="CT105" s="344"/>
      <c r="CU105" s="344"/>
      <c r="CV105" s="344"/>
      <c r="CW105" s="344"/>
      <c r="CX105" s="344"/>
      <c r="CY105" s="344"/>
      <c r="CZ105" s="344"/>
      <c r="DA105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265"/>
  <sheetViews>
    <sheetView tabSelected="1" workbookViewId="0">
      <pane ySplit="1" topLeftCell="A238" activePane="bottomLeft" state="frozen"/>
      <selection pane="bottomLeft" activeCell="N249" sqref="N249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2945" t="s">
        <v>1240</v>
      </c>
      <c r="CK1" s="2946"/>
      <c r="CL1" s="2946"/>
      <c r="CM1" s="2946"/>
      <c r="CN1" s="2946"/>
      <c r="CO1" s="2947"/>
      <c r="CP1" s="2942" t="s">
        <v>1168</v>
      </c>
      <c r="CQ1" s="2943"/>
      <c r="CR1" s="2943"/>
      <c r="CS1" s="2943"/>
      <c r="CT1" s="2943"/>
      <c r="CU1" s="2944"/>
      <c r="CV1" s="2945" t="s">
        <v>1153</v>
      </c>
      <c r="CW1" s="2946"/>
      <c r="CX1" s="2946"/>
      <c r="CY1" s="2946"/>
      <c r="CZ1" s="2946"/>
      <c r="DA1" s="2947"/>
      <c r="DB1" s="2945" t="s">
        <v>1093</v>
      </c>
      <c r="DC1" s="2946"/>
      <c r="DD1" s="2946"/>
      <c r="DE1" s="2946"/>
      <c r="DF1" s="2946"/>
      <c r="DG1" s="2947"/>
      <c r="DH1" s="2949" t="s">
        <v>1203</v>
      </c>
      <c r="DI1" s="2950"/>
      <c r="DJ1" s="2950"/>
      <c r="DK1" s="2950"/>
      <c r="DL1" s="2950"/>
      <c r="DM1" s="2951"/>
      <c r="DN1" s="2942" t="s">
        <v>991</v>
      </c>
      <c r="DO1" s="2943"/>
      <c r="DP1" s="2943"/>
      <c r="DQ1" s="2943"/>
      <c r="DR1" s="2943"/>
      <c r="DS1" s="2944"/>
      <c r="DT1" s="2942" t="s">
        <v>992</v>
      </c>
      <c r="DU1" s="2943"/>
      <c r="DV1" s="2943"/>
      <c r="DW1" s="2943"/>
      <c r="DX1" s="2943"/>
      <c r="DY1" s="2944"/>
      <c r="DZ1" s="2939" t="s">
        <v>1126</v>
      </c>
      <c r="EA1" s="2940"/>
      <c r="EB1" s="2940"/>
      <c r="EC1" s="2940"/>
      <c r="ED1" s="2940"/>
      <c r="EE1" s="2941"/>
      <c r="EF1" s="2939" t="s">
        <v>1191</v>
      </c>
      <c r="EG1" s="2940"/>
      <c r="EH1" s="2940"/>
      <c r="EI1" s="2940"/>
      <c r="EJ1" s="2940"/>
      <c r="EK1" s="2941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AVERAGE(B3,B11,B19,B26,B42,B44,B52,B55,B61,B69,B76,B84,B85,B88,B94,B109,B118,B125,B129,B149,B151,B145,B157,B175,B179,B195,B204,B212,B218,B224,B229,B238,B244,B264)</f>
        <v>1.1466666666666663</v>
      </c>
      <c r="CK2" s="1">
        <f t="shared" ref="CK2:CO2" si="0">AVERAGE(C3,C11,C19,C26,C42,C44,C52,C55,C61,C69,C76,C84,C85,C88,C94,C109,C118,C125,C129,C149,C151,C145,C157,C175,C179,C195,C204,C212,C218,C224,C229,C238,C244,C264)</f>
        <v>1.2193333333333334</v>
      </c>
      <c r="CL2" s="1">
        <f t="shared" si="0"/>
        <v>1.2768421052631578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AVERAGE(B10,B17,B28,B33,B40,B50,B53,B64,B70,B77,B86,B90,B96,B102,B105,B111,B115,B123,B130,B140,B148,B167,B184,B192,B199,B217,B232)</f>
        <v>1.1522222222222225</v>
      </c>
      <c r="CQ2" s="1">
        <f t="shared" ref="CQ2:CU2" si="1">AVERAGE(C10,C17,C28,C33,C40,C50,C53,C64,C70,C77,C86,C90,C96,C102,C105,C111,C115,C123,C130,C140,C148,C167,C184,C192,C199,C217,C232)</f>
        <v>1.0723076923076922</v>
      </c>
      <c r="CR2" s="1">
        <f t="shared" si="1"/>
        <v>1.2266666666666668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AVERAGE(B14,B22,B48,B63,B95,B100,B104,B144,B182,B223)</f>
        <v>1.1500000000000001</v>
      </c>
      <c r="CW2" s="1">
        <f t="shared" ref="CW2:DA2" si="2">AVERAGE(C14,C22,C48,C63,C95,C100,C104,C144,C182,C223)</f>
        <v>1.2309999999999999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AVERAGE(B12,B16,B62,B81,B120,B137,B155,B170,B180,B190,B191,B194,B196)</f>
        <v>1.063076923076923</v>
      </c>
      <c r="DC2" s="1">
        <f t="shared" ref="DC2:DG2" si="3">AVERAGE(C12,C16,C62,C81,C120,C137,C155,C170,C180,C190,C191,C194,C196)</f>
        <v>1.24</v>
      </c>
      <c r="DD2" s="1">
        <f t="shared" si="3"/>
        <v>1.2650000000000001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AVERAGE(B18,B27,B35,B41,B46,B99,B107,B114,B147,B185,B234,B248,B253)</f>
        <v>1.1915384615384617</v>
      </c>
      <c r="DI2" s="1">
        <f t="shared" ref="DI2:DM2" si="4">AVERAGE(C18,C27,C35,C41,C46,C99,C107,C114,C147,C185,C234,C248,C253)</f>
        <v>1.0115384615384615</v>
      </c>
      <c r="DJ2" s="1">
        <f t="shared" si="4"/>
        <v>1.0033333333333332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2913">
        <f>_xlfn.AGGREGATE(1,6,CJ2:CO2)</f>
        <v>1.0954736842105264</v>
      </c>
      <c r="CK3" s="2914"/>
      <c r="CL3" s="2914"/>
      <c r="CM3" s="2914"/>
      <c r="CN3" s="2914"/>
      <c r="CO3" s="2914"/>
      <c r="CP3" s="2913">
        <f t="shared" ref="CP3" si="9">_xlfn.AGGREGATE(1,6,CP2:CU2)</f>
        <v>1.0935327635327636</v>
      </c>
      <c r="CQ3" s="2914"/>
      <c r="CR3" s="2914"/>
      <c r="CS3" s="2914"/>
      <c r="CT3" s="2914"/>
      <c r="CU3" s="2914"/>
      <c r="CV3" s="2913">
        <f t="shared" ref="CV3" si="10">_xlfn.AGGREGATE(1,6,CV2:DA2)</f>
        <v>1.0866296296296298</v>
      </c>
      <c r="CW3" s="2914"/>
      <c r="CX3" s="2914"/>
      <c r="CY3" s="2914"/>
      <c r="CZ3" s="2914"/>
      <c r="DA3" s="2914"/>
      <c r="DB3" s="2913">
        <f t="shared" ref="DB3" si="11">_xlfn.AGGREGATE(1,6,DB2:DG2)</f>
        <v>1.2995192307692309</v>
      </c>
      <c r="DC3" s="2914"/>
      <c r="DD3" s="2914"/>
      <c r="DE3" s="2914"/>
      <c r="DF3" s="2914"/>
      <c r="DG3" s="2914"/>
      <c r="DH3" s="2913">
        <f t="shared" ref="DH3" si="12">_xlfn.AGGREGATE(1,6,DH2:DM2)</f>
        <v>0.91660256410256413</v>
      </c>
      <c r="DI3" s="2914"/>
      <c r="DJ3" s="2914"/>
      <c r="DK3" s="2914"/>
      <c r="DL3" s="2914"/>
      <c r="DM3" s="2914"/>
      <c r="DN3" s="2913">
        <f t="shared" ref="DN3" si="13">_xlfn.AGGREGATE(1,6,DN2:DS2)</f>
        <v>1.2135555555555557</v>
      </c>
      <c r="DO3" s="2914"/>
      <c r="DP3" s="2914"/>
      <c r="DQ3" s="2914"/>
      <c r="DR3" s="2914"/>
      <c r="DS3" s="2914"/>
      <c r="DT3" s="2913">
        <f t="shared" ref="DT3" si="14">_xlfn.AGGREGATE(1,6,DT2:DY2)</f>
        <v>1.355</v>
      </c>
      <c r="DU3" s="2914"/>
      <c r="DV3" s="2914"/>
      <c r="DW3" s="2914"/>
      <c r="DX3" s="2914"/>
      <c r="DY3" s="2914"/>
      <c r="DZ3" s="2913">
        <f>_xlfn.AGGREGATE(1,6,DZ2:EE2)</f>
        <v>1.0728333333333335</v>
      </c>
      <c r="EA3" s="2914"/>
      <c r="EB3" s="2914"/>
      <c r="EC3" s="2914"/>
      <c r="ED3" s="2914"/>
      <c r="EE3" s="2914"/>
      <c r="EF3" s="2913">
        <f>_xlfn.AGGREGATE(1,6,EF2:EK2)</f>
        <v>0.94666666666666666</v>
      </c>
      <c r="EG3" s="2914"/>
      <c r="EH3" s="2914"/>
      <c r="EI3" s="2914"/>
      <c r="EJ3" s="2914"/>
      <c r="EK3" s="2914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2942" t="s">
        <v>1076</v>
      </c>
      <c r="CK4" s="2943"/>
      <c r="CL4" s="2943"/>
      <c r="CM4" s="2943"/>
      <c r="CN4" s="2943"/>
      <c r="CO4" s="2944"/>
      <c r="CP4" s="2945" t="s">
        <v>1219</v>
      </c>
      <c r="CQ4" s="2946"/>
      <c r="CR4" s="2946"/>
      <c r="CS4" s="2946"/>
      <c r="CT4" s="2946"/>
      <c r="CU4" s="2947"/>
      <c r="CV4" s="2948" t="s">
        <v>1216</v>
      </c>
      <c r="CW4" s="2943"/>
      <c r="CX4" s="2943"/>
      <c r="CY4" s="2943"/>
      <c r="CZ4" s="2943"/>
      <c r="DA4" s="2944"/>
      <c r="DB4" s="2945" t="s">
        <v>1238</v>
      </c>
      <c r="DC4" s="2946"/>
      <c r="DD4" s="2946"/>
      <c r="DE4" s="2946"/>
      <c r="DF4" s="2946"/>
      <c r="DG4" s="2947"/>
      <c r="DH4" s="2942" t="s">
        <v>946</v>
      </c>
      <c r="DI4" s="2943"/>
      <c r="DJ4" s="2943"/>
      <c r="DK4" s="2943"/>
      <c r="DL4" s="2943"/>
      <c r="DM4" s="2944"/>
      <c r="DN4" s="2939" t="s">
        <v>1119</v>
      </c>
      <c r="DO4" s="2940"/>
      <c r="DP4" s="2940"/>
      <c r="DQ4" s="2940"/>
      <c r="DR4" s="2940"/>
      <c r="DS4" s="2941"/>
      <c r="DT4" s="2942" t="s">
        <v>1172</v>
      </c>
      <c r="DU4" s="2943"/>
      <c r="DV4" s="2943"/>
      <c r="DW4" s="2943"/>
      <c r="DX4" s="2943"/>
      <c r="DY4" s="2944"/>
      <c r="DZ4" s="2939" t="s">
        <v>1222</v>
      </c>
      <c r="EA4" s="2940"/>
      <c r="EB4" s="2940"/>
      <c r="EC4" s="2940"/>
      <c r="ED4" s="2940"/>
      <c r="EE4" s="2941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AVERAGE(B4,B13,B21,B38,B58,B72,B78,B134,B138,B153,B164,B169,B181)</f>
        <v>1.2284615384615387</v>
      </c>
      <c r="CK5" s="1">
        <f t="shared" ref="CK5:CO5" si="15">AVERAGE(C4,C13,C21,C38,C58,C72,C78,C134,C138,C153,C164,C169,C181)</f>
        <v>1.1183333333333334</v>
      </c>
      <c r="CL5" s="1">
        <f t="shared" si="15"/>
        <v>1.1400000000000001</v>
      </c>
      <c r="CM5" s="1" t="e">
        <f t="shared" si="15"/>
        <v>#DIV/0!</v>
      </c>
      <c r="CN5" s="1">
        <f t="shared" si="15"/>
        <v>0.53</v>
      </c>
      <c r="CO5" s="1" t="e">
        <f t="shared" si="15"/>
        <v>#DIV/0!</v>
      </c>
      <c r="CP5" s="1">
        <f>AVERAGE(B5,B8,B23,B29,B34,B47,B57,B65,B67,B93,B101,B108,B119,B127,B131,B154,B176,B187,B189,B201,B202,B216,B220,B221,B222,B230,B237,B239,B240,B242,B245,B247,B250,B251,B254,B255,B258,B259)</f>
        <v>1.2386842105263161</v>
      </c>
      <c r="CQ5" s="1">
        <f t="shared" ref="CQ5:CU5" si="16">AVERAGE(C5,C8,C23,C29,C34,C47,C57,C65,C67,C93,C101,C108,C119,C127,C131,C154,C176,C187,C189,C201,C202,C216,C220,C221,C222,C230,C237,C239,C240,C242,C245,C247,C250,C251,C254,C255,C258,C259)</f>
        <v>1.2178378378378376</v>
      </c>
      <c r="CR5" s="1">
        <f t="shared" si="16"/>
        <v>1.1818181818181817</v>
      </c>
      <c r="CS5" s="1" t="e">
        <f t="shared" si="16"/>
        <v>#DIV/0!</v>
      </c>
      <c r="CT5" s="1">
        <f t="shared" si="16"/>
        <v>1.105</v>
      </c>
      <c r="CU5" s="1">
        <f t="shared" si="16"/>
        <v>0.98</v>
      </c>
      <c r="CV5" s="1">
        <f>AVERAGE(B6,B9,B37,B82,B92,B97,B124,B128,B139,B152,B183,B226,B231,B257)</f>
        <v>1.2357142857142855</v>
      </c>
      <c r="CW5" s="1">
        <f t="shared" ref="CW5:DA5" si="17">AVERAGE(C6,C9,C37,C82,C92,C97,C124,C128,C139,C152,C183,C226,C231,C257)</f>
        <v>1.1292307692307693</v>
      </c>
      <c r="CX5" s="1">
        <f t="shared" si="17"/>
        <v>1.1763636363636363</v>
      </c>
      <c r="CY5" s="1" t="e">
        <f t="shared" si="17"/>
        <v>#DIV/0!</v>
      </c>
      <c r="CZ5" s="1">
        <f t="shared" si="17"/>
        <v>1.57</v>
      </c>
      <c r="DA5" s="1" t="e">
        <f t="shared" si="17"/>
        <v>#DIV/0!</v>
      </c>
      <c r="DB5" s="1">
        <f>AVERAGE(B24,B30,B39,B71,B75,B80,B106,B117,B165,B168,B171,B186,B197,B203,B211,B214,B233,B256,B263)</f>
        <v>1.1427777777777779</v>
      </c>
      <c r="DC5" s="1">
        <f t="shared" ref="DC5:DG5" si="18">AVERAGE(C24,C30,C39,C71,C75,C80,C106,C117,C165,C168,C171,C186,C197,C203,C211,C214,C233,C256,C263)</f>
        <v>1.42</v>
      </c>
      <c r="DD5" s="1">
        <f t="shared" si="18"/>
        <v>1.1421428571428573</v>
      </c>
      <c r="DE5" s="1" t="e">
        <f t="shared" si="18"/>
        <v>#DIV/0!</v>
      </c>
      <c r="DF5" s="1">
        <f t="shared" si="18"/>
        <v>1.4649999999999999</v>
      </c>
      <c r="DG5" s="1" t="e">
        <f t="shared" si="18"/>
        <v>#DIV/0!</v>
      </c>
      <c r="DH5" s="1">
        <f>AVERAGE(B20,B136)</f>
        <v>1.1399999999999999</v>
      </c>
      <c r="DI5" s="1">
        <f t="shared" ref="DI5:DM5" si="19">AVERAGE(C20,C136)</f>
        <v>1.26</v>
      </c>
      <c r="DJ5" s="1">
        <f t="shared" si="19"/>
        <v>0.93</v>
      </c>
      <c r="DK5" s="1" t="e">
        <f t="shared" si="19"/>
        <v>#DIV/0!</v>
      </c>
      <c r="DL5" s="1" t="e">
        <f t="shared" si="19"/>
        <v>#DIV/0!</v>
      </c>
      <c r="DM5" s="1" t="e">
        <f t="shared" si="19"/>
        <v>#DIV/0!</v>
      </c>
      <c r="DN5" s="1">
        <f>AVERAGE(B68,B121,B193,B206,B207,B208,B209)</f>
        <v>1.1414285714285715</v>
      </c>
      <c r="DO5" s="1">
        <f t="shared" ref="DO5:DS5" si="20">AVERAGE(C68,C121,C193,C206,C207,C208,C209)</f>
        <v>0.95857142857142852</v>
      </c>
      <c r="DP5" s="1">
        <f t="shared" si="20"/>
        <v>1.0419999999999998</v>
      </c>
      <c r="DQ5" s="1" t="e">
        <f t="shared" si="20"/>
        <v>#DIV/0!</v>
      </c>
      <c r="DR5" s="1" t="e">
        <f t="shared" si="20"/>
        <v>#DIV/0!</v>
      </c>
      <c r="DS5" s="1" t="e">
        <f t="shared" si="20"/>
        <v>#DIV/0!</v>
      </c>
      <c r="DT5" s="1">
        <f>AVERAGE(B158,B159,B161,B162,B200,B235)</f>
        <v>1.2483333333333333</v>
      </c>
      <c r="DU5" s="1">
        <f t="shared" ref="DU5:DY5" si="21">AVERAGE(C158,C159,C161,C162,C200,C235)</f>
        <v>1.1433333333333335</v>
      </c>
      <c r="DV5" s="1">
        <f t="shared" si="21"/>
        <v>1.2250000000000001</v>
      </c>
      <c r="DW5" s="1" t="e">
        <f t="shared" si="21"/>
        <v>#DIV/0!</v>
      </c>
      <c r="DX5" s="1" t="e">
        <f t="shared" si="21"/>
        <v>#DIV/0!</v>
      </c>
      <c r="DY5" s="1" t="e">
        <f t="shared" si="21"/>
        <v>#DIV/0!</v>
      </c>
      <c r="DZ5" s="1">
        <f>AVERAGE(B227,B261)</f>
        <v>1.1599999999999999</v>
      </c>
      <c r="EA5" s="1">
        <f t="shared" ref="EA5:EE5" si="22">AVERAGE(C227,C261)</f>
        <v>1.1399999999999999</v>
      </c>
      <c r="EB5" s="1">
        <f t="shared" si="22"/>
        <v>0.88</v>
      </c>
      <c r="EC5" s="1" t="e">
        <f t="shared" si="22"/>
        <v>#DIV/0!</v>
      </c>
      <c r="ED5" s="1" t="e">
        <f t="shared" si="22"/>
        <v>#DIV/0!</v>
      </c>
      <c r="EE5" s="1" t="e">
        <f t="shared" si="22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2913">
        <f>_xlfn.AGGREGATE(1,6,CJ5:CO5)</f>
        <v>1.004198717948718</v>
      </c>
      <c r="CK6" s="2914"/>
      <c r="CL6" s="2914"/>
      <c r="CM6" s="2914"/>
      <c r="CN6" s="2914"/>
      <c r="CO6" s="2914"/>
      <c r="CP6" s="2913">
        <f t="shared" ref="CP6" si="23">_xlfn.AGGREGATE(1,6,CP5:CU5)</f>
        <v>1.1446680460364671</v>
      </c>
      <c r="CQ6" s="2914"/>
      <c r="CR6" s="2914"/>
      <c r="CS6" s="2914"/>
      <c r="CT6" s="2914"/>
      <c r="CU6" s="2914"/>
      <c r="CV6" s="2913">
        <f t="shared" ref="CV6" si="24">_xlfn.AGGREGATE(1,6,CV5:DA5)</f>
        <v>1.2778271728271728</v>
      </c>
      <c r="CW6" s="2914"/>
      <c r="CX6" s="2914"/>
      <c r="CY6" s="2914"/>
      <c r="CZ6" s="2914"/>
      <c r="DA6" s="2914"/>
      <c r="DB6" s="2913">
        <f t="shared" ref="DB6" si="25">_xlfn.AGGREGATE(1,6,DB5:DG5)</f>
        <v>1.2924801587301586</v>
      </c>
      <c r="DC6" s="2914"/>
      <c r="DD6" s="2914"/>
      <c r="DE6" s="2914"/>
      <c r="DF6" s="2914"/>
      <c r="DG6" s="2914"/>
      <c r="DH6" s="2913">
        <f t="shared" ref="DH6" si="26">_xlfn.AGGREGATE(1,6,DH5:DM5)</f>
        <v>1.1100000000000001</v>
      </c>
      <c r="DI6" s="2914"/>
      <c r="DJ6" s="2914"/>
      <c r="DK6" s="2914"/>
      <c r="DL6" s="2914"/>
      <c r="DM6" s="2914"/>
      <c r="DN6" s="2913">
        <f>_xlfn.AGGREGATE(1,6,DN5:DS5)</f>
        <v>1.0473333333333332</v>
      </c>
      <c r="DO6" s="2914"/>
      <c r="DP6" s="2914"/>
      <c r="DQ6" s="2914"/>
      <c r="DR6" s="2914"/>
      <c r="DS6" s="2914"/>
      <c r="DT6" s="2913">
        <f>_xlfn.AGGREGATE(1,6,DT5:DY5)</f>
        <v>1.2055555555555555</v>
      </c>
      <c r="DU6" s="2914"/>
      <c r="DV6" s="2914"/>
      <c r="DW6" s="2914"/>
      <c r="DX6" s="2914"/>
      <c r="DY6" s="2914"/>
      <c r="DZ6" s="2913">
        <f>_xlfn.AGGREGATE(1,6,DZ5:EE5)</f>
        <v>1.0599999999999998</v>
      </c>
      <c r="EA6" s="2914"/>
      <c r="EB6" s="2914"/>
      <c r="EC6" s="2914"/>
      <c r="ED6" s="2914"/>
      <c r="EE6" s="2914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1077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1078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1079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1080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1085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1086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1087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1088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1089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1090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1091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1092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1094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1083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1095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1096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1097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1098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1099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1100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1116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1117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1118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1120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1121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1122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1123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1124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1125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1127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1128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1129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1148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1149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1150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1162</v>
      </c>
    </row>
    <row r="222" spans="1:87" x14ac:dyDescent="0.25">
      <c r="A222" s="1871" t="s">
        <v>1151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1152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1154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1143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1155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1156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1163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1164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1165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1166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1167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1170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1171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1178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1181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1182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1183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1184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1185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1186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1187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1188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1189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1190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1192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1193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1198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1199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1200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1201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1202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1212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1213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1214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123" x14ac:dyDescent="0.25">
      <c r="A257" s="2666" t="s">
        <v>1215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123" x14ac:dyDescent="0.25">
      <c r="A258" s="2679" t="s">
        <v>1217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123" x14ac:dyDescent="0.25">
      <c r="A259" s="2692" t="s">
        <v>1218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123" x14ac:dyDescent="0.25">
      <c r="A260" s="44" t="s">
        <v>1220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123" x14ac:dyDescent="0.25">
      <c r="A261" s="2730" t="s">
        <v>1221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1227</v>
      </c>
    </row>
    <row r="262" spans="1:123" x14ac:dyDescent="0.25">
      <c r="A262" s="40" t="s">
        <v>1236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123" x14ac:dyDescent="0.25">
      <c r="A263" s="2883" t="s">
        <v>1237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123" x14ac:dyDescent="0.25">
      <c r="A264" s="2896" t="s">
        <v>1239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123" ht="15.75" customHeight="1" x14ac:dyDescent="0.25">
      <c r="A265" s="35"/>
      <c r="B265" s="36">
        <f t="shared" ref="B265:AG265" si="27">AVERAGE(B3:B264)</f>
        <v>1.1766046511627908</v>
      </c>
      <c r="C265" s="36">
        <f t="shared" si="27"/>
        <v>1.1725853658536585</v>
      </c>
      <c r="D265" s="36">
        <f t="shared" si="27"/>
        <v>1.1505063291139239</v>
      </c>
      <c r="E265" s="36">
        <f t="shared" si="27"/>
        <v>0.66500000000000004</v>
      </c>
      <c r="F265" s="36">
        <f t="shared" si="27"/>
        <v>1.3018181818181818</v>
      </c>
      <c r="G265" s="36">
        <f t="shared" si="27"/>
        <v>0.90166666666666673</v>
      </c>
      <c r="H265" s="47">
        <f t="shared" si="27"/>
        <v>0.660377358490566</v>
      </c>
      <c r="I265" s="36">
        <f t="shared" si="27"/>
        <v>2.5801886792452828</v>
      </c>
      <c r="J265" s="36">
        <f t="shared" si="27"/>
        <v>0.91509433962264153</v>
      </c>
      <c r="K265" s="36">
        <f t="shared" si="27"/>
        <v>0.11792452830188679</v>
      </c>
      <c r="L265" s="36">
        <f t="shared" si="27"/>
        <v>2.358490566037736E-2</v>
      </c>
      <c r="M265" s="36">
        <f t="shared" si="27"/>
        <v>0.12264150943396226</v>
      </c>
      <c r="N265" s="36">
        <f t="shared" si="27"/>
        <v>1.9386792452830188</v>
      </c>
      <c r="O265" s="36">
        <f t="shared" si="27"/>
        <v>0.43867924528301888</v>
      </c>
      <c r="P265" s="67">
        <f t="shared" si="27"/>
        <v>0.17924528301886791</v>
      </c>
      <c r="Q265" s="36">
        <f t="shared" si="27"/>
        <v>0.11320754716981132</v>
      </c>
      <c r="R265" s="36">
        <f t="shared" si="27"/>
        <v>4.716981132075472E-2</v>
      </c>
      <c r="S265" s="36">
        <f t="shared" si="27"/>
        <v>0</v>
      </c>
      <c r="T265" s="36">
        <f t="shared" si="27"/>
        <v>0</v>
      </c>
      <c r="U265" s="53">
        <f t="shared" si="27"/>
        <v>0.40099009900990101</v>
      </c>
      <c r="V265" s="36">
        <f t="shared" si="27"/>
        <v>0.83168316831683164</v>
      </c>
      <c r="W265" s="36">
        <f t="shared" si="27"/>
        <v>0.80597014925373134</v>
      </c>
      <c r="X265" s="36">
        <f t="shared" si="27"/>
        <v>0.18316831683168316</v>
      </c>
      <c r="Y265" s="36">
        <f t="shared" si="27"/>
        <v>9.9009900990099011E-3</v>
      </c>
      <c r="Z265" s="36">
        <f t="shared" si="27"/>
        <v>0.18316831683168316</v>
      </c>
      <c r="AA265" s="36">
        <f t="shared" si="27"/>
        <v>3.2029702970297032</v>
      </c>
      <c r="AB265" s="36">
        <f t="shared" si="27"/>
        <v>0.4405940594059406</v>
      </c>
      <c r="AC265" s="52">
        <f t="shared" si="27"/>
        <v>0.36138613861386137</v>
      </c>
      <c r="AD265" s="36">
        <f t="shared" si="27"/>
        <v>0.22772277227722773</v>
      </c>
      <c r="AE265" s="36">
        <f t="shared" si="27"/>
        <v>9.9009900990099015E-2</v>
      </c>
      <c r="AF265" s="36">
        <f t="shared" si="27"/>
        <v>4.9504950495049506E-3</v>
      </c>
      <c r="AG265" s="36">
        <f t="shared" si="27"/>
        <v>0</v>
      </c>
      <c r="AH265" s="57">
        <f t="shared" ref="AH265:BM265" si="28">AVERAGE(AH3:AH264)</f>
        <v>0.9096774193548387</v>
      </c>
      <c r="AI265" s="36">
        <f t="shared" si="28"/>
        <v>1.8774193548387097</v>
      </c>
      <c r="AJ265" s="36">
        <f t="shared" si="28"/>
        <v>0.9096774193548387</v>
      </c>
      <c r="AK265" s="36">
        <f t="shared" si="28"/>
        <v>0.15483870967741936</v>
      </c>
      <c r="AL265" s="36">
        <f t="shared" si="28"/>
        <v>2.5806451612903226E-2</v>
      </c>
      <c r="AM265" s="36">
        <f t="shared" si="28"/>
        <v>0.2</v>
      </c>
      <c r="AN265" s="36">
        <f t="shared" si="28"/>
        <v>2.5935483870967744</v>
      </c>
      <c r="AO265" s="36">
        <f t="shared" si="28"/>
        <v>0.4838709677419355</v>
      </c>
      <c r="AP265" s="60">
        <f t="shared" si="28"/>
        <v>0.27741935483870966</v>
      </c>
      <c r="AQ265" s="36">
        <f t="shared" si="28"/>
        <v>0.11612903225806452</v>
      </c>
      <c r="AR265" s="36">
        <f t="shared" si="28"/>
        <v>5.8064516129032261E-2</v>
      </c>
      <c r="AS265" s="36">
        <f t="shared" si="28"/>
        <v>6.4516129032258064E-3</v>
      </c>
      <c r="AT265" s="36">
        <f t="shared" si="28"/>
        <v>0</v>
      </c>
      <c r="AU265" s="6">
        <f t="shared" si="28"/>
        <v>0</v>
      </c>
      <c r="AV265" s="36">
        <f t="shared" si="28"/>
        <v>0.75</v>
      </c>
      <c r="AW265" s="36">
        <f t="shared" si="28"/>
        <v>0.25</v>
      </c>
      <c r="AX265" s="36">
        <f t="shared" si="28"/>
        <v>0.25</v>
      </c>
      <c r="AY265" s="36">
        <f t="shared" si="28"/>
        <v>0</v>
      </c>
      <c r="AZ265" s="36">
        <f t="shared" si="28"/>
        <v>0</v>
      </c>
      <c r="BA265" s="36">
        <f t="shared" si="28"/>
        <v>1</v>
      </c>
      <c r="BB265" s="36">
        <f t="shared" si="28"/>
        <v>0</v>
      </c>
      <c r="BC265" s="13">
        <f t="shared" si="28"/>
        <v>0</v>
      </c>
      <c r="BD265" s="36">
        <f t="shared" si="28"/>
        <v>0</v>
      </c>
      <c r="BE265" s="36">
        <f t="shared" si="28"/>
        <v>0</v>
      </c>
      <c r="BF265" s="36">
        <f t="shared" si="28"/>
        <v>0</v>
      </c>
      <c r="BG265" s="36">
        <f t="shared" si="28"/>
        <v>0</v>
      </c>
      <c r="BH265" s="59">
        <f t="shared" si="28"/>
        <v>0.81818181818181823</v>
      </c>
      <c r="BI265" s="36">
        <f t="shared" si="28"/>
        <v>2.1818181818181817</v>
      </c>
      <c r="BJ265" s="36">
        <f t="shared" si="28"/>
        <v>1.2727272727272727</v>
      </c>
      <c r="BK265" s="36">
        <f t="shared" si="28"/>
        <v>0.27272727272727271</v>
      </c>
      <c r="BL265" s="36">
        <f t="shared" si="28"/>
        <v>0</v>
      </c>
      <c r="BM265" s="36">
        <f t="shared" si="28"/>
        <v>0.81818181818181823</v>
      </c>
      <c r="BN265" s="36">
        <f t="shared" ref="BN265:CG265" si="29">AVERAGE(BN3:BN264)</f>
        <v>2.3636363636363638</v>
      </c>
      <c r="BO265" s="36">
        <f t="shared" si="29"/>
        <v>0.36363636363636365</v>
      </c>
      <c r="BP265" s="60">
        <f t="shared" si="29"/>
        <v>9.0909090909090912E-2</v>
      </c>
      <c r="BQ265" s="36">
        <f t="shared" si="29"/>
        <v>0.18181818181818182</v>
      </c>
      <c r="BR265" s="36">
        <f t="shared" si="29"/>
        <v>0</v>
      </c>
      <c r="BS265" s="36">
        <f t="shared" si="29"/>
        <v>0</v>
      </c>
      <c r="BT265" s="36">
        <f t="shared" si="29"/>
        <v>0</v>
      </c>
      <c r="BU265" s="48">
        <f t="shared" si="29"/>
        <v>0.16666666666666666</v>
      </c>
      <c r="BV265" s="48">
        <f t="shared" si="29"/>
        <v>1.6666666666666667</v>
      </c>
      <c r="BW265" s="48">
        <f t="shared" si="29"/>
        <v>0.66666666666666663</v>
      </c>
      <c r="BX265" s="48">
        <f t="shared" si="29"/>
        <v>0</v>
      </c>
      <c r="BY265" s="48">
        <f t="shared" si="29"/>
        <v>0</v>
      </c>
      <c r="BZ265" s="48">
        <f t="shared" si="29"/>
        <v>0</v>
      </c>
      <c r="CA265" s="48">
        <f t="shared" si="29"/>
        <v>2</v>
      </c>
      <c r="CB265" s="48">
        <f t="shared" si="29"/>
        <v>0.16666666666666666</v>
      </c>
      <c r="CC265" s="13">
        <f t="shared" si="29"/>
        <v>0.33333333333333331</v>
      </c>
      <c r="CD265" s="48">
        <f t="shared" si="29"/>
        <v>0</v>
      </c>
      <c r="CE265" s="48">
        <f t="shared" si="29"/>
        <v>0</v>
      </c>
      <c r="CF265" s="48">
        <f t="shared" si="29"/>
        <v>0</v>
      </c>
      <c r="CG265" s="48">
        <f t="shared" si="29"/>
        <v>0</v>
      </c>
      <c r="CH265" s="35"/>
      <c r="CI265" s="35"/>
      <c r="CJ265" s="35"/>
      <c r="CK265" s="35"/>
      <c r="CL265" s="35"/>
      <c r="CM265" s="35"/>
      <c r="CN265" s="35"/>
      <c r="CO265" s="35"/>
      <c r="CP265" s="35"/>
      <c r="CQ265" s="35"/>
      <c r="CR265" s="35"/>
      <c r="CS265" s="35"/>
      <c r="CT265" s="35"/>
      <c r="CU265" s="35"/>
      <c r="CV265" s="35"/>
      <c r="CW265" s="35"/>
      <c r="CX265" s="35"/>
      <c r="CY265" s="35"/>
      <c r="CZ265" s="35"/>
      <c r="DA265" s="35"/>
      <c r="DB265" s="35"/>
      <c r="DC265" s="35"/>
      <c r="DD265" s="35"/>
      <c r="DE265" s="35"/>
      <c r="DF265" s="35"/>
      <c r="DG265" s="35"/>
      <c r="DH265" s="35"/>
      <c r="DI265" s="35"/>
      <c r="DJ265" s="35"/>
      <c r="DK265" s="35"/>
      <c r="DL265" s="35"/>
      <c r="DM265" s="35"/>
      <c r="DN265" s="35"/>
      <c r="DO265" s="35"/>
      <c r="DP265" s="35"/>
      <c r="DQ265" s="35"/>
      <c r="DR265" s="35"/>
      <c r="DS265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R30" sqref="R30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2938" t="s">
        <v>1103</v>
      </c>
      <c r="CK1" s="2938"/>
      <c r="CL1" s="2938"/>
      <c r="CM1" s="2938"/>
      <c r="CN1" s="2938"/>
      <c r="CO1" s="2938"/>
      <c r="CP1" s="2933" t="s">
        <v>1115</v>
      </c>
      <c r="CQ1" s="2934"/>
      <c r="CR1" s="2934"/>
      <c r="CS1" s="2934"/>
      <c r="CT1" s="2934"/>
      <c r="CU1" s="2934"/>
      <c r="CV1" s="2937" t="s">
        <v>1104</v>
      </c>
      <c r="CW1" s="2937"/>
      <c r="CX1" s="2937"/>
      <c r="CY1" s="2937"/>
      <c r="CZ1" s="2937"/>
      <c r="DA1" s="2937"/>
      <c r="DB1" s="2930" t="s">
        <v>1105</v>
      </c>
      <c r="DC1" s="2930"/>
      <c r="DD1" s="2930"/>
      <c r="DE1" s="2930"/>
      <c r="DF1" s="2930"/>
      <c r="DG1" s="2930"/>
      <c r="DH1" s="2937" t="s">
        <v>1107</v>
      </c>
      <c r="DI1" s="2937"/>
      <c r="DJ1" s="2937"/>
      <c r="DK1" s="2937"/>
      <c r="DL1" s="2937"/>
      <c r="DM1" s="2937"/>
      <c r="DN1" s="2935" t="s">
        <v>997</v>
      </c>
      <c r="DO1" s="2935"/>
      <c r="DP1" s="2935"/>
      <c r="DQ1" s="2935"/>
      <c r="DR1" s="2935"/>
      <c r="DS1" s="2935"/>
      <c r="DT1" s="2935" t="s">
        <v>998</v>
      </c>
      <c r="DU1" s="2935"/>
      <c r="DV1" s="2935"/>
      <c r="DW1" s="2935"/>
      <c r="DX1" s="2935"/>
      <c r="DY1" s="2935"/>
    </row>
    <row r="2" spans="1:129" x14ac:dyDescent="0.25">
      <c r="A2" s="44" t="s">
        <v>1109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2913" t="e">
        <f>_xlfn.AGGREGATE(1,6,CJ2:CO2)</f>
        <v>#DIV/0!</v>
      </c>
      <c r="CK3" s="2913"/>
      <c r="CL3" s="2913"/>
      <c r="CM3" s="2913"/>
      <c r="CN3" s="2913"/>
      <c r="CO3" s="2913"/>
      <c r="CP3" s="2913">
        <f t="shared" ref="CP3" si="1">_xlfn.AGGREGATE(1,6,CP2:CU2)</f>
        <v>1.4500000000000002</v>
      </c>
      <c r="CQ3" s="2913"/>
      <c r="CR3" s="2913"/>
      <c r="CS3" s="2913"/>
      <c r="CT3" s="2913"/>
      <c r="CU3" s="2913"/>
      <c r="CV3" s="2913" t="e">
        <f t="shared" ref="CV3" si="2">_xlfn.AGGREGATE(1,6,CV2:DA2)</f>
        <v>#DIV/0!</v>
      </c>
      <c r="CW3" s="2913"/>
      <c r="CX3" s="2913"/>
      <c r="CY3" s="2913"/>
      <c r="CZ3" s="2913"/>
      <c r="DA3" s="2913"/>
      <c r="DB3" s="2913" t="e">
        <f t="shared" ref="DB3" si="3">_xlfn.AGGREGATE(1,6,DB2:DG2)</f>
        <v>#DIV/0!</v>
      </c>
      <c r="DC3" s="2913"/>
      <c r="DD3" s="2913"/>
      <c r="DE3" s="2913"/>
      <c r="DF3" s="2913"/>
      <c r="DG3" s="2913"/>
      <c r="DH3" s="2913" t="e">
        <f t="shared" ref="DH3" si="4">_xlfn.AGGREGATE(1,6,DH2:DM2)</f>
        <v>#DIV/0!</v>
      </c>
      <c r="DI3" s="2913"/>
      <c r="DJ3" s="2913"/>
      <c r="DK3" s="2913"/>
      <c r="DL3" s="2913"/>
      <c r="DM3" s="2913"/>
      <c r="DN3" s="2913" t="e">
        <f t="shared" ref="DN3" si="5">_xlfn.AGGREGATE(1,6,DN2:DS2)</f>
        <v>#DIV/0!</v>
      </c>
      <c r="DO3" s="2913"/>
      <c r="DP3" s="2913"/>
      <c r="DQ3" s="2913"/>
      <c r="DR3" s="2913"/>
      <c r="DS3" s="2913"/>
      <c r="DT3" s="2913" t="e">
        <f t="shared" ref="DT3" si="6">_xlfn.AGGREGATE(1,6,DT2:DY2)</f>
        <v>#DIV/0!</v>
      </c>
      <c r="DU3" s="2913"/>
      <c r="DV3" s="2913"/>
      <c r="DW3" s="2913"/>
      <c r="DX3" s="2913"/>
      <c r="DY3" s="2913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2930" t="s">
        <v>1102</v>
      </c>
      <c r="CK4" s="2930"/>
      <c r="CL4" s="2930"/>
      <c r="CM4" s="2930"/>
      <c r="CN4" s="2930"/>
      <c r="CO4" s="2930"/>
      <c r="CP4" s="2934" t="s">
        <v>993</v>
      </c>
      <c r="CQ4" s="2934"/>
      <c r="CR4" s="2934"/>
      <c r="CS4" s="2934"/>
      <c r="CT4" s="2934"/>
      <c r="CU4" s="2934"/>
      <c r="CV4" s="2935" t="s">
        <v>994</v>
      </c>
      <c r="CW4" s="2935"/>
      <c r="CX4" s="2935"/>
      <c r="CY4" s="2935"/>
      <c r="CZ4" s="2935"/>
      <c r="DA4" s="2935"/>
      <c r="DB4" s="2930" t="s">
        <v>1106</v>
      </c>
      <c r="DC4" s="2930"/>
      <c r="DD4" s="2930"/>
      <c r="DE4" s="2930"/>
      <c r="DF4" s="2930"/>
      <c r="DG4" s="2930"/>
      <c r="DH4" s="2935" t="s">
        <v>996</v>
      </c>
      <c r="DI4" s="2935"/>
      <c r="DJ4" s="2935"/>
      <c r="DK4" s="2935"/>
      <c r="DL4" s="2935"/>
      <c r="DM4" s="2935"/>
      <c r="DN4" s="2936" t="s">
        <v>1108</v>
      </c>
      <c r="DO4" s="2935"/>
      <c r="DP4" s="2935"/>
      <c r="DQ4" s="2935"/>
      <c r="DR4" s="2935"/>
      <c r="DS4" s="2935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2025-11-03T05:16:01Z</dcterms:modified>
</cp:coreProperties>
</file>