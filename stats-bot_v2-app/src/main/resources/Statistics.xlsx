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E49533AD-1F96-4655-B318-1B21AF61B2BF}" xr6:coauthVersionLast="45" xr6:coauthVersionMax="47" xr10:uidLastSave="{00000000-0000-0000-0000-000000000000}"/>
  <bookViews>
    <workbookView xWindow="-120" yWindow="-120" windowWidth="29040" windowHeight="15720" firstSheet="8" activeTab="18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26" i="16" l="1"/>
  <c r="T5" i="19"/>
  <c r="P5" i="19"/>
  <c r="L5" i="19"/>
  <c r="H5" i="19"/>
  <c r="X5" i="19"/>
  <c r="Y4" i="19"/>
  <c r="Z4" i="19"/>
  <c r="AA4" i="19"/>
  <c r="X4" i="19"/>
  <c r="Q4" i="19"/>
  <c r="R4" i="19"/>
  <c r="S4" i="19"/>
  <c r="P4" i="19"/>
  <c r="C6" i="19"/>
  <c r="D6" i="19"/>
  <c r="E6" i="19"/>
  <c r="B6" i="19"/>
  <c r="DC5" i="16"/>
  <c r="DB6" i="16" s="1"/>
  <c r="DD5" i="16"/>
  <c r="DE5" i="16"/>
  <c r="DF5" i="16"/>
  <c r="DG5" i="16"/>
  <c r="DB5" i="16"/>
  <c r="CW5" i="16"/>
  <c r="CX5" i="16"/>
  <c r="CY5" i="16"/>
  <c r="CZ5" i="16"/>
  <c r="DA5" i="16"/>
  <c r="CV5" i="16"/>
  <c r="CQ5" i="16"/>
  <c r="CP6" i="16" s="1"/>
  <c r="CR5" i="16"/>
  <c r="CS5" i="16"/>
  <c r="CT5" i="16"/>
  <c r="CU5" i="16"/>
  <c r="CP5" i="16"/>
  <c r="CK5" i="16"/>
  <c r="CL5" i="16"/>
  <c r="CM5" i="16"/>
  <c r="CN5" i="16"/>
  <c r="CO5" i="16"/>
  <c r="CJ5" i="16"/>
  <c r="DI2" i="16"/>
  <c r="DH3" i="16" s="1"/>
  <c r="DJ2" i="16"/>
  <c r="DK2" i="16"/>
  <c r="DL2" i="16"/>
  <c r="DM2" i="16"/>
  <c r="DH2" i="16"/>
  <c r="DC2" i="16"/>
  <c r="DB3" i="16" s="1"/>
  <c r="DD2" i="16"/>
  <c r="DE2" i="16"/>
  <c r="DF2" i="16"/>
  <c r="DG2" i="16"/>
  <c r="DB2" i="16"/>
  <c r="CW2" i="16"/>
  <c r="CX2" i="16"/>
  <c r="CY2" i="16"/>
  <c r="CZ2" i="16"/>
  <c r="DA2" i="16"/>
  <c r="CV2" i="16"/>
  <c r="CQ2" i="16"/>
  <c r="CR2" i="16"/>
  <c r="CS2" i="16"/>
  <c r="CT2" i="16"/>
  <c r="CU2" i="16"/>
  <c r="CP2" i="16"/>
  <c r="CO2" i="16"/>
  <c r="CK2" i="16"/>
  <c r="CL2" i="16"/>
  <c r="CM2" i="16"/>
  <c r="CN2" i="16"/>
  <c r="CJ2" i="16"/>
  <c r="CV6" i="16"/>
  <c r="CP3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AN26" i="16"/>
  <c r="AO26" i="16"/>
  <c r="AP26" i="16"/>
  <c r="AQ26" i="16"/>
  <c r="AR26" i="16"/>
  <c r="AS26" i="16"/>
  <c r="AT26" i="16"/>
  <c r="AU26" i="16"/>
  <c r="AV26" i="16"/>
  <c r="AW26" i="16"/>
  <c r="AX26" i="16"/>
  <c r="AY26" i="16"/>
  <c r="AZ26" i="16"/>
  <c r="BA26" i="16"/>
  <c r="BB26" i="16"/>
  <c r="BC26" i="16"/>
  <c r="BD26" i="16"/>
  <c r="BE26" i="16"/>
  <c r="BF26" i="16"/>
  <c r="BG26" i="16"/>
  <c r="BH26" i="16"/>
  <c r="BI26" i="16"/>
  <c r="BJ26" i="16"/>
  <c r="BK26" i="16"/>
  <c r="BL26" i="16"/>
  <c r="BM26" i="16"/>
  <c r="BN26" i="16"/>
  <c r="BO26" i="16"/>
  <c r="BP26" i="16"/>
  <c r="BQ26" i="16"/>
  <c r="BR26" i="16"/>
  <c r="BS26" i="16"/>
  <c r="G26" i="16"/>
  <c r="CV3" i="16" l="1"/>
  <c r="CR6" i="18"/>
  <c r="CX6" i="18"/>
  <c r="DD6" i="18"/>
  <c r="CL6" i="18"/>
  <c r="CM5" i="18"/>
  <c r="CN5" i="18"/>
  <c r="CO5" i="18"/>
  <c r="CP5" i="18"/>
  <c r="CQ5" i="18"/>
  <c r="CR5" i="18"/>
  <c r="CS5" i="18"/>
  <c r="CT5" i="18"/>
  <c r="CU5" i="18"/>
  <c r="CV5" i="18"/>
  <c r="CW5" i="18"/>
  <c r="CX5" i="18"/>
  <c r="CY5" i="18"/>
  <c r="CZ5" i="18"/>
  <c r="DA5" i="18"/>
  <c r="DB5" i="18"/>
  <c r="DC5" i="18"/>
  <c r="DD5" i="18"/>
  <c r="DE5" i="18"/>
  <c r="DF5" i="18"/>
  <c r="DG5" i="18"/>
  <c r="DH5" i="18"/>
  <c r="DI5" i="18"/>
  <c r="CL5" i="18"/>
  <c r="CL2" i="18"/>
  <c r="H5" i="12"/>
  <c r="U4" i="19"/>
  <c r="V4" i="19"/>
  <c r="W4" i="19"/>
  <c r="T4" i="19"/>
  <c r="M4" i="19"/>
  <c r="N4" i="19"/>
  <c r="O4" i="19"/>
  <c r="L4" i="19"/>
  <c r="I4" i="19"/>
  <c r="J4" i="19"/>
  <c r="K4" i="19"/>
  <c r="H4" i="19"/>
  <c r="C4" i="18" l="1"/>
  <c r="D4" i="18"/>
  <c r="B4" i="18"/>
  <c r="B4" i="15"/>
  <c r="CR2" i="18"/>
  <c r="DO2" i="18" l="1"/>
  <c r="DN2" i="18"/>
  <c r="DM2" i="18"/>
  <c r="DL2" i="18"/>
  <c r="DK2" i="18"/>
  <c r="DJ2" i="18"/>
  <c r="DJ3" i="18" s="1"/>
  <c r="DI2" i="18"/>
  <c r="DH2" i="18"/>
  <c r="DG2" i="18"/>
  <c r="DF2" i="18"/>
  <c r="DE2" i="18"/>
  <c r="DD2" i="18"/>
  <c r="DC2" i="18"/>
  <c r="DB2" i="18"/>
  <c r="DA2" i="18"/>
  <c r="CZ2" i="18"/>
  <c r="CY2" i="18"/>
  <c r="CX2" i="18"/>
  <c r="CW2" i="18"/>
  <c r="CV2" i="18"/>
  <c r="CU2" i="18"/>
  <c r="CT2" i="18"/>
  <c r="CS2" i="18"/>
  <c r="CR3" i="18"/>
  <c r="CQ2" i="18"/>
  <c r="CP2" i="18"/>
  <c r="CO2" i="18"/>
  <c r="CN2" i="18"/>
  <c r="CM2" i="18"/>
  <c r="DO2" i="17"/>
  <c r="DN2" i="17"/>
  <c r="DM2" i="17"/>
  <c r="DL2" i="17"/>
  <c r="DK2" i="17"/>
  <c r="DJ2" i="17"/>
  <c r="DJ3" i="17" s="1"/>
  <c r="DI2" i="17"/>
  <c r="DH2" i="17"/>
  <c r="DG2" i="17"/>
  <c r="DF2" i="17"/>
  <c r="DE2" i="17"/>
  <c r="DD2" i="17"/>
  <c r="DD3" i="17" s="1"/>
  <c r="DC2" i="17"/>
  <c r="DB2" i="17"/>
  <c r="DA2" i="17"/>
  <c r="CZ2" i="17"/>
  <c r="CY2" i="17"/>
  <c r="CX2" i="17"/>
  <c r="CX3" i="17" s="1"/>
  <c r="CW2" i="17"/>
  <c r="CV2" i="17"/>
  <c r="CU2" i="17"/>
  <c r="CT2" i="17"/>
  <c r="CS2" i="17"/>
  <c r="CR2" i="17"/>
  <c r="CQ2" i="17"/>
  <c r="CP2" i="17"/>
  <c r="CO2" i="17"/>
  <c r="CN2" i="17"/>
  <c r="CM2" i="17"/>
  <c r="CL2" i="17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H332" i="14"/>
  <c r="C332" i="14"/>
  <c r="D332" i="14"/>
  <c r="E332" i="14"/>
  <c r="F332" i="14"/>
  <c r="G332" i="14"/>
  <c r="B332" i="14"/>
  <c r="CX3" i="18" l="1"/>
  <c r="CL3" i="18"/>
  <c r="DD3" i="18"/>
  <c r="CR3" i="17"/>
  <c r="CL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  <c r="F26" i="16"/>
  <c r="E26" i="16"/>
  <c r="D26" i="16"/>
  <c r="C26" i="16"/>
  <c r="CJ6" i="16"/>
  <c r="CJ3" i="16" l="1"/>
</calcChain>
</file>

<file path=xl/sharedStrings.xml><?xml version="1.0" encoding="utf-8"?>
<sst xmlns="http://schemas.openxmlformats.org/spreadsheetml/2006/main" count="2766" uniqueCount="1377">
  <si>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</si>
  <si>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</si>
  <si>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</si>
  <si>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</si>
  <si>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</si>
  <si>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</si>
  <si>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</si>
  <si>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</si>
  <si>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</si>
  <si>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</si>
  <si>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</si>
  <si>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</si>
  <si>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</si>
  <si>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</si>
  <si>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</si>
  <si>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</si>
  <si>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</si>
  <si>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</si>
  <si>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</si>
  <si>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</si>
  <si>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</si>
  <si>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</si>
  <si>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</si>
  <si>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</si>
  <si>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</si>
  <si>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</si>
  <si>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</si>
  <si>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</si>
  <si>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</si>
  <si>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</si>
  <si>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</si>
  <si>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</si>
  <si>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</si>
  <si>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</si>
  <si>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</si>
  <si>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</si>
  <si>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</si>
  <si>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</si>
  <si>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</si>
  <si>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</si>
  <si>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</si>
  <si>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</si>
  <si>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</si>
  <si>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</si>
  <si>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</si>
  <si>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</si>
  <si>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</si>
  <si>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</si>
  <si>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</si>
  <si>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</si>
  <si>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</si>
  <si>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</si>
  <si>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</si>
  <si>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</si>
  <si>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</si>
  <si>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</si>
  <si>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</si>
  <si>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</si>
  <si>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</si>
  <si>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</si>
  <si>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</si>
  <si>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</si>
  <si>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</si>
  <si>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</si>
  <si>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</si>
  <si>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</si>
  <si>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</si>
  <si>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</si>
  <si>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</si>
  <si>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</si>
  <si>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</si>
  <si>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</si>
  <si>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</si>
  <si>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</si>
  <si>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</si>
  <si>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</si>
  <si>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</si>
  <si>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</si>
  <si>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</si>
  <si>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</si>
  <si>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</si>
  <si>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</si>
  <si>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</si>
  <si>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</si>
  <si>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</si>
  <si>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</si>
  <si>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</si>
  <si>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</si>
  <si>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</si>
  <si>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</si>
  <si>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</si>
  <si>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</si>
  <si>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</si>
  <si>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</si>
  <si>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</si>
  <si>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</si>
  <si>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</si>
  <si>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</si>
  <si>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</si>
  <si>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</si>
  <si>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</si>
  <si>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</si>
  <si>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</si>
  <si>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</si>
  <si>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</si>
  <si>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</si>
  <si>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</si>
  <si>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</si>
  <si>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</si>
  <si>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</si>
  <si>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</si>
  <si>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</si>
  <si>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</si>
  <si>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</si>
  <si>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</si>
  <si>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</si>
  <si>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</si>
  <si>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</si>
  <si>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</si>
  <si>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</si>
  <si>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</si>
  <si>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</si>
  <si>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</si>
  <si>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</si>
  <si>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</si>
  <si>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</si>
  <si>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</si>
  <si>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</si>
  <si>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</si>
  <si>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</si>
  <si>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</si>
  <si>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</si>
  <si>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</si>
  <si>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</si>
  <si>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</si>
  <si>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</si>
  <si>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</si>
  <si>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</si>
  <si>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</si>
  <si>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</si>
  <si>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</si>
  <si>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</si>
  <si>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</si>
  <si>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</si>
  <si>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</si>
  <si>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</si>
  <si>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</si>
  <si>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</si>
  <si>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</si>
  <si>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</si>
  <si>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</si>
  <si>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</si>
  <si>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</si>
  <si>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</si>
  <si>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</si>
  <si>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</si>
  <si>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</si>
  <si>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</si>
  <si>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</si>
  <si>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</si>
  <si>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</si>
  <si>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</si>
  <si>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</si>
  <si>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</si>
  <si>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</si>
  <si>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</si>
  <si>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</si>
  <si>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</si>
  <si>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</si>
  <si>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</si>
  <si>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</si>
  <si>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</si>
  <si>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</si>
  <si>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</si>
  <si>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</si>
  <si>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</si>
  <si>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</si>
  <si>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</si>
  <si>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</si>
  <si>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</si>
  <si>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</si>
  <si>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</si>
  <si>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</si>
  <si>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</si>
  <si>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</si>
  <si>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</si>
  <si>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</si>
  <si>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</si>
  <si>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</si>
  <si>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</si>
  <si>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</si>
  <si>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</si>
  <si>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</si>
  <si>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</si>
  <si>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</si>
  <si>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</si>
  <si>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</si>
  <si>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</si>
  <si>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</si>
  <si>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</si>
  <si>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</si>
  <si>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</si>
  <si>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</si>
  <si>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</si>
  <si>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</si>
  <si>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</si>
  <si>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</si>
  <si>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</si>
  <si>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</si>
  <si>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</si>
  <si>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</si>
  <si>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</si>
  <si>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</si>
  <si>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</si>
  <si>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</si>
  <si>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</si>
  <si>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</si>
  <si>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</si>
  <si>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</si>
  <si>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</si>
  <si>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</si>
  <si>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</si>
  <si>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</si>
  <si>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</si>
  <si>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</si>
  <si>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</si>
  <si>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</si>
  <si>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</si>
  <si>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</si>
  <si>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</si>
  <si>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</si>
  <si>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</si>
  <si>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</si>
  <si>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</si>
  <si>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</si>
  <si>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</si>
  <si>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</si>
  <si>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</si>
  <si>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</si>
  <si>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</si>
  <si>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</si>
  <si>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</si>
  <si>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</si>
  <si>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</si>
  <si>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</si>
  <si>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</si>
  <si>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</si>
  <si>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</si>
  <si>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</si>
  <si>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</si>
  <si>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</si>
  <si>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</si>
  <si>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</si>
  <si>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</si>
  <si>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</si>
  <si>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</si>
  <si>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</si>
  <si>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</si>
  <si>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</si>
  <si>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</si>
  <si>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</si>
  <si>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</si>
  <si>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</si>
  <si>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</si>
  <si>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</si>
  <si>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</si>
  <si>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</si>
  <si>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</si>
  <si>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</si>
  <si>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</si>
  <si>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</si>
  <si>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</si>
  <si>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</si>
  <si>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</si>
  <si>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</si>
  <si>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</si>
  <si>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</si>
  <si>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</si>
  <si>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</si>
  <si>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</si>
  <si>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</si>
  <si>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</si>
  <si>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</si>
  <si>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</si>
  <si>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</si>
  <si>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</si>
  <si>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</si>
  <si>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</si>
  <si>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</si>
  <si>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</si>
  <si>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</si>
  <si>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</si>
  <si>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</si>
  <si>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</si>
  <si>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</si>
  <si>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</si>
  <si>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</si>
  <si>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</si>
  <si>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</si>
  <si>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</si>
  <si>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</si>
  <si>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</si>
  <si>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</si>
  <si>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</si>
  <si>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</si>
  <si>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</si>
  <si>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</si>
  <si>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</si>
  <si>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</si>
  <si>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</si>
  <si>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</si>
  <si>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</si>
  <si>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</si>
  <si>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</si>
  <si>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</si>
  <si>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</si>
  <si>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</si>
  <si>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</si>
  <si>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</si>
  <si>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</si>
  <si>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</si>
  <si>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</si>
  <si>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</si>
  <si>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</si>
  <si>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</si>
  <si>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</si>
  <si>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</si>
  <si>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</si>
  <si>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</si>
  <si>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</si>
  <si>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</si>
  <si>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</si>
  <si>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</si>
  <si>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</si>
  <si>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</si>
  <si>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</si>
  <si>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</si>
  <si>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</si>
  <si>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</si>
  <si>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</si>
  <si>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</si>
  <si>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</si>
  <si>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</si>
  <si>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</si>
  <si>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</si>
  <si>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</si>
  <si>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</si>
  <si>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</si>
  <si>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</si>
  <si>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</si>
  <si>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</si>
  <si>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</si>
  <si>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</si>
  <si>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</si>
  <si>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</si>
  <si>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</si>
  <si>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</si>
  <si>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</si>
  <si>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</si>
  <si>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</si>
  <si>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</si>
  <si>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</si>
  <si>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</si>
  <si>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</si>
  <si>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</si>
  <si>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</si>
  <si>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</si>
  <si>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</si>
  <si>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</si>
  <si>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</si>
  <si>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</si>
  <si>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</si>
  <si>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</si>
  <si>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</si>
  <si>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</si>
  <si>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</si>
  <si>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</si>
  <si>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</si>
  <si>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</si>
  <si>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</si>
  <si>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</si>
  <si>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</si>
  <si>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</si>
  <si>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</si>
  <si>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</si>
  <si>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</si>
  <si>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</si>
  <si>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</si>
  <si>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</si>
  <si>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</si>
  <si>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</si>
  <si>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</si>
  <si>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</si>
  <si>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</si>
  <si>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</si>
  <si>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</si>
  <si>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</si>
  <si>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</si>
  <si>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</si>
  <si>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</si>
  <si>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</si>
  <si>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</si>
  <si>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</si>
  <si>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</si>
  <si>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</si>
  <si>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</si>
  <si>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</si>
  <si>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</si>
  <si>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</si>
  <si>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</si>
  <si>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</si>
  <si>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</si>
  <si>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</si>
  <si>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</si>
  <si>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</si>
  <si>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</si>
  <si>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</si>
  <si>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</si>
  <si>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</si>
  <si>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</si>
  <si>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</si>
  <si>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</si>
  <si>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</si>
  <si>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</si>
  <si>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</si>
  <si>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</si>
  <si>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</si>
  <si>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</si>
  <si>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</si>
  <si>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</si>
  <si>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</si>
  <si>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</si>
  <si>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</si>
  <si>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</si>
  <si>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</si>
  <si>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</si>
  <si>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</si>
  <si>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</si>
  <si>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</si>
  <si>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</si>
  <si>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</si>
  <si>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</si>
  <si>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</si>
  <si>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</si>
  <si>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</si>
  <si>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</si>
  <si>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</si>
  <si>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</si>
  <si>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</si>
  <si>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</si>
  <si>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</si>
  <si>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</si>
  <si>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</si>
  <si>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</si>
  <si>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</si>
  <si>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</si>
  <si>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</si>
  <si>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</si>
  <si>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</si>
  <si>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</si>
  <si>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</si>
  <si>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</si>
  <si>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</si>
  <si>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</si>
  <si>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</si>
  <si>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</si>
  <si>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</si>
  <si>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</si>
  <si>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</si>
  <si>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</si>
  <si>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</si>
  <si>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</si>
  <si>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</si>
  <si>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</si>
  <si>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</si>
  <si>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</si>
  <si>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</si>
  <si>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</si>
  <si>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</si>
  <si>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</si>
  <si>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</si>
  <si>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</si>
  <si>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</si>
  <si>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</si>
  <si>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</si>
  <si>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</si>
  <si>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</si>
  <si>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</si>
  <si>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</si>
  <si>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</si>
  <si>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</si>
  <si>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</si>
  <si>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</si>
  <si>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</si>
  <si>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</si>
  <si>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</si>
  <si>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</si>
  <si>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</si>
  <si>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</si>
  <si>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</si>
  <si>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</si>
  <si>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</si>
  <si>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</si>
  <si>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</si>
  <si>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</si>
  <si>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</si>
  <si>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</si>
  <si>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</si>
  <si>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</si>
  <si>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</si>
  <si>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</si>
  <si>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</si>
  <si>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</si>
  <si>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</si>
  <si>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</si>
  <si>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</si>
  <si>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</si>
  <si>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</si>
  <si>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</si>
  <si>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</si>
  <si>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</si>
  <si>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</si>
  <si>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</si>
  <si>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</si>
  <si>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</si>
  <si>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</si>
  <si>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</si>
  <si>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</si>
  <si>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</si>
  <si>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</si>
  <si>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</si>
  <si>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</si>
  <si>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</si>
  <si>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</si>
  <si>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</si>
  <si>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</si>
  <si>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</si>
  <si>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</si>
  <si>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</si>
  <si>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</si>
  <si>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</si>
  <si>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</si>
  <si>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</si>
  <si>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</si>
  <si>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</si>
  <si>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</si>
  <si>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</si>
  <si>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</si>
  <si>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</si>
  <si>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</si>
  <si>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</si>
  <si>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</si>
  <si>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</si>
  <si>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</si>
  <si>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</si>
  <si>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</si>
  <si>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</si>
  <si>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</si>
  <si>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</si>
  <si>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</si>
  <si>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</si>
  <si>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</si>
  <si>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</si>
  <si>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</si>
  <si>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</si>
  <si>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</si>
  <si>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</si>
  <si>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</si>
  <si>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</si>
  <si>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</si>
  <si>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</si>
  <si>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</si>
  <si>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</si>
  <si>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</si>
  <si>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</si>
  <si>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</si>
  <si>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</si>
  <si>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</si>
  <si>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</si>
  <si>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</si>
  <si>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</si>
  <si>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</si>
  <si>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</si>
  <si>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</si>
  <si>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</si>
  <si>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</si>
  <si>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</si>
  <si>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</si>
  <si>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</si>
  <si>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</si>
  <si>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</si>
  <si>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</si>
  <si>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</si>
  <si>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</si>
  <si>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</si>
  <si>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</si>
  <si>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</si>
  <si>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</si>
  <si>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</si>
  <si>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</si>
  <si>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</si>
  <si>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</si>
  <si>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</si>
  <si>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</si>
  <si>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</si>
  <si>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</si>
  <si>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</si>
  <si>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</si>
  <si>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</si>
  <si>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</si>
  <si>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</si>
  <si>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</si>
  <si>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</si>
  <si>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</si>
  <si>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</si>
  <si>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</si>
  <si>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</si>
  <si>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</si>
  <si>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</si>
  <si>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</si>
  <si>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</si>
  <si>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</si>
  <si>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</si>
  <si>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</si>
  <si>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</si>
  <si>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</si>
  <si>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</si>
  <si>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</si>
  <si>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</si>
  <si>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</si>
  <si>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</si>
  <si>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</si>
  <si>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</si>
  <si>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</si>
  <si>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</si>
  <si>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</si>
  <si>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</si>
  <si>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</si>
  <si>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</si>
  <si>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</si>
  <si>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</si>
  <si>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</si>
  <si>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</si>
  <si>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</si>
  <si>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</si>
  <si>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</si>
  <si>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</si>
  <si>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</si>
  <si>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</si>
  <si>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</si>
  <si>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</si>
  <si>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</si>
  <si>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</si>
  <si>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</si>
  <si>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</si>
  <si>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</si>
  <si>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</si>
  <si>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</si>
  <si>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</si>
  <si>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</si>
  <si>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</si>
  <si>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</si>
  <si>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</si>
  <si>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</si>
  <si>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</si>
  <si>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</si>
  <si>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</si>
  <si>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</si>
  <si>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</si>
  <si>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</si>
  <si>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</si>
  <si>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</si>
  <si>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</si>
  <si>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</si>
  <si>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</si>
  <si>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</si>
  <si>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</si>
  <si>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</si>
  <si>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</si>
  <si>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</si>
  <si>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</si>
  <si>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</si>
  <si>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</si>
  <si>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</si>
  <si>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</si>
  <si>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</si>
  <si>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</si>
  <si>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</si>
  <si>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</si>
  <si>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</si>
  <si>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</si>
  <si>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</si>
  <si>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</si>
  <si>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</si>
  <si>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</si>
  <si>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</si>
  <si>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</si>
  <si>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</si>
  <si>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</si>
  <si>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</si>
  <si>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</si>
  <si>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</si>
  <si>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</si>
  <si>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</si>
  <si>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</si>
  <si>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</si>
  <si>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</si>
  <si>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</si>
  <si>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</si>
  <si>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</si>
  <si>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</si>
  <si>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</si>
  <si>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</si>
  <si>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</si>
  <si>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</si>
  <si>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</si>
  <si>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</si>
  <si>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</si>
  <si>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</si>
  <si>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</si>
  <si>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</si>
  <si>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</si>
  <si>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</si>
  <si>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</si>
  <si>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</si>
  <si>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</si>
  <si>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</si>
  <si>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</si>
  <si>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</si>
  <si>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</si>
  <si>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</si>
  <si>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</si>
  <si>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</si>
  <si>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</si>
  <si>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</si>
  <si>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</si>
  <si>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</si>
  <si>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</si>
  <si>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</si>
  <si>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</si>
  <si>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</si>
  <si>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</si>
  <si>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</si>
  <si>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</si>
  <si>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</si>
  <si>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</si>
  <si>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</si>
  <si>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</si>
  <si>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</si>
  <si>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</si>
  <si>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</si>
  <si>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</si>
  <si>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</si>
  <si>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</si>
  <si>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</si>
  <si>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</si>
  <si>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</si>
  <si>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</si>
  <si>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</si>
  <si>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</si>
  <si>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</si>
  <si>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</si>
  <si>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</si>
  <si>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</si>
  <si>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</si>
  <si>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</si>
  <si>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</si>
  <si>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</si>
  <si>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</si>
  <si>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</si>
  <si>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</si>
  <si>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</si>
  <si>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</si>
  <si>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</si>
  <si>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</si>
  <si>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</si>
  <si>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</si>
  <si>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</si>
  <si>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</si>
  <si>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</si>
  <si>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</si>
  <si>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</si>
  <si>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</si>
  <si>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</si>
  <si>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</si>
  <si>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</si>
  <si>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</si>
  <si>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</si>
  <si>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</si>
  <si>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</si>
  <si>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</si>
  <si>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</si>
  <si>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</si>
  <si>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</si>
  <si>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</si>
  <si>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</si>
  <si>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</si>
  <si>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</si>
  <si>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</si>
  <si>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</si>
  <si>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</si>
  <si>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</si>
  <si>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</si>
  <si>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</si>
  <si>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</si>
  <si>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</si>
  <si>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</si>
  <si>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</si>
  <si>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</si>
  <si>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</si>
  <si>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</si>
  <si>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</si>
  <si>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</si>
  <si>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</si>
  <si>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</si>
  <si>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</si>
  <si>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</si>
  <si>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</si>
  <si>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</si>
  <si>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</si>
  <si>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</si>
  <si>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</si>
  <si>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</si>
  <si>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</si>
  <si>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</si>
  <si>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</si>
  <si>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</si>
  <si>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</si>
  <si>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</si>
  <si>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</si>
  <si>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</si>
  <si>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</si>
  <si>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</si>
  <si>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</si>
  <si>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</si>
  <si>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</si>
  <si>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</si>
  <si>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</si>
  <si>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</si>
  <si>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</si>
  <si>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</si>
  <si>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</si>
  <si>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</si>
  <si>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</si>
  <si>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</si>
  <si>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</si>
  <si>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</si>
  <si>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</si>
  <si>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</si>
  <si>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</si>
  <si>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</si>
  <si>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</si>
  <si>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</si>
  <si>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</si>
  <si>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</si>
  <si>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</si>
  <si>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</si>
  <si>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</si>
  <si>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</si>
  <si>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</si>
  <si>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</si>
  <si>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</si>
  <si>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</si>
  <si>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</si>
  <si>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</si>
  <si>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</si>
  <si>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</si>
  <si>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</si>
  <si>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</si>
  <si>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</si>
  <si>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</si>
  <si>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</si>
  <si>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</si>
  <si>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</si>
  <si>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</si>
  <si>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</si>
  <si>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</si>
  <si>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</si>
  <si>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</si>
  <si>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</si>
  <si>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</si>
  <si>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</si>
  <si>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</si>
  <si>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</si>
  <si>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</si>
  <si>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</si>
  <si>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</si>
  <si>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</si>
  <si>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</si>
  <si>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</si>
  <si>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</si>
  <si>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</si>
  <si>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</si>
  <si>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</si>
  <si>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</si>
  <si>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</si>
  <si>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</si>
  <si>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</si>
  <si>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</si>
  <si>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</si>
  <si>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</si>
  <si>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</si>
  <si>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</si>
  <si>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</si>
  <si>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</si>
  <si>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</si>
  <si>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</si>
  <si>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</si>
  <si>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</si>
  <si>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</si>
  <si>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</si>
  <si>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</si>
  <si>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</si>
  <si>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</si>
  <si>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</si>
  <si>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</si>
  <si>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</si>
  <si>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</si>
  <si>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</si>
  <si>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</si>
  <si>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</si>
  <si>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</si>
  <si>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</si>
  <si>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</si>
  <si>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</si>
  <si>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</si>
  <si>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</si>
  <si>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</si>
  <si>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</si>
  <si>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</si>
  <si>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</si>
  <si>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</si>
  <si>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</si>
  <si>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</si>
  <si>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</si>
  <si>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</si>
  <si>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</si>
  <si>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</si>
  <si>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</si>
  <si>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</si>
  <si>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</si>
  <si>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</si>
  <si>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</si>
  <si>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</si>
  <si>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</si>
  <si>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</si>
  <si>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</si>
  <si>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</si>
  <si>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</si>
  <si>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</si>
  <si>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</si>
  <si>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</si>
  <si>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</si>
  <si>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</si>
  <si>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</si>
  <si>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</si>
  <si>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</si>
  <si>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</si>
  <si>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</si>
  <si>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</si>
  <si>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</si>
  <si>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</si>
  <si>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</si>
  <si>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</si>
  <si>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</si>
  <si>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</si>
  <si>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</si>
  <si>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</si>
  <si>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</si>
  <si>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</si>
  <si>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</si>
  <si>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</si>
  <si>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</si>
  <si>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</si>
  <si>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</si>
  <si>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</si>
  <si>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</si>
  <si>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</si>
  <si>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</si>
  <si>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</si>
  <si>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</si>
  <si>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</si>
  <si>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</si>
  <si>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</si>
  <si>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</si>
  <si>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</si>
  <si>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</si>
  <si>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</si>
  <si>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</si>
  <si>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</si>
  <si>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</si>
  <si>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</si>
  <si>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</si>
  <si>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</si>
  <si>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</si>
  <si>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</si>
  <si>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</si>
  <si>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</si>
  <si>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</si>
  <si>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</si>
  <si>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</si>
  <si>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</si>
  <si>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</si>
  <si>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</si>
  <si>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</si>
  <si>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</si>
  <si>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</si>
  <si>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</si>
  <si>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</si>
  <si>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</si>
  <si>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</si>
  <si>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</si>
  <si>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</si>
  <si>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</si>
  <si>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</si>
  <si>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</si>
  <si>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</si>
  <si>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</si>
  <si>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</si>
  <si>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</si>
  <si>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</si>
  <si>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</si>
  <si>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</si>
  <si>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</si>
  <si>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</si>
  <si>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</si>
  <si>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</si>
  <si>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</si>
  <si>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</si>
  <si>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</si>
  <si>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</si>
  <si>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</si>
  <si>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</si>
  <si>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</si>
  <si>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</si>
  <si>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</si>
  <si>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</si>
  <si>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</si>
  <si>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</si>
  <si>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</si>
  <si>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</si>
  <si>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</si>
  <si>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</si>
  <si>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</si>
  <si>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</si>
  <si>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</si>
  <si>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</si>
  <si>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</si>
  <si>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</si>
  <si>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</si>
  <si>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</si>
  <si>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</si>
  <si>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</si>
  <si>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</si>
  <si>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</si>
  <si>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</si>
  <si>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</si>
  <si>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</si>
  <si>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</si>
  <si>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</si>
  <si>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</si>
  <si>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</si>
  <si>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</si>
  <si>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</si>
  <si>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</si>
  <si>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</si>
  <si>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</si>
  <si>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</si>
  <si>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</si>
  <si>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</si>
  <si>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</si>
  <si>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</si>
  <si>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</si>
  <si>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</si>
  <si>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</si>
  <si>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</si>
  <si>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</si>
  <si>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</si>
  <si>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</si>
  <si>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</si>
  <si>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</si>
  <si>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</si>
  <si>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</si>
  <si>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</si>
  <si>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</si>
  <si>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</si>
  <si>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</si>
  <si>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</si>
  <si>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</si>
  <si>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</si>
  <si>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</si>
  <si>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</si>
  <si>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</si>
  <si>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</si>
  <si>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</si>
  <si>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</si>
  <si>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</si>
  <si>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</si>
  <si>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</si>
  <si>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</si>
  <si>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</si>
  <si>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</si>
  <si>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</si>
  <si>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</si>
  <si>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</si>
  <si>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</si>
  <si>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</si>
  <si>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</si>
  <si>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</si>
  <si>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</si>
  <si>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</si>
  <si>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</si>
  <si>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</si>
  <si>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</si>
  <si>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</si>
  <si>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</si>
  <si>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</si>
  <si>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</si>
  <si>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</si>
  <si>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</si>
  <si>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</si>
  <si>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</si>
  <si>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</si>
  <si>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</si>
  <si>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</si>
  <si>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</si>
  <si>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</si>
  <si>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</si>
  <si>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</si>
  <si>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</si>
  <si>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</si>
  <si>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</si>
  <si>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</si>
  <si>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</si>
  <si>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</si>
  <si>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</si>
  <si>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</si>
  <si>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</si>
  <si>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</si>
  <si>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</si>
  <si>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</si>
  <si>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</si>
  <si>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</si>
  <si>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</si>
  <si>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</si>
  <si>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</si>
  <si>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</si>
  <si>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</si>
  <si>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</si>
  <si>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</si>
  <si>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</si>
  <si>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</si>
  <si>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</si>
  <si>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</si>
  <si>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</si>
  <si>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</si>
  <si>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</si>
  <si>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</si>
  <si>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</si>
  <si>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</si>
  <si>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</si>
  <si>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</si>
  <si>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</si>
  <si>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</si>
  <si>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</si>
  <si>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</si>
  <si>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</si>
  <si>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</si>
  <si>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</si>
  <si>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</si>
  <si>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</si>
  <si>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</si>
  <si>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</si>
  <si>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</si>
  <si>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</si>
  <si>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</si>
  <si>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</si>
  <si>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</si>
  <si>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</si>
  <si>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</si>
  <si>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</si>
  <si>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</si>
  <si>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</si>
  <si>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</si>
  <si>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</si>
  <si>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</si>
  <si>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</si>
  <si>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</si>
  <si>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</si>
  <si>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</si>
  <si>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</si>
  <si>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</si>
  <si>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</si>
  <si>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</si>
  <si>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</si>
  <si>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</si>
  <si>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</si>
  <si>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</si>
  <si>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</si>
  <si>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</si>
  <si>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</si>
  <si>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</si>
  <si>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</si>
  <si>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</si>
  <si>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</si>
  <si>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</si>
  <si>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</si>
  <si>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</si>
  <si>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</si>
  <si>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</si>
  <si>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</si>
  <si>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</si>
  <si>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</si>
  <si>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</si>
  <si>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</si>
  <si>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</si>
  <si>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</si>
  <si>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</si>
  <si>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</si>
  <si>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</si>
  <si>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</si>
  <si>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</si>
  <si>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</si>
  <si>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</si>
  <si>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</si>
  <si>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</si>
  <si>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</si>
  <si>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</si>
  <si>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</si>
  <si>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</si>
  <si>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</si>
  <si>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</si>
  <si>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</si>
  <si>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</si>
  <si>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</si>
  <si>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</si>
  <si>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</si>
  <si>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</si>
  <si>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</si>
  <si>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</si>
  <si>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</si>
  <si>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</si>
  <si>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</si>
  <si>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</si>
  <si>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</si>
  <si>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</si>
  <si>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</si>
  <si>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</si>
  <si>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</si>
  <si>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</si>
  <si>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</si>
  <si>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</si>
  <si>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</si>
  <si>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</si>
  <si>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</si>
  <si>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</si>
  <si>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</si>
  <si>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</si>
  <si>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</si>
  <si>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</si>
  <si>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</si>
  <si>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</si>
  <si>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</si>
  <si>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</si>
  <si>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</si>
  <si>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</si>
  <si>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</si>
  <si>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</si>
  <si>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</si>
  <si>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</si>
  <si>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</si>
  <si>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</si>
  <si>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</si>
  <si>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</si>
  <si>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</si>
  <si>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</si>
  <si>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</si>
  <si>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</si>
  <si>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</si>
  <si>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</si>
  <si>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</si>
  <si>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</si>
  <si>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</si>
  <si>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</si>
  <si>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</si>
  <si>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</si>
  <si>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</si>
  <si>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</si>
  <si>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</si>
  <si>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</si>
  <si>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</si>
  <si>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</si>
  <si>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</si>
  <si>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</si>
  <si>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</si>
  <si>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</si>
  <si>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</si>
  <si>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</si>
  <si>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</si>
  <si>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</si>
  <si>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</si>
  <si>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</si>
  <si>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</si>
  <si>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</si>
  <si>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</si>
  <si>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</si>
  <si>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</si>
  <si>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</si>
  <si>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</si>
  <si>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</si>
  <si>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</si>
  <si>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</si>
  <si>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</si>
  <si>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</si>
  <si>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</si>
  <si>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</si>
  <si>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</si>
  <si>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</si>
  <si>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</si>
  <si>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</si>
  <si>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</si>
  <si>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</si>
  <si>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</si>
  <si>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</si>
  <si>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</si>
  <si>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</si>
  <si>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</si>
  <si>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</si>
  <si>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</si>
  <si>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</si>
  <si>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</si>
  <si>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</si>
  <si>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</si>
  <si>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</si>
  <si>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</si>
  <si>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</si>
  <si>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</si>
  <si>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</si>
  <si>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</si>
  <si>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</si>
  <si>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</si>
  <si>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</si>
  <si>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2 map (dust)</t>
  </si>
  <si>
    <t>inferno (0)</t>
  </si>
  <si>
    <t>nuke (0)</t>
  </si>
  <si>
    <t>vertigo (0)</t>
  </si>
  <si>
    <t>MIRAGE (0/0/0)</t>
  </si>
  <si>
    <t>N1keho</t>
  </si>
  <si>
    <t>03.01.2026</t>
  </si>
  <si>
    <t>1 map (over)</t>
  </si>
  <si>
    <t>09.01.2026</t>
  </si>
  <si>
    <t>2 map (roof)</t>
  </si>
  <si>
    <t>4 map (dust)</t>
  </si>
  <si>
    <t>5 map (vert)</t>
  </si>
  <si>
    <t>8 map (anc)</t>
  </si>
  <si>
    <t>10 map (off)</t>
  </si>
  <si>
    <t>05.01.2026</t>
  </si>
  <si>
    <t>11 map (train)</t>
  </si>
  <si>
    <t>12 map (anu)</t>
  </si>
  <si>
    <t>ANUBIS (1/0/0)</t>
  </si>
  <si>
    <t>08.01.2026</t>
  </si>
  <si>
    <t>13 map (vert)</t>
  </si>
  <si>
    <t>VERTIGO (1/1/0)</t>
  </si>
  <si>
    <t>14 map (anc)</t>
  </si>
  <si>
    <t>ANCIENT (1/1/0)</t>
  </si>
  <si>
    <t>16 map (inf)</t>
  </si>
  <si>
    <t>17 map (nuke)</t>
  </si>
  <si>
    <t>OVERPASS (1/0/0)</t>
  </si>
  <si>
    <t>DUST (3/0/0)</t>
  </si>
  <si>
    <t>MIRAGE (1/1/0)</t>
  </si>
  <si>
    <t>INFERNO (1/1/0)</t>
  </si>
  <si>
    <t>TRAIN (1/1/0)</t>
  </si>
  <si>
    <t>NUKE (3/0/0)</t>
  </si>
  <si>
    <t>OVERPASS (1)</t>
  </si>
  <si>
    <t>rooftop (1)</t>
  </si>
  <si>
    <t>10, 10, 10, 9, def - lose</t>
  </si>
  <si>
    <t>10, 10, 10, def, def - 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</si>
</sst>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4469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 applyFont="1"/>
    <xf numFmtId="0" fontId="0" fillId="0" borderId="0" xfId="0"/>
    <xf numFmtId="0" fontId="0" fillId="0" borderId="0" xfId="0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0" fillId="0" borderId="0" xfId="0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 applyAlignment="1">
      <alignment horizontal="center"/>
    </xf>
    <xf numFmtId="0" fontId="23" fillId="14" borderId="0" xfId="1"/>
    <xf numFmtId="0" fontId="25" fillId="16" borderId="0" xfId="4" applyAlignment="1">
      <alignment horizontal="center"/>
    </xf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  <xf numFmtId="0" fontId="14" fillId="0" borderId="0" xfId="0" applyFont="1" applyAlignment="1"/>
    <xf numFmtId="0" fontId="14" fillId="0" borderId="5" xfId="0" applyFont="1" applyBorder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4417" t="s">
        <v>0</v>
      </c>
      <c r="C1" s="4418"/>
      <c r="D1" s="4419" t="s">
        <v>1</v>
      </c>
      <c r="E1" s="4418"/>
      <c r="F1" s="4420" t="s">
        <v>177</v>
      </c>
      <c r="G1" s="4418"/>
      <c r="H1" s="4417" t="s">
        <v>174</v>
      </c>
      <c r="I1" s="4418"/>
      <c r="J1" s="4419" t="s">
        <v>175</v>
      </c>
      <c r="K1" s="4418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4421" t="str">
        <f>"Mirage"&amp;" "&amp;H5/SUM(H5:I5)*100</f>
        <v>Mirage 25</v>
      </c>
      <c r="I3" s="4422"/>
      <c r="J3" s="4421" t="str">
        <f>"Inferno"&amp;" "&amp;ROUND(J5/SUM(J5:K5)*100,0)</f>
        <v>Inferno 40</v>
      </c>
      <c r="K3" s="4422"/>
      <c r="L3" s="4421" t="str">
        <f>"Overpass"&amp;" "&amp;ROUND(L5/SUM(L5:M5)*100,0)</f>
        <v>Overpass 67</v>
      </c>
      <c r="M3" s="4422"/>
      <c r="N3" s="4421" t="str">
        <f>"Vertigo"&amp;" "&amp;ROUND(N5/SUM(N5:O5)*100,0)</f>
        <v>Vertigo 80</v>
      </c>
      <c r="O3" s="4422"/>
      <c r="P3" s="4421" t="str">
        <f>"Ancient"&amp;" "&amp;ROUND(P5/SUM(P5:Q5)*100,0)</f>
        <v>Ancient 50</v>
      </c>
      <c r="Q3" s="4422"/>
      <c r="R3" s="4421" t="str">
        <f>"Anubis"&amp;" "&amp;ROUND(R5/SUM(R5:S5)*100,0)</f>
        <v>Anubis 67</v>
      </c>
      <c r="S3" s="4422"/>
      <c r="T3" s="4421" t="str">
        <f>"Dust II"&amp;" "&amp;ROUND(T5/SUM(T5:U5)*100,0)</f>
        <v>Dust II 100</v>
      </c>
      <c r="U3" s="4422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4421" t="s">
        <v>206</v>
      </c>
      <c r="I7" s="4422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4421" t="s">
        <v>373</v>
      </c>
      <c r="G3" s="4422"/>
      <c r="H3" s="4422"/>
      <c r="I3" s="4421" t="s">
        <v>374</v>
      </c>
      <c r="J3" s="4422"/>
      <c r="K3" s="4422"/>
      <c r="L3" s="4421" t="s">
        <v>375</v>
      </c>
      <c r="M3" s="4422"/>
      <c r="N3" s="4422"/>
      <c r="O3" s="4421" t="s">
        <v>376</v>
      </c>
      <c r="P3" s="4422"/>
      <c r="Q3" s="4422"/>
      <c r="R3" s="4421" t="s">
        <v>377</v>
      </c>
      <c r="S3" s="4422"/>
      <c r="T3" s="4421" t="s">
        <v>378</v>
      </c>
      <c r="U3" s="4422"/>
      <c r="V3" s="4421" t="s">
        <v>379</v>
      </c>
      <c r="W3" s="4422"/>
      <c r="X3" s="4422"/>
      <c r="Y3" s="4421" t="s">
        <v>380</v>
      </c>
      <c r="Z3" s="4422"/>
      <c r="AA3" s="4422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4417" t="s">
        <v>641</v>
      </c>
      <c r="B1" s="4423"/>
      <c r="C1" s="4423"/>
      <c r="D1" s="4418"/>
      <c r="E1" s="4419" t="s">
        <v>642</v>
      </c>
      <c r="F1" s="4423"/>
      <c r="G1" s="4423"/>
      <c r="H1" s="4423"/>
      <c r="I1" s="4423"/>
      <c r="J1" s="4418"/>
      <c r="K1" s="4420" t="s">
        <v>643</v>
      </c>
      <c r="L1" s="4423"/>
      <c r="M1" s="4423"/>
      <c r="N1" s="4418"/>
      <c r="O1" s="4424" t="s">
        <v>644</v>
      </c>
      <c r="P1" s="4425"/>
      <c r="Q1" s="4425"/>
      <c r="R1" s="4425"/>
      <c r="S1" s="4426"/>
      <c r="T1" s="4427" t="s">
        <v>645</v>
      </c>
      <c r="U1" s="4428"/>
      <c r="V1" s="4428"/>
      <c r="W1" s="4428"/>
      <c r="X1" s="4429"/>
      <c r="Y1" s="4430" t="s">
        <v>646</v>
      </c>
      <c r="Z1" s="4431"/>
      <c r="AA1" s="4431"/>
      <c r="AB1" s="4432"/>
      <c r="AC1" s="4433" t="s">
        <v>647</v>
      </c>
      <c r="AD1" s="4423"/>
      <c r="AE1" s="4423"/>
      <c r="AF1" s="4423"/>
      <c r="AG1" s="4418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4421" t="s">
        <v>651</v>
      </c>
      <c r="B8" s="4422"/>
      <c r="C8" s="4422"/>
      <c r="D8" s="4422"/>
      <c r="E8" s="4422"/>
      <c r="F8" s="4422"/>
      <c r="G8" s="4422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4434" t="s">
        <v>710</v>
      </c>
      <c r="C20" s="4435"/>
      <c r="D20" s="4435"/>
      <c r="E20" s="4435"/>
      <c r="F20" s="4435"/>
      <c r="G20" s="4435"/>
      <c r="H20" s="4436"/>
    </row>
    <row r="21" spans="1:13" ht="15.75" customHeight="1" x14ac:dyDescent="0.25"/>
    <row r="22" spans="1:13" ht="15.75" customHeight="1" x14ac:dyDescent="0.25">
      <c r="A22" s="4434" t="s">
        <v>711</v>
      </c>
      <c r="B22" s="4435"/>
      <c r="C22" s="4436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workbookViewId="0">
      <pane ySplit="1" topLeftCell="A2" activePane="bottomLeft" state="frozen"/>
      <selection pane="bottomLeft" activeCell="AF14" sqref="AF1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4438" t="s">
        <v>1293</v>
      </c>
      <c r="I3" s="4439"/>
      <c r="J3" s="4439"/>
      <c r="K3" s="4439"/>
      <c r="L3" s="4440" t="s">
        <v>1322</v>
      </c>
      <c r="M3" s="4441"/>
      <c r="N3" s="4441"/>
      <c r="O3" s="4441"/>
      <c r="P3" s="4442" t="s">
        <v>944</v>
      </c>
      <c r="Q3" s="4443"/>
      <c r="R3" s="4443"/>
      <c r="S3" s="4443"/>
      <c r="T3" s="4444" t="s">
        <v>941</v>
      </c>
      <c r="U3" s="4422"/>
      <c r="V3" s="4422"/>
      <c r="W3" s="4422"/>
      <c r="X3" s="4445" t="s">
        <v>1324</v>
      </c>
      <c r="Y3" s="4422"/>
      <c r="Z3" s="4422"/>
      <c r="AA3" s="4422"/>
      <c r="AB3" s="4446" t="s">
        <v>1289</v>
      </c>
      <c r="AC3" s="4422"/>
      <c r="AD3" s="4422"/>
      <c r="AE3" s="4422"/>
      <c r="AF3" s="4442" t="s">
        <v>1029</v>
      </c>
      <c r="AG3" s="4442"/>
      <c r="AH3" s="4442"/>
      <c r="AI3" s="4442"/>
      <c r="AJ3" s="4442" t="s">
        <v>1030</v>
      </c>
      <c r="AK3" s="4442"/>
      <c r="AL3" s="4442"/>
      <c r="AM3" s="4442"/>
      <c r="AN3" s="4440" t="s">
        <v>1231</v>
      </c>
      <c r="AO3" s="4440"/>
      <c r="AP3" s="4440"/>
      <c r="AQ3" s="4440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4437">
        <f>AVERAGE(H4:I4)</f>
        <v>1.0193362533692722</v>
      </c>
      <c r="I5" s="4437"/>
      <c r="J5" s="4437"/>
      <c r="K5" s="4437"/>
      <c r="L5" s="4437">
        <f>AVERAGE(L4:M4)</f>
        <v>1.0659129143988122</v>
      </c>
      <c r="M5" s="4437"/>
      <c r="N5" s="4437"/>
      <c r="O5" s="4437"/>
      <c r="P5" s="4437">
        <f>AVERAGE(P4:Q4)</f>
        <v>0.92159926470588238</v>
      </c>
      <c r="Q5" s="4437"/>
      <c r="R5" s="4437"/>
      <c r="S5" s="4437"/>
      <c r="T5" s="4437">
        <f>AVERAGE(T4:U4)</f>
        <v>1.1372058823529412</v>
      </c>
      <c r="U5" s="4437"/>
      <c r="V5" s="4437"/>
      <c r="W5" s="4437"/>
      <c r="X5" s="4437">
        <f>AVERAGE(X4:Y4)</f>
        <v>1.1944506048387096</v>
      </c>
      <c r="Y5" s="4437"/>
      <c r="Z5" s="4437"/>
      <c r="AA5" s="4437"/>
      <c r="AB5" s="4437">
        <f>AVERAGE(AB4:AC4)</f>
        <v>1.0036596218020022</v>
      </c>
      <c r="AC5" s="4437"/>
      <c r="AD5" s="4437"/>
      <c r="AE5" s="4437"/>
      <c r="AF5" s="4437">
        <f>AVERAGE(AF4:AG4)</f>
        <v>0.74166666666666659</v>
      </c>
      <c r="AG5" s="4437"/>
      <c r="AH5" s="4437"/>
      <c r="AI5" s="4437"/>
      <c r="AJ5" s="4437">
        <f>AVERAGE(AJ4:AK4)</f>
        <v>0.75</v>
      </c>
      <c r="AK5" s="4437"/>
      <c r="AL5" s="4437"/>
      <c r="AM5" s="4437"/>
      <c r="AN5" s="4437">
        <f>AVERAGE(AN4:AO4)</f>
        <v>1.4249999999999998</v>
      </c>
      <c r="AO5" s="4437"/>
      <c r="AP5" s="4437"/>
      <c r="AQ5" s="4437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zoomScale="80" workbookViewId="0">
      <pane ySplit="1" topLeftCell="A2" activePane="bottomLeft" state="frozen"/>
      <selection pane="bottomLeft" activeCell="M26" sqref="M26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447" t="s">
        <v>1340</v>
      </c>
      <c r="CK1" s="4447"/>
      <c r="CL1" s="4447"/>
      <c r="CM1" s="4447"/>
      <c r="CN1" s="4447"/>
      <c r="CO1" s="4447"/>
      <c r="CP1" s="4444" t="s">
        <v>1332</v>
      </c>
      <c r="CQ1" s="4444"/>
      <c r="CR1" s="4444"/>
      <c r="CS1" s="4444"/>
      <c r="CT1" s="4444"/>
      <c r="CU1" s="4444"/>
      <c r="CV1" s="4446" t="s">
        <v>1306</v>
      </c>
      <c r="CW1" s="4446"/>
      <c r="CX1" s="4446"/>
      <c r="CY1" s="4446"/>
      <c r="CZ1" s="4446"/>
      <c r="DA1" s="4446"/>
      <c r="DB1" s="4448" t="s">
        <v>1272</v>
      </c>
      <c r="DC1" s="4448"/>
      <c r="DD1" s="4448"/>
      <c r="DE1" s="4448"/>
      <c r="DF1" s="4448"/>
      <c r="DG1" s="4448"/>
      <c r="DH1" s="4446" t="s">
        <v>1333</v>
      </c>
      <c r="DI1" s="4446"/>
      <c r="DJ1" s="4446"/>
      <c r="DK1" s="4446"/>
      <c r="DL1" s="4446"/>
      <c r="DM1" s="4446"/>
      <c r="DN1" s="4444" t="s">
        <v>997</v>
      </c>
      <c r="DO1" s="4444"/>
      <c r="DP1" s="4444"/>
      <c r="DQ1" s="4444"/>
      <c r="DR1" s="4444"/>
      <c r="DS1" s="4444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4421">
        <f>_xlfn.AGGREGATE(1,6,CJ2:CO2)</f>
        <v>1.0302314814814812</v>
      </c>
      <c r="CK3" s="4421"/>
      <c r="CL3" s="4421"/>
      <c r="CM3" s="4421"/>
      <c r="CN3" s="4421"/>
      <c r="CO3" s="4421"/>
      <c r="CP3" s="4421">
        <f t="shared" ref="CP3" si="6">_xlfn.AGGREGATE(1,6,CP2:CU2)</f>
        <v>1.1007646356033451</v>
      </c>
      <c r="CQ3" s="4421"/>
      <c r="CR3" s="4421"/>
      <c r="CS3" s="4421"/>
      <c r="CT3" s="4421"/>
      <c r="CU3" s="4421"/>
      <c r="CV3" s="4421">
        <f t="shared" ref="CV3" si="7">_xlfn.AGGREGATE(1,6,CV2:DA2)</f>
        <v>1.0716666666666665</v>
      </c>
      <c r="CW3" s="4421"/>
      <c r="CX3" s="4421"/>
      <c r="CY3" s="4421"/>
      <c r="CZ3" s="4421"/>
      <c r="DA3" s="4421"/>
      <c r="DB3" s="4421">
        <f t="shared" ref="DB3" si="8">_xlfn.AGGREGATE(1,6,DB2:DG2)</f>
        <v>1.1828888888888889</v>
      </c>
      <c r="DC3" s="4421"/>
      <c r="DD3" s="4421"/>
      <c r="DE3" s="4421"/>
      <c r="DF3" s="4421"/>
      <c r="DG3" s="4421"/>
      <c r="DH3" s="4421">
        <f t="shared" ref="DH3" si="9">_xlfn.AGGREGATE(1,6,DH2:DM2)</f>
        <v>1.1250000000000002</v>
      </c>
      <c r="DI3" s="4421"/>
      <c r="DJ3" s="4421"/>
      <c r="DK3" s="4421"/>
      <c r="DL3" s="4421"/>
      <c r="DM3" s="4421"/>
      <c r="DN3" s="4421" t="e">
        <f t="shared" ref="DN3" si="10">_xlfn.AGGREGATE(1,6,DN2:DS2)</f>
        <v>#DIV/0!</v>
      </c>
      <c r="DO3" s="4421"/>
      <c r="DP3" s="4421"/>
      <c r="DQ3" s="4421"/>
      <c r="DR3" s="4421"/>
      <c r="DS3" s="4421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4446" t="s">
        <v>1303</v>
      </c>
      <c r="CK4" s="4446"/>
      <c r="CL4" s="4446"/>
      <c r="CM4" s="4446"/>
      <c r="CN4" s="4446"/>
      <c r="CO4" s="4446"/>
      <c r="CP4" s="4449" t="s">
        <v>993</v>
      </c>
      <c r="CQ4" s="4449"/>
      <c r="CR4" s="4449"/>
      <c r="CS4" s="4449"/>
      <c r="CT4" s="4449"/>
      <c r="CU4" s="4449"/>
      <c r="CV4" s="4444" t="s">
        <v>994</v>
      </c>
      <c r="CW4" s="4444"/>
      <c r="CX4" s="4444"/>
      <c r="CY4" s="4444"/>
      <c r="CZ4" s="4444"/>
      <c r="DA4" s="4444"/>
      <c r="DB4" s="4446" t="s">
        <v>995</v>
      </c>
      <c r="DC4" s="4446"/>
      <c r="DD4" s="4446"/>
      <c r="DE4" s="4446"/>
      <c r="DF4" s="4446"/>
      <c r="DG4" s="4446"/>
      <c r="DH4" s="4444" t="s">
        <v>996</v>
      </c>
      <c r="DI4" s="4444"/>
      <c r="DJ4" s="4444"/>
      <c r="DK4" s="4444"/>
      <c r="DL4" s="4444"/>
      <c r="DM4" s="4444"/>
      <c r="DN4" s="4448" t="s">
        <v>1308</v>
      </c>
      <c r="DO4" s="4448"/>
      <c r="DP4" s="4448"/>
      <c r="DQ4" s="4448"/>
      <c r="DR4" s="4448"/>
      <c r="DS4" s="4448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4421">
        <f>_xlfn.AGGREGATE(1,6,CJ5:CO5)</f>
        <v>1.098888888888889</v>
      </c>
      <c r="CK6" s="4421"/>
      <c r="CL6" s="4421"/>
      <c r="CM6" s="4421"/>
      <c r="CN6" s="4421"/>
      <c r="CO6" s="4421"/>
      <c r="CP6" s="4421" t="e">
        <f t="shared" ref="CP6" si="17">_xlfn.AGGREGATE(1,6,CP5:CU5)</f>
        <v>#DIV/0!</v>
      </c>
      <c r="CQ6" s="4421"/>
      <c r="CR6" s="4421"/>
      <c r="CS6" s="4421"/>
      <c r="CT6" s="4421"/>
      <c r="CU6" s="4421"/>
      <c r="CV6" s="4421" t="e">
        <f t="shared" ref="CV6" si="18">_xlfn.AGGREGATE(1,6,CV5:DA5)</f>
        <v>#DIV/0!</v>
      </c>
      <c r="CW6" s="4421"/>
      <c r="CX6" s="4421"/>
      <c r="CY6" s="4421"/>
      <c r="CZ6" s="4421"/>
      <c r="DA6" s="4421"/>
      <c r="DB6" s="4421">
        <f t="shared" ref="DB6" si="19">_xlfn.AGGREGATE(1,6,DB5:DG5)</f>
        <v>1.0416666666666667</v>
      </c>
      <c r="DC6" s="4421"/>
      <c r="DD6" s="4421"/>
      <c r="DE6" s="4421"/>
      <c r="DF6" s="4421"/>
      <c r="DG6" s="4421"/>
      <c r="DH6" s="4421" t="e">
        <f t="shared" ref="DH6" si="20">_xlfn.AGGREGATE(1,6,DH5:DM5)</f>
        <v>#DIV/0!</v>
      </c>
      <c r="DI6" s="4421"/>
      <c r="DJ6" s="4421"/>
      <c r="DK6" s="4421"/>
      <c r="DL6" s="4421"/>
      <c r="DM6" s="4421"/>
      <c r="DN6" s="4421">
        <f t="shared" ref="DN6" si="21">_xlfn.AGGREGATE(1,6,DN5:DS5)</f>
        <v>1.0967878787878786</v>
      </c>
      <c r="DO6" s="4421"/>
      <c r="DP6" s="4421"/>
      <c r="DQ6" s="4421"/>
      <c r="DR6" s="4421"/>
      <c r="DS6" s="4421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topLeftCell="CA1" zoomScale="85" zoomScaleNormal="85" workbookViewId="0">
      <pane ySplit="1" topLeftCell="A141" activePane="bottomLeft" state="frozen"/>
      <selection pane="bottomLeft" activeCell="A163" sqref="A163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4461" t="s">
        <v>1326</v>
      </c>
      <c r="CK1" s="4457"/>
      <c r="CL1" s="4457"/>
      <c r="CM1" s="4457"/>
      <c r="CN1" s="4457"/>
      <c r="CO1" s="4458"/>
      <c r="CP1" s="4453" t="s">
        <v>1338</v>
      </c>
      <c r="CQ1" s="4454"/>
      <c r="CR1" s="4454"/>
      <c r="CS1" s="4454"/>
      <c r="CT1" s="4454"/>
      <c r="CU1" s="4455"/>
      <c r="CV1" s="4461" t="s">
        <v>1313</v>
      </c>
      <c r="CW1" s="4457"/>
      <c r="CX1" s="4457"/>
      <c r="CY1" s="4457"/>
      <c r="CZ1" s="4457"/>
      <c r="DA1" s="4458"/>
      <c r="DB1" s="4462" t="s">
        <v>1336</v>
      </c>
      <c r="DC1" s="4457"/>
      <c r="DD1" s="4457"/>
      <c r="DE1" s="4457"/>
      <c r="DF1" s="4457"/>
      <c r="DG1" s="4458"/>
      <c r="DH1" s="4463" t="s">
        <v>1282</v>
      </c>
      <c r="DI1" s="4464"/>
      <c r="DJ1" s="4464"/>
      <c r="DK1" s="4464"/>
      <c r="DL1" s="4464"/>
      <c r="DM1" s="4465"/>
      <c r="DN1" s="4453" t="s">
        <v>991</v>
      </c>
      <c r="DO1" s="4454"/>
      <c r="DP1" s="4454"/>
      <c r="DQ1" s="4454"/>
      <c r="DR1" s="4454"/>
      <c r="DS1" s="4455"/>
      <c r="DT1" s="4453" t="s">
        <v>992</v>
      </c>
      <c r="DU1" s="4454"/>
      <c r="DV1" s="4454"/>
      <c r="DW1" s="4454"/>
      <c r="DX1" s="4454"/>
      <c r="DY1" s="4455"/>
      <c r="DZ1" s="4450" t="s">
        <v>1121</v>
      </c>
      <c r="EA1" s="4451"/>
      <c r="EB1" s="4451"/>
      <c r="EC1" s="4451"/>
      <c r="ED1" s="4451"/>
      <c r="EE1" s="4452"/>
      <c r="EF1" s="4450" t="s">
        <v>1178</v>
      </c>
      <c r="EG1" s="4451"/>
      <c r="EH1" s="4451"/>
      <c r="EI1" s="4451"/>
      <c r="EJ1" s="4451"/>
      <c r="EK1" s="4452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4421">
        <f>_xlfn.AGGREGATE(1,3,CJ2:CL2)</f>
        <v>1.2020329670329672</v>
      </c>
      <c r="CK3" s="4422"/>
      <c r="CL3" s="4422"/>
      <c r="CM3" s="4422"/>
      <c r="CN3" s="4422"/>
      <c r="CO3" s="4422"/>
      <c r="CP3" s="4421">
        <f>_xlfn.AGGREGATE(1,3,CP2:CR2)</f>
        <v>1.1494795008912657</v>
      </c>
      <c r="CQ3" s="4422"/>
      <c r="CR3" s="4422"/>
      <c r="CS3" s="4422"/>
      <c r="CT3" s="4422"/>
      <c r="CU3" s="4422"/>
      <c r="CV3" s="4421">
        <f>_xlfn.AGGREGATE(1,3,CV2:CX2)</f>
        <v>1.0901058201058202</v>
      </c>
      <c r="CW3" s="4422"/>
      <c r="CX3" s="4422"/>
      <c r="CY3" s="4422"/>
      <c r="CZ3" s="4422"/>
      <c r="DA3" s="4422"/>
      <c r="DB3" s="4421">
        <f>_xlfn.AGGREGATE(1,3,DB2:DD2)</f>
        <v>1.2281853623958889</v>
      </c>
      <c r="DC3" s="4422"/>
      <c r="DD3" s="4422"/>
      <c r="DE3" s="4422"/>
      <c r="DF3" s="4422"/>
      <c r="DG3" s="4422"/>
      <c r="DH3" s="4421">
        <f>_xlfn.AGGREGATE(1,3,DH2:DJ2)</f>
        <v>1.0894419306184009</v>
      </c>
      <c r="DI3" s="4422"/>
      <c r="DJ3" s="4422"/>
      <c r="DK3" s="4422"/>
      <c r="DL3" s="4422"/>
      <c r="DM3" s="4422"/>
      <c r="DN3" s="4421">
        <f t="shared" ref="DN3" si="9">_xlfn.AGGREGATE(1,6,DN2:DS2)</f>
        <v>1.2135555555555557</v>
      </c>
      <c r="DO3" s="4422"/>
      <c r="DP3" s="4422"/>
      <c r="DQ3" s="4422"/>
      <c r="DR3" s="4422"/>
      <c r="DS3" s="4422"/>
      <c r="DT3" s="4421">
        <f>_xlfn.AGGREGATE(1,3,DT2:DV2)</f>
        <v>1.355</v>
      </c>
      <c r="DU3" s="4422"/>
      <c r="DV3" s="4422"/>
      <c r="DW3" s="4422"/>
      <c r="DX3" s="4422"/>
      <c r="DY3" s="4422"/>
      <c r="DZ3" s="4421">
        <f>_xlfn.AGGREGATE(1,3,DZ2:EB2)</f>
        <v>1.0728333333333335</v>
      </c>
      <c r="EA3" s="4422"/>
      <c r="EB3" s="4422"/>
      <c r="EC3" s="4422"/>
      <c r="ED3" s="4422"/>
      <c r="EE3" s="4422"/>
      <c r="EF3" s="4421">
        <f>_xlfn.AGGREGATE(1,3,EF2:EH2)</f>
        <v>0.94666666666666666</v>
      </c>
      <c r="EG3" s="4422"/>
      <c r="EH3" s="4422"/>
      <c r="EI3" s="4422"/>
      <c r="EJ3" s="4422"/>
      <c r="EK3" s="4422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4459" t="s">
        <v>1330</v>
      </c>
      <c r="CK4" s="4454"/>
      <c r="CL4" s="4454"/>
      <c r="CM4" s="4454"/>
      <c r="CN4" s="4454"/>
      <c r="CO4" s="4455"/>
      <c r="CP4" s="4456" t="s">
        <v>1311</v>
      </c>
      <c r="CQ4" s="4457"/>
      <c r="CR4" s="4457"/>
      <c r="CS4" s="4457"/>
      <c r="CT4" s="4457"/>
      <c r="CU4" s="4458"/>
      <c r="CV4" s="4460" t="s">
        <v>1316</v>
      </c>
      <c r="CW4" s="4454"/>
      <c r="CX4" s="4454"/>
      <c r="CY4" s="4454"/>
      <c r="CZ4" s="4454"/>
      <c r="DA4" s="4455"/>
      <c r="DB4" s="4456" t="s">
        <v>1280</v>
      </c>
      <c r="DC4" s="4457"/>
      <c r="DD4" s="4457"/>
      <c r="DE4" s="4457"/>
      <c r="DF4" s="4457"/>
      <c r="DG4" s="4458"/>
      <c r="DH4" s="4453" t="s">
        <v>946</v>
      </c>
      <c r="DI4" s="4454"/>
      <c r="DJ4" s="4454"/>
      <c r="DK4" s="4454"/>
      <c r="DL4" s="4454"/>
      <c r="DM4" s="4455"/>
      <c r="DN4" s="4450" t="s">
        <v>1191</v>
      </c>
      <c r="DO4" s="4451"/>
      <c r="DP4" s="4451"/>
      <c r="DQ4" s="4451"/>
      <c r="DR4" s="4451"/>
      <c r="DS4" s="4452"/>
      <c r="DT4" s="4453" t="s">
        <v>1328</v>
      </c>
      <c r="DU4" s="4454"/>
      <c r="DV4" s="4454"/>
      <c r="DW4" s="4454"/>
      <c r="DX4" s="4454"/>
      <c r="DY4" s="4455"/>
      <c r="DZ4" s="4450" t="s">
        <v>1205</v>
      </c>
      <c r="EA4" s="4451"/>
      <c r="EB4" s="4451"/>
      <c r="EC4" s="4451"/>
      <c r="ED4" s="4451"/>
      <c r="EE4" s="4452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4421">
        <f>_xlfn.AGGREGATE(1,3,CJ5:CL5)</f>
        <v>1.1417748538011698</v>
      </c>
      <c r="CK6" s="4422"/>
      <c r="CL6" s="4422"/>
      <c r="CM6" s="4422"/>
      <c r="CN6" s="4422"/>
      <c r="CO6" s="4422"/>
      <c r="CP6" s="4421">
        <f>_xlfn.AGGREGATE(1,3,CP5:CR5)</f>
        <v>1.2262257187257186</v>
      </c>
      <c r="CQ6" s="4422"/>
      <c r="CR6" s="4422"/>
      <c r="CS6" s="4422"/>
      <c r="CT6" s="4422"/>
      <c r="CU6" s="4422"/>
      <c r="CV6" s="4421">
        <f>_xlfn.AGGREGATE(1,3,CV5:CX5)</f>
        <v>1.1702931473984102</v>
      </c>
      <c r="CW6" s="4422"/>
      <c r="CX6" s="4422"/>
      <c r="CY6" s="4422"/>
      <c r="CZ6" s="4422"/>
      <c r="DA6" s="4422"/>
      <c r="DB6" s="4421">
        <f>_xlfn.AGGREGATE(1,3,DB5:DD5)</f>
        <v>1.2373106060606061</v>
      </c>
      <c r="DC6" s="4422"/>
      <c r="DD6" s="4422"/>
      <c r="DE6" s="4422"/>
      <c r="DF6" s="4422"/>
      <c r="DG6" s="4422"/>
      <c r="DH6" s="4421">
        <f>_xlfn.AGGREGATE(1,3,DH5:DJ5)</f>
        <v>1.1100000000000001</v>
      </c>
      <c r="DI6" s="4422"/>
      <c r="DJ6" s="4422"/>
      <c r="DK6" s="4422"/>
      <c r="DL6" s="4422"/>
      <c r="DM6" s="4422"/>
      <c r="DN6" s="4421">
        <f>_xlfn.AGGREGATE(1,3,DN5:DP5)</f>
        <v>1.0518518518518516</v>
      </c>
      <c r="DO6" s="4422"/>
      <c r="DP6" s="4422"/>
      <c r="DQ6" s="4422"/>
      <c r="DR6" s="4422"/>
      <c r="DS6" s="4422"/>
      <c r="DT6" s="4421">
        <f>_xlfn.AGGREGATE(1,3,DT5:DV5)</f>
        <v>1.2530952380952383</v>
      </c>
      <c r="DU6" s="4422"/>
      <c r="DV6" s="4422"/>
      <c r="DW6" s="4422"/>
      <c r="DX6" s="4422"/>
      <c r="DY6" s="4422"/>
      <c r="DZ6" s="4421">
        <f>_xlfn.AGGREGATE(1,3,DZ5:EB5)</f>
        <v>0.91333333333333344</v>
      </c>
      <c r="EA6" s="4422"/>
      <c r="EB6" s="4422"/>
      <c r="EC6" s="4422"/>
      <c r="ED6" s="4422"/>
      <c r="EE6" s="4422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447" t="s">
        <v>1100</v>
      </c>
      <c r="CK1" s="4447"/>
      <c r="CL1" s="4447"/>
      <c r="CM1" s="4447"/>
      <c r="CN1" s="4447"/>
      <c r="CO1" s="4447"/>
      <c r="CP1" s="4466" t="s">
        <v>1111</v>
      </c>
      <c r="CQ1" s="4449"/>
      <c r="CR1" s="4449"/>
      <c r="CS1" s="4449"/>
      <c r="CT1" s="4449"/>
      <c r="CU1" s="4449"/>
      <c r="CV1" s="4448" t="s">
        <v>1101</v>
      </c>
      <c r="CW1" s="4448"/>
      <c r="CX1" s="4448"/>
      <c r="CY1" s="4448"/>
      <c r="CZ1" s="4448"/>
      <c r="DA1" s="4448"/>
      <c r="DB1" s="4446" t="s">
        <v>1102</v>
      </c>
      <c r="DC1" s="4446"/>
      <c r="DD1" s="4446"/>
      <c r="DE1" s="4446"/>
      <c r="DF1" s="4446"/>
      <c r="DG1" s="4446"/>
      <c r="DH1" s="4448" t="s">
        <v>1104</v>
      </c>
      <c r="DI1" s="4448"/>
      <c r="DJ1" s="4448"/>
      <c r="DK1" s="4448"/>
      <c r="DL1" s="4448"/>
      <c r="DM1" s="4448"/>
      <c r="DN1" s="4444" t="s">
        <v>997</v>
      </c>
      <c r="DO1" s="4444"/>
      <c r="DP1" s="4444"/>
      <c r="DQ1" s="4444"/>
      <c r="DR1" s="4444"/>
      <c r="DS1" s="4444"/>
      <c r="DT1" s="4444" t="s">
        <v>998</v>
      </c>
      <c r="DU1" s="4444"/>
      <c r="DV1" s="4444"/>
      <c r="DW1" s="4444"/>
      <c r="DX1" s="4444"/>
      <c r="DY1" s="4444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4421" t="e">
        <f>_xlfn.AGGREGATE(1,6,CJ2:CO2)</f>
        <v>#DIV/0!</v>
      </c>
      <c r="CK3" s="4421"/>
      <c r="CL3" s="4421"/>
      <c r="CM3" s="4421"/>
      <c r="CN3" s="4421"/>
      <c r="CO3" s="4421"/>
      <c r="CP3" s="4421">
        <f t="shared" ref="CP3" si="1">_xlfn.AGGREGATE(1,6,CP2:CU2)</f>
        <v>1.4500000000000002</v>
      </c>
      <c r="CQ3" s="4421"/>
      <c r="CR3" s="4421"/>
      <c r="CS3" s="4421"/>
      <c r="CT3" s="4421"/>
      <c r="CU3" s="4421"/>
      <c r="CV3" s="4421" t="e">
        <f t="shared" ref="CV3" si="2">_xlfn.AGGREGATE(1,6,CV2:DA2)</f>
        <v>#DIV/0!</v>
      </c>
      <c r="CW3" s="4421"/>
      <c r="CX3" s="4421"/>
      <c r="CY3" s="4421"/>
      <c r="CZ3" s="4421"/>
      <c r="DA3" s="4421"/>
      <c r="DB3" s="4421" t="e">
        <f t="shared" ref="DB3" si="3">_xlfn.AGGREGATE(1,6,DB2:DG2)</f>
        <v>#DIV/0!</v>
      </c>
      <c r="DC3" s="4421"/>
      <c r="DD3" s="4421"/>
      <c r="DE3" s="4421"/>
      <c r="DF3" s="4421"/>
      <c r="DG3" s="4421"/>
      <c r="DH3" s="4421" t="e">
        <f t="shared" ref="DH3" si="4">_xlfn.AGGREGATE(1,6,DH2:DM2)</f>
        <v>#DIV/0!</v>
      </c>
      <c r="DI3" s="4421"/>
      <c r="DJ3" s="4421"/>
      <c r="DK3" s="4421"/>
      <c r="DL3" s="4421"/>
      <c r="DM3" s="4421"/>
      <c r="DN3" s="4421" t="e">
        <f t="shared" ref="DN3" si="5">_xlfn.AGGREGATE(1,6,DN2:DS2)</f>
        <v>#DIV/0!</v>
      </c>
      <c r="DO3" s="4421"/>
      <c r="DP3" s="4421"/>
      <c r="DQ3" s="4421"/>
      <c r="DR3" s="4421"/>
      <c r="DS3" s="4421"/>
      <c r="DT3" s="4421" t="e">
        <f t="shared" ref="DT3" si="6">_xlfn.AGGREGATE(1,6,DT2:DY2)</f>
        <v>#DIV/0!</v>
      </c>
      <c r="DU3" s="4421"/>
      <c r="DV3" s="4421"/>
      <c r="DW3" s="4421"/>
      <c r="DX3" s="4421"/>
      <c r="DY3" s="4421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4446" t="s">
        <v>1099</v>
      </c>
      <c r="CK4" s="4446"/>
      <c r="CL4" s="4446"/>
      <c r="CM4" s="4446"/>
      <c r="CN4" s="4446"/>
      <c r="CO4" s="4446"/>
      <c r="CP4" s="4449" t="s">
        <v>993</v>
      </c>
      <c r="CQ4" s="4449"/>
      <c r="CR4" s="4449"/>
      <c r="CS4" s="4449"/>
      <c r="CT4" s="4449"/>
      <c r="CU4" s="4449"/>
      <c r="CV4" s="4444" t="s">
        <v>994</v>
      </c>
      <c r="CW4" s="4444"/>
      <c r="CX4" s="4444"/>
      <c r="CY4" s="4444"/>
      <c r="CZ4" s="4444"/>
      <c r="DA4" s="4444"/>
      <c r="DB4" s="4446" t="s">
        <v>1103</v>
      </c>
      <c r="DC4" s="4446"/>
      <c r="DD4" s="4446"/>
      <c r="DE4" s="4446"/>
      <c r="DF4" s="4446"/>
      <c r="DG4" s="4446"/>
      <c r="DH4" s="4444" t="s">
        <v>996</v>
      </c>
      <c r="DI4" s="4444"/>
      <c r="DJ4" s="4444"/>
      <c r="DK4" s="4444"/>
      <c r="DL4" s="4444"/>
      <c r="DM4" s="4444"/>
      <c r="DN4" s="4445" t="s">
        <v>1105</v>
      </c>
      <c r="DO4" s="4444"/>
      <c r="DP4" s="4444"/>
      <c r="DQ4" s="4444"/>
      <c r="DR4" s="4444"/>
      <c r="DS4" s="4444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O30"/>
  <sheetViews>
    <sheetView workbookViewId="0">
      <selection sqref="A1:XFD26"/>
    </sheetView>
  </sheetViews>
  <sheetFormatPr defaultRowHeight="15" x14ac:dyDescent="0.25"/>
  <cols>
    <col min="1" max="1" width="12.42578125" customWidth="1"/>
    <col min="5" max="5" width="15.85546875" style="4147" customWidth="1"/>
    <col min="6" max="6" width="9.140625" style="4147"/>
  </cols>
  <sheetData>
    <row r="1" spans="1:119" s="3999" customFormat="1" ht="15.75" customHeight="1" x14ac:dyDescent="0.25"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1347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4447" t="s">
        <v>1368</v>
      </c>
      <c r="CK1" s="4447"/>
      <c r="CL1" s="4447"/>
      <c r="CM1" s="4447"/>
      <c r="CN1" s="4447"/>
      <c r="CO1" s="4447"/>
      <c r="CP1" s="4447" t="s">
        <v>1369</v>
      </c>
      <c r="CQ1" s="4447"/>
      <c r="CR1" s="4447"/>
      <c r="CS1" s="4447"/>
      <c r="CT1" s="4447"/>
      <c r="CU1" s="4447"/>
      <c r="CV1" s="4449" t="s">
        <v>1370</v>
      </c>
      <c r="CW1" s="4449"/>
      <c r="CX1" s="4449"/>
      <c r="CY1" s="4449"/>
      <c r="CZ1" s="4449"/>
      <c r="DA1" s="4449"/>
      <c r="DB1" s="4448" t="s">
        <v>1371</v>
      </c>
      <c r="DC1" s="4448"/>
      <c r="DD1" s="4448"/>
      <c r="DE1" s="4448"/>
      <c r="DF1" s="4448"/>
      <c r="DG1" s="4448"/>
      <c r="DH1" s="4446" t="s">
        <v>1372</v>
      </c>
      <c r="DI1" s="4446"/>
      <c r="DJ1" s="4446"/>
      <c r="DK1" s="4446"/>
      <c r="DL1" s="4446"/>
      <c r="DM1" s="4446"/>
      <c r="DN1" s="4150"/>
      <c r="DO1" s="4150"/>
    </row>
    <row r="2" spans="1:119" x14ac:dyDescent="0.25">
      <c r="A2" s="44" t="s">
        <v>1341</v>
      </c>
      <c r="B2" s="44"/>
      <c r="C2" s="44"/>
      <c r="D2" s="44"/>
      <c r="E2" s="44"/>
      <c r="F2" s="44"/>
      <c r="G2" s="4071"/>
      <c r="O2" s="4072"/>
      <c r="T2" s="4073"/>
      <c r="AB2" s="4074"/>
      <c r="AG2" s="4075"/>
      <c r="AO2" s="4076"/>
      <c r="AT2" s="4077"/>
      <c r="BB2" s="4078"/>
      <c r="BG2" s="4079"/>
      <c r="BO2" s="4080"/>
      <c r="BT2" s="4081"/>
      <c r="CB2" s="4082"/>
      <c r="CJ2">
        <f>AVERAGE(B4,B7,B20)</f>
        <v>1.4133333333333333</v>
      </c>
      <c r="CK2" s="4150">
        <f t="shared" ref="CK2:CN2" si="0">AVERAGE(C4,C7,C20)</f>
        <v>1.2466666666666668</v>
      </c>
      <c r="CL2" s="4150">
        <f t="shared" si="0"/>
        <v>0.72</v>
      </c>
      <c r="CM2" s="4150" t="e">
        <f t="shared" si="0"/>
        <v>#DIV/0!</v>
      </c>
      <c r="CN2" s="4150" t="e">
        <f t="shared" si="0"/>
        <v>#DIV/0!</v>
      </c>
      <c r="CO2" s="4150">
        <f>AVERAGE(G4,G7,G20)</f>
        <v>1.6666666666666667</v>
      </c>
      <c r="CP2" s="1">
        <f>AVERAGE(B9,B25)</f>
        <v>0.71000000000000008</v>
      </c>
      <c r="CQ2" s="1">
        <f t="shared" ref="CQ2:CU2" si="1">AVERAGE(C9,C25)</f>
        <v>0.32</v>
      </c>
      <c r="CR2" s="1">
        <f t="shared" si="1"/>
        <v>1.22</v>
      </c>
      <c r="CS2" s="1">
        <f t="shared" si="1"/>
        <v>1.19</v>
      </c>
      <c r="CT2" s="1">
        <f t="shared" si="1"/>
        <v>0.73</v>
      </c>
      <c r="CU2" s="1">
        <f t="shared" si="1"/>
        <v>0.5</v>
      </c>
      <c r="CV2" s="1">
        <f>AVERAGE(B3,B21)</f>
        <v>1.05</v>
      </c>
      <c r="CW2" s="1">
        <f t="shared" ref="CW2:DA2" si="2">AVERAGE(C3,C21)</f>
        <v>1.24</v>
      </c>
      <c r="CX2" s="1" t="e">
        <f t="shared" si="2"/>
        <v>#DIV/0!</v>
      </c>
      <c r="CY2" s="1" t="e">
        <f t="shared" si="2"/>
        <v>#DIV/0!</v>
      </c>
      <c r="CZ2" s="1" t="e">
        <f t="shared" si="2"/>
        <v>#DIV/0!</v>
      </c>
      <c r="DA2" s="1">
        <f t="shared" si="2"/>
        <v>0</v>
      </c>
      <c r="DB2" s="1">
        <f>AVERAGE(B12,B15)</f>
        <v>1.4550000000000001</v>
      </c>
      <c r="DC2" s="1">
        <f t="shared" ref="DC2:DG2" si="3">AVERAGE(C12,C15)</f>
        <v>1.155</v>
      </c>
      <c r="DD2" s="1">
        <f t="shared" si="3"/>
        <v>1.0750000000000002</v>
      </c>
      <c r="DE2" s="1" t="e">
        <f t="shared" si="3"/>
        <v>#DIV/0!</v>
      </c>
      <c r="DF2" s="1" t="e">
        <f t="shared" si="3"/>
        <v>#DIV/0!</v>
      </c>
      <c r="DG2" s="1">
        <f t="shared" si="3"/>
        <v>0.5</v>
      </c>
      <c r="DH2" s="1">
        <f>AVERAGE(B5,B10,B22)</f>
        <v>1.39</v>
      </c>
      <c r="DI2" s="1">
        <f t="shared" ref="DI2:DM2" si="4">AVERAGE(C5,C10,C22)</f>
        <v>1.3333333333333333</v>
      </c>
      <c r="DJ2" s="1" t="e">
        <f t="shared" si="4"/>
        <v>#DIV/0!</v>
      </c>
      <c r="DK2" s="1" t="e">
        <f t="shared" si="4"/>
        <v>#DIV/0!</v>
      </c>
      <c r="DL2" s="1" t="e">
        <f t="shared" si="4"/>
        <v>#DIV/0!</v>
      </c>
      <c r="DM2" s="1">
        <f t="shared" si="4"/>
        <v>1.6666666666666667</v>
      </c>
      <c r="DN2" s="4150"/>
      <c r="DO2" s="4150"/>
    </row>
    <row r="3" spans="1:119" x14ac:dyDescent="0.25">
      <c r="A3" s="4083" t="s">
        <v>372</v>
      </c>
      <c r="B3">
        <v>1.19</v>
      </c>
      <c r="C3">
        <v>1.49</v>
      </c>
      <c r="G3" s="4084">
        <v>0</v>
      </c>
      <c r="H3">
        <v>4</v>
      </c>
      <c r="I3">
        <v>0</v>
      </c>
      <c r="J3">
        <v>1</v>
      </c>
      <c r="K3">
        <v>0</v>
      </c>
      <c r="L3">
        <v>2</v>
      </c>
      <c r="M3">
        <v>1</v>
      </c>
      <c r="N3">
        <v>2</v>
      </c>
      <c r="O3" s="4085">
        <v>0</v>
      </c>
      <c r="P3">
        <v>0</v>
      </c>
      <c r="Q3">
        <v>0</v>
      </c>
      <c r="R3">
        <v>0</v>
      </c>
      <c r="S3">
        <v>0</v>
      </c>
      <c r="T3" s="4086">
        <v>3</v>
      </c>
      <c r="U3">
        <v>1</v>
      </c>
      <c r="V3">
        <v>0</v>
      </c>
      <c r="W3">
        <v>1</v>
      </c>
      <c r="X3">
        <v>0</v>
      </c>
      <c r="Y3">
        <v>0</v>
      </c>
      <c r="Z3">
        <v>8</v>
      </c>
      <c r="AA3">
        <v>1</v>
      </c>
      <c r="AB3" s="4087">
        <v>0</v>
      </c>
      <c r="AC3">
        <v>0</v>
      </c>
      <c r="AD3">
        <v>0</v>
      </c>
      <c r="AE3">
        <v>0</v>
      </c>
      <c r="AF3">
        <v>0</v>
      </c>
      <c r="AG3" s="4088"/>
      <c r="AO3" s="4089"/>
      <c r="AT3" s="4090"/>
      <c r="BB3" s="4091"/>
      <c r="BG3" s="4092"/>
      <c r="BO3" s="4093"/>
      <c r="BT3" s="4094"/>
      <c r="CB3" s="4095"/>
      <c r="CJ3" s="4468">
        <f>_xlfn.AGGREGATE(1,6,CJ2:CO2)</f>
        <v>1.2616666666666667</v>
      </c>
      <c r="CK3" s="4468"/>
      <c r="CL3" s="4468"/>
      <c r="CM3" s="4468"/>
      <c r="CN3" s="4468"/>
      <c r="CO3" s="4468"/>
      <c r="CP3" s="4468">
        <f t="shared" ref="CP3" si="5">_xlfn.AGGREGATE(1,6,CP2:CU2)</f>
        <v>0.77833333333333332</v>
      </c>
      <c r="CQ3" s="4468"/>
      <c r="CR3" s="4468"/>
      <c r="CS3" s="4468"/>
      <c r="CT3" s="4468"/>
      <c r="CU3" s="4468"/>
      <c r="CV3" s="4468">
        <f t="shared" ref="CV3" si="6">_xlfn.AGGREGATE(1,6,CV2:DA2)</f>
        <v>0.76333333333333331</v>
      </c>
      <c r="CW3" s="4468"/>
      <c r="CX3" s="4468"/>
      <c r="CY3" s="4468"/>
      <c r="CZ3" s="4468"/>
      <c r="DA3" s="4468"/>
      <c r="DB3" s="4468">
        <f t="shared" ref="DB3" si="7">_xlfn.AGGREGATE(1,6,DB2:DG2)</f>
        <v>1.0462500000000001</v>
      </c>
      <c r="DC3" s="4468"/>
      <c r="DD3" s="4468"/>
      <c r="DE3" s="4468"/>
      <c r="DF3" s="4468"/>
      <c r="DG3" s="4468"/>
      <c r="DH3" s="4468">
        <f t="shared" ref="DH3" si="8">_xlfn.AGGREGATE(1,6,DH2:DM2)</f>
        <v>1.4633333333333332</v>
      </c>
      <c r="DI3" s="4468"/>
      <c r="DJ3" s="4468"/>
      <c r="DK3" s="4468"/>
      <c r="DL3" s="4468"/>
      <c r="DM3" s="4468"/>
      <c r="DN3" s="4467"/>
      <c r="DO3" s="4467"/>
    </row>
    <row r="4" spans="1:119" x14ac:dyDescent="0.25">
      <c r="A4" s="4096" t="s">
        <v>1342</v>
      </c>
      <c r="B4">
        <v>1.5</v>
      </c>
      <c r="C4">
        <v>1.61</v>
      </c>
      <c r="G4" s="4097">
        <v>1</v>
      </c>
      <c r="H4">
        <v>0</v>
      </c>
      <c r="I4">
        <v>0</v>
      </c>
      <c r="J4">
        <v>0</v>
      </c>
      <c r="K4">
        <v>0</v>
      </c>
      <c r="L4">
        <v>1</v>
      </c>
      <c r="M4">
        <v>5</v>
      </c>
      <c r="N4">
        <v>1</v>
      </c>
      <c r="O4" s="4098">
        <v>0</v>
      </c>
      <c r="P4">
        <v>0</v>
      </c>
      <c r="Q4">
        <v>0</v>
      </c>
      <c r="R4">
        <v>0</v>
      </c>
      <c r="S4">
        <v>0</v>
      </c>
      <c r="T4" s="4099">
        <v>0</v>
      </c>
      <c r="U4">
        <v>1</v>
      </c>
      <c r="V4">
        <v>1</v>
      </c>
      <c r="W4">
        <v>1</v>
      </c>
      <c r="X4">
        <v>0</v>
      </c>
      <c r="Y4">
        <v>0</v>
      </c>
      <c r="Z4">
        <v>3</v>
      </c>
      <c r="AA4">
        <v>0</v>
      </c>
      <c r="AB4" s="4100">
        <v>0</v>
      </c>
      <c r="AC4">
        <v>0</v>
      </c>
      <c r="AD4">
        <v>0</v>
      </c>
      <c r="AE4">
        <v>0</v>
      </c>
      <c r="AF4">
        <v>0</v>
      </c>
      <c r="AG4" s="4101"/>
      <c r="AO4" s="4102"/>
      <c r="AT4" s="4103"/>
      <c r="BB4" s="4104"/>
      <c r="BG4" s="4105"/>
      <c r="BO4" s="4106"/>
      <c r="BT4" s="4107"/>
      <c r="CB4" s="4108"/>
      <c r="CJ4" s="4438" t="s">
        <v>1364</v>
      </c>
      <c r="CK4" s="4438"/>
      <c r="CL4" s="4438"/>
      <c r="CM4" s="4438"/>
      <c r="CN4" s="4438"/>
      <c r="CO4" s="4438"/>
      <c r="CP4" s="4446" t="s">
        <v>1362</v>
      </c>
      <c r="CQ4" s="4446"/>
      <c r="CR4" s="4446"/>
      <c r="CS4" s="4446"/>
      <c r="CT4" s="4446"/>
      <c r="CU4" s="4446"/>
      <c r="CV4" s="4444" t="s">
        <v>1359</v>
      </c>
      <c r="CW4" s="4444"/>
      <c r="CX4" s="4444"/>
      <c r="CY4" s="4444"/>
      <c r="CZ4" s="4444"/>
      <c r="DA4" s="4444"/>
      <c r="DB4" s="4446" t="s">
        <v>1367</v>
      </c>
      <c r="DC4" s="4446"/>
      <c r="DD4" s="4446"/>
      <c r="DE4" s="4446"/>
      <c r="DF4" s="4446"/>
      <c r="DG4" s="4446"/>
      <c r="DH4" s="4150"/>
      <c r="DI4" s="4150"/>
    </row>
    <row r="5" spans="1:119" x14ac:dyDescent="0.25">
      <c r="A5" s="4109" t="s">
        <v>716</v>
      </c>
      <c r="B5">
        <v>1.05</v>
      </c>
      <c r="C5">
        <v>1.17</v>
      </c>
      <c r="G5" s="4110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1</v>
      </c>
      <c r="N5">
        <v>2</v>
      </c>
      <c r="O5" s="4111">
        <v>0</v>
      </c>
      <c r="P5">
        <v>0</v>
      </c>
      <c r="Q5">
        <v>0</v>
      </c>
      <c r="R5">
        <v>0</v>
      </c>
      <c r="S5">
        <v>0</v>
      </c>
      <c r="T5" s="4112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2</v>
      </c>
      <c r="AA5">
        <v>0</v>
      </c>
      <c r="AB5" s="4113">
        <v>0</v>
      </c>
      <c r="AC5">
        <v>0</v>
      </c>
      <c r="AD5">
        <v>0</v>
      </c>
      <c r="AE5">
        <v>0</v>
      </c>
      <c r="AF5">
        <v>0</v>
      </c>
      <c r="AG5" s="4114"/>
      <c r="AO5" s="4115"/>
      <c r="AT5" s="4116"/>
      <c r="BB5" s="4117"/>
      <c r="BG5" s="4118"/>
      <c r="BO5" s="4119"/>
      <c r="BT5" s="4120"/>
      <c r="CB5" s="4121"/>
      <c r="CJ5">
        <f>AVERAGE(B11,B19)</f>
        <v>1.4350000000000001</v>
      </c>
      <c r="CK5" s="4150">
        <f t="shared" ref="CK5:CO5" si="9">AVERAGE(C11,C19)</f>
        <v>1.26</v>
      </c>
      <c r="CL5" s="4150">
        <f t="shared" si="9"/>
        <v>1.23</v>
      </c>
      <c r="CM5" s="4150" t="e">
        <f t="shared" si="9"/>
        <v>#DIV/0!</v>
      </c>
      <c r="CN5" s="4150" t="e">
        <f t="shared" si="9"/>
        <v>#DIV/0!</v>
      </c>
      <c r="CO5" s="4150">
        <f t="shared" si="9"/>
        <v>2</v>
      </c>
      <c r="CP5" s="4149">
        <f>AVERAGE(B8,B18)</f>
        <v>0.71500000000000008</v>
      </c>
      <c r="CQ5" s="4150">
        <f t="shared" ref="CQ5:CU5" si="10">AVERAGE(C8,C18)</f>
        <v>1.1499999999999999</v>
      </c>
      <c r="CR5" s="4150">
        <f t="shared" si="10"/>
        <v>0.98</v>
      </c>
      <c r="CS5" s="4150" t="e">
        <f t="shared" si="10"/>
        <v>#DIV/0!</v>
      </c>
      <c r="CT5" s="4150" t="e">
        <f t="shared" si="10"/>
        <v>#DIV/0!</v>
      </c>
      <c r="CU5" s="4150">
        <f t="shared" si="10"/>
        <v>0</v>
      </c>
      <c r="CV5" s="4149">
        <f>AVERAGE(B16)</f>
        <v>1.38</v>
      </c>
      <c r="CW5" s="4150">
        <f t="shared" ref="CW5:DA5" si="11">AVERAGE(C16)</f>
        <v>1.64</v>
      </c>
      <c r="CX5" s="4150">
        <f t="shared" si="11"/>
        <v>1</v>
      </c>
      <c r="CY5" s="4150" t="e">
        <f t="shared" si="11"/>
        <v>#DIV/0!</v>
      </c>
      <c r="CZ5" s="4150" t="e">
        <f t="shared" si="11"/>
        <v>#DIV/0!</v>
      </c>
      <c r="DA5" s="4150">
        <f t="shared" si="11"/>
        <v>1</v>
      </c>
      <c r="DB5" s="4149">
        <f>AVERAGE(B23)</f>
        <v>1.08</v>
      </c>
      <c r="DC5" s="4150">
        <f t="shared" ref="DC5:DG5" si="12">AVERAGE(C23)</f>
        <v>1.55</v>
      </c>
      <c r="DD5" s="4150" t="e">
        <f t="shared" si="12"/>
        <v>#DIV/0!</v>
      </c>
      <c r="DE5" s="4150" t="e">
        <f t="shared" si="12"/>
        <v>#DIV/0!</v>
      </c>
      <c r="DF5" s="4150" t="e">
        <f t="shared" si="12"/>
        <v>#DIV/0!</v>
      </c>
      <c r="DG5" s="4150">
        <f t="shared" si="12"/>
        <v>0</v>
      </c>
      <c r="DH5" s="4150"/>
      <c r="DI5" s="4150"/>
    </row>
    <row r="6" spans="1:119" x14ac:dyDescent="0.25">
      <c r="A6" s="40" t="s">
        <v>1348</v>
      </c>
      <c r="B6" s="40"/>
      <c r="C6" s="40"/>
      <c r="D6" s="40"/>
      <c r="E6" s="40"/>
      <c r="F6" s="40"/>
      <c r="G6" s="4161"/>
      <c r="O6" s="4162"/>
      <c r="T6" s="4163"/>
      <c r="AB6" s="4164"/>
      <c r="AG6" s="4165"/>
      <c r="AO6" s="4166"/>
      <c r="AT6" s="4167"/>
      <c r="BB6" s="4168"/>
      <c r="BG6" s="4169"/>
      <c r="BO6" s="4170"/>
      <c r="BT6" s="4171"/>
      <c r="CB6" s="4172"/>
      <c r="CJ6" s="4437">
        <f>_xlfn.AGGREGATE(1,6,CJ5:CO5)</f>
        <v>1.4812500000000002</v>
      </c>
      <c r="CK6" s="4437"/>
      <c r="CL6" s="4437"/>
      <c r="CM6" s="4437"/>
      <c r="CN6" s="4437"/>
      <c r="CO6" s="4437"/>
      <c r="CP6" s="4437">
        <f t="shared" ref="CP6" si="13">_xlfn.AGGREGATE(1,6,CP5:CU5)</f>
        <v>0.71124999999999994</v>
      </c>
      <c r="CQ6" s="4437"/>
      <c r="CR6" s="4437"/>
      <c r="CS6" s="4437"/>
      <c r="CT6" s="4437"/>
      <c r="CU6" s="4437"/>
      <c r="CV6" s="4437">
        <f t="shared" ref="CV6" si="14">_xlfn.AGGREGATE(1,6,CV5:DA5)</f>
        <v>1.2549999999999999</v>
      </c>
      <c r="CW6" s="4437"/>
      <c r="CX6" s="4437"/>
      <c r="CY6" s="4437"/>
      <c r="CZ6" s="4437"/>
      <c r="DA6" s="4437"/>
      <c r="DB6" s="4437">
        <f t="shared" ref="DB6" si="15">_xlfn.AGGREGATE(1,6,DB5:DG5)</f>
        <v>0.87666666666666659</v>
      </c>
      <c r="DC6" s="4437"/>
      <c r="DD6" s="4437"/>
      <c r="DE6" s="4437"/>
      <c r="DF6" s="4437"/>
      <c r="DG6" s="4437"/>
      <c r="DH6" s="4150"/>
      <c r="DI6" s="4150"/>
    </row>
    <row r="7" spans="1:119" x14ac:dyDescent="0.25">
      <c r="A7" s="4173" t="s">
        <v>1352</v>
      </c>
      <c r="B7">
        <v>0.75</v>
      </c>
      <c r="C7">
        <v>0.93</v>
      </c>
      <c r="D7">
        <v>0.72</v>
      </c>
      <c r="G7" s="4174">
        <v>3</v>
      </c>
      <c r="H7">
        <v>1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 s="4175">
        <v>0</v>
      </c>
      <c r="P7">
        <v>0</v>
      </c>
      <c r="Q7">
        <v>0</v>
      </c>
      <c r="R7">
        <v>0</v>
      </c>
      <c r="S7">
        <v>0</v>
      </c>
      <c r="T7" s="4176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 s="4177">
        <v>0</v>
      </c>
      <c r="AC7">
        <v>0</v>
      </c>
      <c r="AD7">
        <v>0</v>
      </c>
      <c r="AE7">
        <v>0</v>
      </c>
      <c r="AF7">
        <v>0</v>
      </c>
      <c r="AG7" s="4178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 s="4179">
        <v>0</v>
      </c>
      <c r="AP7">
        <v>0</v>
      </c>
      <c r="AQ7">
        <v>0</v>
      </c>
      <c r="AR7">
        <v>0</v>
      </c>
      <c r="AS7">
        <v>0</v>
      </c>
      <c r="AT7" s="4180"/>
      <c r="BB7" s="4181"/>
      <c r="BG7" s="4182"/>
      <c r="BO7" s="4183"/>
      <c r="BT7" s="4184"/>
      <c r="CB7" s="4185"/>
      <c r="CJ7" s="4150"/>
      <c r="DH7" s="4150"/>
      <c r="DI7" s="4150"/>
    </row>
    <row r="8" spans="1:119" x14ac:dyDescent="0.25">
      <c r="A8" s="4186" t="s">
        <v>1353</v>
      </c>
      <c r="B8">
        <v>0.33</v>
      </c>
      <c r="C8">
        <v>0.64</v>
      </c>
      <c r="D8">
        <v>0.98</v>
      </c>
      <c r="G8" s="4187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 s="4188">
        <v>0</v>
      </c>
      <c r="P8">
        <v>0</v>
      </c>
      <c r="Q8">
        <v>0</v>
      </c>
      <c r="R8">
        <v>0</v>
      </c>
      <c r="S8">
        <v>0</v>
      </c>
      <c r="T8" s="4189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0</v>
      </c>
      <c r="AB8" s="4190">
        <v>0</v>
      </c>
      <c r="AC8">
        <v>0</v>
      </c>
      <c r="AD8">
        <v>0</v>
      </c>
      <c r="AE8">
        <v>0</v>
      </c>
      <c r="AF8">
        <v>0</v>
      </c>
      <c r="AG8" s="4191">
        <v>1</v>
      </c>
      <c r="AH8">
        <v>3</v>
      </c>
      <c r="AI8">
        <v>1</v>
      </c>
      <c r="AJ8">
        <v>0</v>
      </c>
      <c r="AK8">
        <v>0</v>
      </c>
      <c r="AL8">
        <v>0</v>
      </c>
      <c r="AM8">
        <v>5</v>
      </c>
      <c r="AN8">
        <v>0</v>
      </c>
      <c r="AO8" s="4192">
        <v>0</v>
      </c>
      <c r="AP8">
        <v>0</v>
      </c>
      <c r="AQ8">
        <v>0</v>
      </c>
      <c r="AR8">
        <v>0</v>
      </c>
      <c r="AS8">
        <v>0</v>
      </c>
      <c r="AT8" s="4193"/>
      <c r="BB8" s="4194"/>
      <c r="BG8" s="4195"/>
      <c r="BO8" s="4196"/>
      <c r="BT8" s="4197"/>
      <c r="CB8" s="4198"/>
    </row>
    <row r="9" spans="1:119" x14ac:dyDescent="0.25">
      <c r="A9" s="4199" t="s">
        <v>329</v>
      </c>
      <c r="B9">
        <v>1.1000000000000001</v>
      </c>
      <c r="C9">
        <v>0.32</v>
      </c>
      <c r="D9">
        <v>1.22</v>
      </c>
      <c r="G9" s="4200">
        <v>1</v>
      </c>
      <c r="H9">
        <v>2</v>
      </c>
      <c r="I9">
        <v>1</v>
      </c>
      <c r="J9">
        <v>0</v>
      </c>
      <c r="K9">
        <v>0</v>
      </c>
      <c r="L9">
        <v>0</v>
      </c>
      <c r="M9">
        <v>3</v>
      </c>
      <c r="N9">
        <v>1</v>
      </c>
      <c r="O9" s="4201">
        <v>0</v>
      </c>
      <c r="P9">
        <v>0</v>
      </c>
      <c r="Q9">
        <v>0</v>
      </c>
      <c r="R9">
        <v>0</v>
      </c>
      <c r="S9">
        <v>0</v>
      </c>
      <c r="T9" s="4202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4203">
        <v>0</v>
      </c>
      <c r="AC9">
        <v>0</v>
      </c>
      <c r="AD9">
        <v>0</v>
      </c>
      <c r="AE9">
        <v>0</v>
      </c>
      <c r="AF9">
        <v>0</v>
      </c>
      <c r="AG9" s="4204">
        <v>1</v>
      </c>
      <c r="AH9">
        <v>2</v>
      </c>
      <c r="AI9">
        <v>1</v>
      </c>
      <c r="AJ9">
        <v>0</v>
      </c>
      <c r="AK9">
        <v>0</v>
      </c>
      <c r="AL9">
        <v>0</v>
      </c>
      <c r="AM9">
        <v>1</v>
      </c>
      <c r="AN9">
        <v>0</v>
      </c>
      <c r="AO9" s="4205">
        <v>0</v>
      </c>
      <c r="AP9">
        <v>0</v>
      </c>
      <c r="AQ9">
        <v>0</v>
      </c>
      <c r="AR9">
        <v>0</v>
      </c>
      <c r="AS9">
        <v>0</v>
      </c>
      <c r="AT9" s="4206"/>
      <c r="BB9" s="4207"/>
      <c r="BG9" s="4208"/>
      <c r="BO9" s="4209"/>
      <c r="BT9" s="4210"/>
      <c r="CB9" s="4211"/>
    </row>
    <row r="10" spans="1:119" x14ac:dyDescent="0.25">
      <c r="A10" s="4212" t="s">
        <v>330</v>
      </c>
      <c r="B10">
        <v>1.51</v>
      </c>
      <c r="C10">
        <v>1.27</v>
      </c>
      <c r="G10" s="4213">
        <v>2</v>
      </c>
      <c r="H10">
        <v>4</v>
      </c>
      <c r="I10">
        <v>1</v>
      </c>
      <c r="J10">
        <v>0</v>
      </c>
      <c r="K10">
        <v>0</v>
      </c>
      <c r="L10">
        <v>0</v>
      </c>
      <c r="M10">
        <v>1</v>
      </c>
      <c r="N10">
        <v>0</v>
      </c>
      <c r="O10" s="4214">
        <v>1</v>
      </c>
      <c r="P10">
        <v>0</v>
      </c>
      <c r="Q10">
        <v>0</v>
      </c>
      <c r="R10">
        <v>0</v>
      </c>
      <c r="S10">
        <v>0</v>
      </c>
      <c r="T10" s="4215">
        <v>2</v>
      </c>
      <c r="U10">
        <v>3</v>
      </c>
      <c r="V10">
        <v>1</v>
      </c>
      <c r="W10">
        <v>0</v>
      </c>
      <c r="X10">
        <v>0</v>
      </c>
      <c r="Y10">
        <v>0</v>
      </c>
      <c r="Z10">
        <v>1</v>
      </c>
      <c r="AA10">
        <v>0</v>
      </c>
      <c r="AB10" s="4216">
        <v>0</v>
      </c>
      <c r="AC10">
        <v>0</v>
      </c>
      <c r="AD10">
        <v>0</v>
      </c>
      <c r="AE10">
        <v>0</v>
      </c>
      <c r="AF10">
        <v>0</v>
      </c>
      <c r="AG10" s="4217"/>
      <c r="AO10" s="4218"/>
      <c r="AT10" s="4219"/>
      <c r="BB10" s="4220"/>
      <c r="BG10" s="4221"/>
      <c r="BO10" s="4222"/>
      <c r="BT10" s="4223"/>
      <c r="CB10" s="4224"/>
    </row>
    <row r="11" spans="1:119" x14ac:dyDescent="0.25">
      <c r="A11" s="4225" t="s">
        <v>1354</v>
      </c>
      <c r="B11">
        <v>1.71</v>
      </c>
      <c r="C11">
        <v>1.47</v>
      </c>
      <c r="D11">
        <v>1.23</v>
      </c>
      <c r="G11" s="4226">
        <v>1</v>
      </c>
      <c r="H11">
        <v>2</v>
      </c>
      <c r="I11">
        <v>0</v>
      </c>
      <c r="J11">
        <v>1</v>
      </c>
      <c r="K11">
        <v>0</v>
      </c>
      <c r="L11">
        <v>2</v>
      </c>
      <c r="M11">
        <v>1</v>
      </c>
      <c r="N11">
        <v>1</v>
      </c>
      <c r="O11" s="4227">
        <v>0</v>
      </c>
      <c r="P11">
        <v>0</v>
      </c>
      <c r="Q11">
        <v>0</v>
      </c>
      <c r="R11">
        <v>0</v>
      </c>
      <c r="S11">
        <v>0</v>
      </c>
      <c r="T11" s="4228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4</v>
      </c>
      <c r="AA11">
        <v>0</v>
      </c>
      <c r="AB11" s="4229">
        <v>1</v>
      </c>
      <c r="AC11">
        <v>0</v>
      </c>
      <c r="AD11">
        <v>0</v>
      </c>
      <c r="AE11">
        <v>0</v>
      </c>
      <c r="AF11">
        <v>0</v>
      </c>
      <c r="AG11" s="4230">
        <v>0</v>
      </c>
      <c r="AH11">
        <v>3</v>
      </c>
      <c r="AI11">
        <v>1</v>
      </c>
      <c r="AJ11">
        <v>0</v>
      </c>
      <c r="AK11">
        <v>0</v>
      </c>
      <c r="AL11">
        <v>2</v>
      </c>
      <c r="AM11">
        <v>2</v>
      </c>
      <c r="AN11">
        <v>1</v>
      </c>
      <c r="AO11" s="4231">
        <v>0</v>
      </c>
      <c r="AP11">
        <v>0</v>
      </c>
      <c r="AQ11">
        <v>0</v>
      </c>
      <c r="AR11">
        <v>0</v>
      </c>
      <c r="AS11">
        <v>0</v>
      </c>
      <c r="AT11" s="4232"/>
      <c r="BB11" s="4233"/>
      <c r="BG11" s="4234"/>
      <c r="BO11" s="4235"/>
      <c r="BT11" s="4236"/>
      <c r="CB11" s="4237"/>
    </row>
    <row r="12" spans="1:119" x14ac:dyDescent="0.25">
      <c r="A12" s="4238" t="s">
        <v>832</v>
      </c>
      <c r="B12">
        <v>1.42</v>
      </c>
      <c r="C12">
        <v>0.93</v>
      </c>
      <c r="D12">
        <v>1.03</v>
      </c>
      <c r="G12" s="4239">
        <v>0</v>
      </c>
      <c r="H12">
        <v>2</v>
      </c>
      <c r="I12">
        <v>3</v>
      </c>
      <c r="J12">
        <v>0</v>
      </c>
      <c r="K12">
        <v>0</v>
      </c>
      <c r="L12">
        <v>0</v>
      </c>
      <c r="M12">
        <v>3</v>
      </c>
      <c r="N12">
        <v>0</v>
      </c>
      <c r="O12" s="4240">
        <v>0</v>
      </c>
      <c r="P12">
        <v>0</v>
      </c>
      <c r="Q12">
        <v>0</v>
      </c>
      <c r="R12">
        <v>0</v>
      </c>
      <c r="S12">
        <v>0</v>
      </c>
      <c r="T12" s="4241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 s="4242">
        <v>0</v>
      </c>
      <c r="AC12">
        <v>0</v>
      </c>
      <c r="AD12">
        <v>0</v>
      </c>
      <c r="AE12">
        <v>0</v>
      </c>
      <c r="AF12">
        <v>0</v>
      </c>
      <c r="AG12" s="4243">
        <v>0</v>
      </c>
      <c r="AH12">
        <v>3</v>
      </c>
      <c r="AI12">
        <v>4</v>
      </c>
      <c r="AJ12">
        <v>0</v>
      </c>
      <c r="AK12">
        <v>0</v>
      </c>
      <c r="AL12">
        <v>2</v>
      </c>
      <c r="AM12">
        <v>2</v>
      </c>
      <c r="AN12">
        <v>0</v>
      </c>
      <c r="AO12" s="4244">
        <v>0</v>
      </c>
      <c r="AP12">
        <v>0</v>
      </c>
      <c r="AQ12">
        <v>0</v>
      </c>
      <c r="AR12">
        <v>0</v>
      </c>
      <c r="AS12">
        <v>0</v>
      </c>
      <c r="AT12" s="4245"/>
      <c r="BB12" s="4246"/>
      <c r="BG12" s="4247"/>
      <c r="BO12" s="4248"/>
      <c r="BT12" s="4249"/>
      <c r="CB12" s="4250"/>
    </row>
    <row r="13" spans="1:119" x14ac:dyDescent="0.25">
      <c r="A13" s="4251" t="s">
        <v>1355</v>
      </c>
      <c r="B13">
        <v>1.76</v>
      </c>
      <c r="C13">
        <v>1.4</v>
      </c>
      <c r="D13">
        <v>1.42</v>
      </c>
      <c r="G13" s="4252">
        <v>2</v>
      </c>
      <c r="H13">
        <v>3</v>
      </c>
      <c r="I13">
        <v>3</v>
      </c>
      <c r="J13">
        <v>1</v>
      </c>
      <c r="K13">
        <v>0</v>
      </c>
      <c r="L13">
        <v>0</v>
      </c>
      <c r="M13">
        <v>5</v>
      </c>
      <c r="N13">
        <v>0</v>
      </c>
      <c r="O13" s="4253">
        <v>1</v>
      </c>
      <c r="P13">
        <v>1</v>
      </c>
      <c r="Q13">
        <v>0</v>
      </c>
      <c r="R13">
        <v>0</v>
      </c>
      <c r="S13">
        <v>0</v>
      </c>
      <c r="T13" s="4254">
        <v>1</v>
      </c>
      <c r="U13">
        <v>2</v>
      </c>
      <c r="V13">
        <v>2</v>
      </c>
      <c r="W13">
        <v>0</v>
      </c>
      <c r="X13">
        <v>0</v>
      </c>
      <c r="Y13">
        <v>0</v>
      </c>
      <c r="Z13">
        <v>7</v>
      </c>
      <c r="AA13">
        <v>0</v>
      </c>
      <c r="AB13" s="4255">
        <v>1</v>
      </c>
      <c r="AC13">
        <v>0</v>
      </c>
      <c r="AD13">
        <v>1</v>
      </c>
      <c r="AE13">
        <v>0</v>
      </c>
      <c r="AF13">
        <v>0</v>
      </c>
      <c r="AG13" s="4256">
        <v>1</v>
      </c>
      <c r="AH13">
        <v>3</v>
      </c>
      <c r="AI13">
        <v>1</v>
      </c>
      <c r="AJ13">
        <v>0</v>
      </c>
      <c r="AK13">
        <v>0</v>
      </c>
      <c r="AL13">
        <v>2</v>
      </c>
      <c r="AM13">
        <v>1</v>
      </c>
      <c r="AN13">
        <v>0</v>
      </c>
      <c r="AO13" s="4257">
        <v>0</v>
      </c>
      <c r="AP13">
        <v>0</v>
      </c>
      <c r="AQ13">
        <v>1</v>
      </c>
      <c r="AR13">
        <v>0</v>
      </c>
      <c r="AS13">
        <v>0</v>
      </c>
      <c r="AT13" s="4258"/>
      <c r="BB13" s="4259"/>
      <c r="BG13" s="4260"/>
      <c r="BO13" s="4261"/>
      <c r="BT13" s="4262"/>
      <c r="CB13" s="4263"/>
    </row>
    <row r="14" spans="1:119" x14ac:dyDescent="0.25">
      <c r="A14" s="44" t="s">
        <v>1356</v>
      </c>
      <c r="B14" s="44"/>
      <c r="C14" s="44"/>
      <c r="D14" s="44"/>
      <c r="E14" s="44"/>
      <c r="F14" s="44"/>
      <c r="G14" s="4264"/>
      <c r="O14" s="4265"/>
      <c r="T14" s="4266"/>
      <c r="AB14" s="4267"/>
      <c r="AG14" s="4268"/>
      <c r="AO14" s="4269"/>
      <c r="AT14" s="4270"/>
      <c r="BB14" s="4271"/>
      <c r="BG14" s="4272"/>
      <c r="BO14" s="4273"/>
      <c r="BT14" s="4274"/>
      <c r="CB14" s="4275"/>
    </row>
    <row r="15" spans="1:119" x14ac:dyDescent="0.25">
      <c r="A15" s="4276" t="s">
        <v>1357</v>
      </c>
      <c r="B15">
        <v>1.49</v>
      </c>
      <c r="C15">
        <v>1.38</v>
      </c>
      <c r="D15">
        <v>1.1200000000000001</v>
      </c>
      <c r="G15" s="4277">
        <v>1</v>
      </c>
      <c r="H15">
        <v>2</v>
      </c>
      <c r="I15">
        <v>2</v>
      </c>
      <c r="J15">
        <v>0</v>
      </c>
      <c r="K15">
        <v>0</v>
      </c>
      <c r="L15">
        <v>0</v>
      </c>
      <c r="M15">
        <v>3</v>
      </c>
      <c r="N15">
        <v>1</v>
      </c>
      <c r="O15" s="4278">
        <v>0</v>
      </c>
      <c r="P15">
        <v>0</v>
      </c>
      <c r="Q15">
        <v>0</v>
      </c>
      <c r="R15">
        <v>0</v>
      </c>
      <c r="S15">
        <v>0</v>
      </c>
      <c r="T15" s="4279">
        <v>1</v>
      </c>
      <c r="U15">
        <v>0</v>
      </c>
      <c r="V15">
        <v>0</v>
      </c>
      <c r="W15">
        <v>1</v>
      </c>
      <c r="X15">
        <v>0</v>
      </c>
      <c r="Y15">
        <v>0</v>
      </c>
      <c r="Z15">
        <v>1</v>
      </c>
      <c r="AA15">
        <v>1</v>
      </c>
      <c r="AB15" s="4280">
        <v>1</v>
      </c>
      <c r="AC15">
        <v>0</v>
      </c>
      <c r="AD15">
        <v>0</v>
      </c>
      <c r="AE15">
        <v>0</v>
      </c>
      <c r="AF15">
        <v>0</v>
      </c>
      <c r="AG15" s="4281">
        <v>1</v>
      </c>
      <c r="AH15">
        <v>1</v>
      </c>
      <c r="AI15">
        <v>2</v>
      </c>
      <c r="AJ15">
        <v>0</v>
      </c>
      <c r="AK15">
        <v>0</v>
      </c>
      <c r="AL15">
        <v>0</v>
      </c>
      <c r="AM15">
        <v>5</v>
      </c>
      <c r="AN15">
        <v>0</v>
      </c>
      <c r="AO15" s="4282">
        <v>0</v>
      </c>
      <c r="AP15">
        <v>1</v>
      </c>
      <c r="AQ15">
        <v>0</v>
      </c>
      <c r="AR15">
        <v>0</v>
      </c>
      <c r="AS15">
        <v>0</v>
      </c>
      <c r="AT15" s="4283"/>
      <c r="BB15" s="4284"/>
      <c r="BG15" s="4285"/>
      <c r="BO15" s="4286"/>
      <c r="BT15" s="4287"/>
      <c r="CB15" s="4288"/>
    </row>
    <row r="16" spans="1:119" x14ac:dyDescent="0.25">
      <c r="A16" s="4289" t="s">
        <v>1358</v>
      </c>
      <c r="B16">
        <v>1.38</v>
      </c>
      <c r="C16">
        <v>1.64</v>
      </c>
      <c r="D16">
        <v>1</v>
      </c>
      <c r="G16" s="4290">
        <v>1</v>
      </c>
      <c r="H16">
        <v>2</v>
      </c>
      <c r="I16">
        <v>2</v>
      </c>
      <c r="J16">
        <v>0</v>
      </c>
      <c r="K16">
        <v>0</v>
      </c>
      <c r="L16">
        <v>0</v>
      </c>
      <c r="M16">
        <v>2</v>
      </c>
      <c r="N16">
        <v>0</v>
      </c>
      <c r="O16" s="4291">
        <v>0</v>
      </c>
      <c r="P16">
        <v>0</v>
      </c>
      <c r="Q16">
        <v>0</v>
      </c>
      <c r="R16">
        <v>0</v>
      </c>
      <c r="S16">
        <v>0</v>
      </c>
      <c r="T16" s="4292">
        <v>0</v>
      </c>
      <c r="U16">
        <v>1</v>
      </c>
      <c r="V16">
        <v>2</v>
      </c>
      <c r="W16">
        <v>0</v>
      </c>
      <c r="X16">
        <v>0</v>
      </c>
      <c r="Y16">
        <v>0</v>
      </c>
      <c r="Z16">
        <v>3</v>
      </c>
      <c r="AA16">
        <v>0</v>
      </c>
      <c r="AB16" s="4293">
        <v>0</v>
      </c>
      <c r="AC16">
        <v>0</v>
      </c>
      <c r="AD16">
        <v>0</v>
      </c>
      <c r="AE16">
        <v>0</v>
      </c>
      <c r="AF16">
        <v>0</v>
      </c>
      <c r="AG16" s="4294">
        <v>1</v>
      </c>
      <c r="AH16">
        <v>4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 s="4295">
        <v>0</v>
      </c>
      <c r="AP16">
        <v>0</v>
      </c>
      <c r="AQ16">
        <v>0</v>
      </c>
      <c r="AR16">
        <v>0</v>
      </c>
      <c r="AS16">
        <v>0</v>
      </c>
      <c r="AT16" s="4296"/>
      <c r="BB16" s="4297"/>
      <c r="BG16" s="4298"/>
      <c r="BO16" s="4299"/>
      <c r="BT16" s="4300"/>
      <c r="CB16" s="4301"/>
    </row>
    <row r="17" spans="1:113" x14ac:dyDescent="0.25">
      <c r="A17" s="40" t="s">
        <v>1360</v>
      </c>
      <c r="B17" s="40"/>
      <c r="C17" s="40"/>
      <c r="D17" s="40"/>
      <c r="E17" s="40"/>
      <c r="F17" s="40"/>
      <c r="G17" s="4302"/>
      <c r="O17" s="4303"/>
      <c r="T17" s="4304"/>
      <c r="AB17" s="4305"/>
      <c r="AG17" s="4306"/>
      <c r="AO17" s="4307"/>
      <c r="AT17" s="4308"/>
      <c r="BB17" s="4309"/>
      <c r="BG17" s="4310"/>
      <c r="BO17" s="4311"/>
      <c r="BT17" s="4312"/>
      <c r="CB17" s="4313"/>
      <c r="CK17" s="4150"/>
      <c r="CL17" s="4150"/>
      <c r="CM17" s="4150"/>
      <c r="CN17" s="4150"/>
      <c r="CO17" s="4150"/>
      <c r="CP17" s="4150"/>
      <c r="CQ17" s="4150"/>
      <c r="CR17" s="4150"/>
      <c r="CS17" s="4150"/>
      <c r="CT17" s="4150"/>
      <c r="CU17" s="4150"/>
      <c r="CV17" s="4150"/>
      <c r="CW17" s="4150"/>
      <c r="CX17" s="4150"/>
      <c r="CY17" s="4150"/>
      <c r="CZ17" s="4150"/>
      <c r="DA17" s="4150"/>
      <c r="DB17" s="4150"/>
      <c r="DC17" s="4150"/>
      <c r="DD17" s="4150"/>
      <c r="DE17" s="4150"/>
      <c r="DF17" s="4150"/>
      <c r="DG17" s="4150"/>
      <c r="DH17" s="4150"/>
      <c r="DI17" s="4150"/>
    </row>
    <row r="18" spans="1:113" x14ac:dyDescent="0.25">
      <c r="A18" s="4314" t="s">
        <v>1361</v>
      </c>
      <c r="B18">
        <v>1.1000000000000001</v>
      </c>
      <c r="C18">
        <v>1.66</v>
      </c>
      <c r="G18" s="4315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 s="4316">
        <v>0</v>
      </c>
      <c r="P18">
        <v>0</v>
      </c>
      <c r="Q18">
        <v>0</v>
      </c>
      <c r="R18">
        <v>0</v>
      </c>
      <c r="S18">
        <v>0</v>
      </c>
      <c r="T18" s="4317">
        <v>2</v>
      </c>
      <c r="U18">
        <v>0</v>
      </c>
      <c r="V18">
        <v>2</v>
      </c>
      <c r="W18">
        <v>1</v>
      </c>
      <c r="X18">
        <v>0</v>
      </c>
      <c r="Y18">
        <v>0</v>
      </c>
      <c r="Z18">
        <v>4</v>
      </c>
      <c r="AA18">
        <v>1</v>
      </c>
      <c r="AB18" s="4318">
        <v>1</v>
      </c>
      <c r="AC18">
        <v>0</v>
      </c>
      <c r="AD18">
        <v>0</v>
      </c>
      <c r="AE18">
        <v>0</v>
      </c>
      <c r="AF18">
        <v>0</v>
      </c>
      <c r="AG18" s="4319"/>
      <c r="AO18" s="4320"/>
      <c r="AT18" s="4321"/>
      <c r="BB18" s="4322"/>
      <c r="BG18" s="4323"/>
      <c r="BO18" s="4324"/>
      <c r="BT18" s="4325"/>
      <c r="CB18" s="4326"/>
      <c r="CK18" s="4150"/>
      <c r="CL18" s="4150"/>
      <c r="CM18" s="4150"/>
      <c r="CN18" s="4150"/>
      <c r="CO18" s="4150"/>
      <c r="CP18" s="4150"/>
      <c r="CQ18" s="4150"/>
      <c r="CR18" s="4150"/>
      <c r="CS18" s="4150"/>
      <c r="CT18" s="4150"/>
      <c r="CU18" s="4150"/>
      <c r="CV18" s="4150"/>
      <c r="CW18" s="4150"/>
      <c r="CX18" s="4150"/>
      <c r="CY18" s="4150"/>
      <c r="CZ18" s="4150"/>
      <c r="DA18" s="4150"/>
      <c r="DB18" s="4150"/>
      <c r="DC18" s="4150"/>
      <c r="DD18" s="4150"/>
      <c r="DE18" s="4150"/>
      <c r="DF18" s="4150"/>
      <c r="DG18" s="4150"/>
      <c r="DH18" s="4150"/>
      <c r="DI18" s="4150"/>
    </row>
    <row r="19" spans="1:113" x14ac:dyDescent="0.25">
      <c r="A19" s="4327" t="s">
        <v>1363</v>
      </c>
      <c r="B19">
        <v>1.1599999999999999</v>
      </c>
      <c r="C19">
        <v>1.05</v>
      </c>
      <c r="G19" s="4328">
        <v>3</v>
      </c>
      <c r="H19">
        <v>3</v>
      </c>
      <c r="I19">
        <v>0</v>
      </c>
      <c r="J19">
        <v>0</v>
      </c>
      <c r="K19">
        <v>0</v>
      </c>
      <c r="L19">
        <v>0</v>
      </c>
      <c r="M19">
        <v>3</v>
      </c>
      <c r="N19">
        <v>1</v>
      </c>
      <c r="O19" s="4329">
        <v>0</v>
      </c>
      <c r="P19">
        <v>0</v>
      </c>
      <c r="Q19">
        <v>0</v>
      </c>
      <c r="R19">
        <v>0</v>
      </c>
      <c r="S19">
        <v>0</v>
      </c>
      <c r="T19" s="4330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5</v>
      </c>
      <c r="AA19">
        <v>1</v>
      </c>
      <c r="AB19" s="4331">
        <v>0</v>
      </c>
      <c r="AC19">
        <v>0</v>
      </c>
      <c r="AD19">
        <v>0</v>
      </c>
      <c r="AE19">
        <v>0</v>
      </c>
      <c r="AF19">
        <v>0</v>
      </c>
      <c r="AG19" s="4332"/>
      <c r="AO19" s="4333"/>
      <c r="AT19" s="4334"/>
      <c r="BB19" s="4335"/>
      <c r="BG19" s="4336"/>
      <c r="BO19" s="4337"/>
      <c r="BT19" s="4338"/>
      <c r="CB19" s="4339"/>
      <c r="CI19" t="s">
        <v>1375</v>
      </c>
      <c r="CK19" s="4150"/>
      <c r="CL19" s="4150"/>
      <c r="CM19" s="4150"/>
      <c r="CN19" s="4150"/>
      <c r="CO19" s="4150"/>
      <c r="CP19" s="4150"/>
      <c r="CQ19" s="4150"/>
      <c r="CR19" s="4150"/>
      <c r="CS19" s="4150"/>
      <c r="CT19" s="4150"/>
      <c r="CU19" s="4150"/>
      <c r="CV19" s="4150"/>
      <c r="CW19" s="4150"/>
      <c r="CX19" s="4150"/>
      <c r="CY19" s="4150"/>
      <c r="CZ19" s="4150"/>
      <c r="DA19" s="4150"/>
      <c r="DB19" s="4150"/>
      <c r="DC19" s="4150"/>
      <c r="DD19" s="4150"/>
      <c r="DE19" s="4150"/>
      <c r="DF19" s="4150"/>
      <c r="DG19" s="4150"/>
      <c r="DH19" s="4150"/>
      <c r="DI19" s="4150"/>
    </row>
    <row r="20" spans="1:113" x14ac:dyDescent="0.25">
      <c r="A20" s="4340" t="s">
        <v>838</v>
      </c>
      <c r="B20">
        <v>1.99</v>
      </c>
      <c r="C20">
        <v>1.2</v>
      </c>
      <c r="G20" s="4341">
        <v>1</v>
      </c>
      <c r="H20">
        <v>3</v>
      </c>
      <c r="I20">
        <v>2</v>
      </c>
      <c r="J20">
        <v>1</v>
      </c>
      <c r="K20">
        <v>0</v>
      </c>
      <c r="L20">
        <v>0</v>
      </c>
      <c r="M20">
        <v>1</v>
      </c>
      <c r="N20">
        <v>0</v>
      </c>
      <c r="O20" s="4342">
        <v>0</v>
      </c>
      <c r="P20">
        <v>0</v>
      </c>
      <c r="Q20">
        <v>0</v>
      </c>
      <c r="R20">
        <v>0</v>
      </c>
      <c r="S20">
        <v>0</v>
      </c>
      <c r="T20" s="4343">
        <v>0</v>
      </c>
      <c r="U20">
        <v>2</v>
      </c>
      <c r="V20">
        <v>0</v>
      </c>
      <c r="W20">
        <v>1</v>
      </c>
      <c r="X20">
        <v>0</v>
      </c>
      <c r="Y20">
        <v>0</v>
      </c>
      <c r="Z20">
        <v>3</v>
      </c>
      <c r="AA20">
        <v>1</v>
      </c>
      <c r="AB20" s="4344">
        <v>0</v>
      </c>
      <c r="AC20">
        <v>0</v>
      </c>
      <c r="AD20">
        <v>0</v>
      </c>
      <c r="AE20">
        <v>0</v>
      </c>
      <c r="AF20">
        <v>0</v>
      </c>
      <c r="AG20" s="4345"/>
      <c r="AO20" s="4346"/>
      <c r="AT20" s="4347"/>
      <c r="BB20" s="4348"/>
      <c r="BG20" s="4349"/>
      <c r="BO20" s="4350"/>
      <c r="BT20" s="4351"/>
      <c r="CB20" s="4352"/>
      <c r="CK20" s="4150"/>
      <c r="CL20" s="4150"/>
      <c r="CM20" s="4150"/>
      <c r="CN20" s="4150"/>
      <c r="CO20" s="4150"/>
      <c r="CP20" s="4150"/>
      <c r="CQ20" s="4150"/>
      <c r="CR20" s="4150"/>
      <c r="CS20" s="4150"/>
      <c r="CT20" s="4150"/>
      <c r="CU20" s="4150"/>
      <c r="CV20" s="4150"/>
      <c r="CW20" s="4150"/>
      <c r="CX20" s="4150"/>
      <c r="CY20" s="4150"/>
      <c r="CZ20" s="4150"/>
      <c r="DA20" s="4150"/>
      <c r="DB20" s="4150"/>
      <c r="DC20" s="4150"/>
      <c r="DD20" s="4150"/>
      <c r="DE20" s="4150"/>
      <c r="DF20" s="4150"/>
      <c r="DG20" s="4150"/>
      <c r="DH20" s="4150"/>
      <c r="DI20" s="4150"/>
    </row>
    <row r="21" spans="1:113" x14ac:dyDescent="0.25">
      <c r="A21" s="4353" t="s">
        <v>1365</v>
      </c>
      <c r="B21">
        <v>0.91</v>
      </c>
      <c r="C21">
        <v>0.99</v>
      </c>
      <c r="G21" s="4354">
        <v>0</v>
      </c>
      <c r="H21">
        <v>3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4355">
        <v>0</v>
      </c>
      <c r="P21">
        <v>0</v>
      </c>
      <c r="Q21">
        <v>0</v>
      </c>
      <c r="R21">
        <v>0</v>
      </c>
      <c r="S21">
        <v>0</v>
      </c>
      <c r="T21" s="4356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4</v>
      </c>
      <c r="AA21">
        <v>1</v>
      </c>
      <c r="AB21" s="4357">
        <v>0</v>
      </c>
      <c r="AC21">
        <v>1</v>
      </c>
      <c r="AD21">
        <v>0</v>
      </c>
      <c r="AE21">
        <v>0</v>
      </c>
      <c r="AF21">
        <v>0</v>
      </c>
      <c r="AG21" s="4358"/>
      <c r="AO21" s="4359"/>
      <c r="AT21" s="4360"/>
      <c r="BB21" s="4361"/>
      <c r="BG21" s="4362"/>
      <c r="BO21" s="4363"/>
      <c r="BT21" s="4364"/>
      <c r="CB21" s="4365"/>
      <c r="CK21" s="4150"/>
      <c r="CL21" s="4150"/>
      <c r="CM21" s="4150"/>
      <c r="CN21" s="4150"/>
      <c r="CO21" s="4150"/>
      <c r="CP21" s="4150"/>
      <c r="CQ21" s="4150"/>
      <c r="CR21" s="4150"/>
      <c r="CS21" s="4150"/>
      <c r="CT21" s="4150"/>
      <c r="CU21" s="4150"/>
      <c r="CV21" s="4150"/>
      <c r="CW21" s="4150"/>
      <c r="CX21" s="4150"/>
      <c r="CY21" s="4150"/>
      <c r="CZ21" s="4150"/>
      <c r="DA21" s="4150"/>
      <c r="DB21" s="4150"/>
      <c r="DC21" s="4150"/>
      <c r="DD21" s="4150"/>
      <c r="DE21" s="4150"/>
      <c r="DF21" s="4150"/>
      <c r="DG21" s="4150"/>
      <c r="DH21" s="4150"/>
      <c r="DI21" s="4150"/>
    </row>
    <row r="22" spans="1:113" x14ac:dyDescent="0.25">
      <c r="A22" s="4366" t="s">
        <v>1366</v>
      </c>
      <c r="B22">
        <v>1.61</v>
      </c>
      <c r="C22">
        <v>1.56</v>
      </c>
      <c r="G22" s="4367">
        <v>3</v>
      </c>
      <c r="H22">
        <v>2</v>
      </c>
      <c r="I22">
        <v>2</v>
      </c>
      <c r="J22">
        <v>0</v>
      </c>
      <c r="K22">
        <v>0</v>
      </c>
      <c r="L22">
        <v>0</v>
      </c>
      <c r="M22">
        <v>2</v>
      </c>
      <c r="N22">
        <v>0</v>
      </c>
      <c r="O22" s="4368">
        <v>0</v>
      </c>
      <c r="P22">
        <v>0</v>
      </c>
      <c r="Q22">
        <v>0</v>
      </c>
      <c r="R22">
        <v>0</v>
      </c>
      <c r="S22">
        <v>0</v>
      </c>
      <c r="T22" s="4369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 s="4370">
        <v>0</v>
      </c>
      <c r="AC22">
        <v>0</v>
      </c>
      <c r="AD22">
        <v>0</v>
      </c>
      <c r="AE22">
        <v>0</v>
      </c>
      <c r="AF22">
        <v>0</v>
      </c>
      <c r="AG22" s="4371"/>
      <c r="AO22" s="4372"/>
      <c r="AT22" s="4373"/>
      <c r="BB22" s="4374"/>
      <c r="BG22" s="4375"/>
      <c r="BO22" s="4376"/>
      <c r="BT22" s="4377"/>
      <c r="CB22" s="4378"/>
      <c r="CK22" s="4150"/>
      <c r="CL22" s="4150"/>
      <c r="CM22" s="4150"/>
      <c r="CN22" s="4150"/>
      <c r="CO22" s="4150"/>
      <c r="CP22" s="4150"/>
      <c r="CQ22" s="4150"/>
      <c r="CR22" s="4150"/>
      <c r="CS22" s="4150"/>
      <c r="CT22" s="4150"/>
      <c r="CU22" s="4150"/>
      <c r="CV22" s="4150"/>
      <c r="CW22" s="4150"/>
      <c r="CX22" s="4150"/>
      <c r="CY22" s="4150"/>
      <c r="CZ22" s="4150"/>
      <c r="DA22" s="4150"/>
      <c r="DB22" s="4150"/>
      <c r="DC22" s="4150"/>
      <c r="DD22" s="4150"/>
      <c r="DE22" s="4150"/>
      <c r="DF22" s="4150"/>
      <c r="DG22" s="4150"/>
      <c r="DH22" s="4150"/>
      <c r="DI22" s="4150"/>
    </row>
    <row r="23" spans="1:113" x14ac:dyDescent="0.25">
      <c r="A23" s="4379" t="s">
        <v>727</v>
      </c>
      <c r="B23">
        <v>1.08</v>
      </c>
      <c r="C23">
        <v>1.55</v>
      </c>
      <c r="G23" s="4380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2</v>
      </c>
      <c r="N23">
        <v>2</v>
      </c>
      <c r="O23" s="4381">
        <v>0</v>
      </c>
      <c r="P23">
        <v>0</v>
      </c>
      <c r="Q23">
        <v>0</v>
      </c>
      <c r="R23">
        <v>0</v>
      </c>
      <c r="S23">
        <v>0</v>
      </c>
      <c r="T23" s="4382">
        <v>0</v>
      </c>
      <c r="U23">
        <v>2</v>
      </c>
      <c r="V23">
        <v>0</v>
      </c>
      <c r="W23">
        <v>0</v>
      </c>
      <c r="X23">
        <v>0</v>
      </c>
      <c r="Y23">
        <v>0</v>
      </c>
      <c r="Z23">
        <v>5</v>
      </c>
      <c r="AA23">
        <v>0</v>
      </c>
      <c r="AB23" s="4383">
        <v>1</v>
      </c>
      <c r="AC23">
        <v>0</v>
      </c>
      <c r="AD23">
        <v>0</v>
      </c>
      <c r="AE23">
        <v>0</v>
      </c>
      <c r="AF23">
        <v>0</v>
      </c>
      <c r="AG23" s="4384"/>
      <c r="AO23" s="4385"/>
      <c r="AT23" s="4386"/>
      <c r="BB23" s="4387"/>
      <c r="BG23" s="4388"/>
      <c r="BO23" s="4389"/>
      <c r="BT23" s="4390"/>
      <c r="CB23" s="4391"/>
      <c r="CK23" s="4150"/>
      <c r="CL23" s="4150"/>
      <c r="CM23" s="4150"/>
      <c r="CN23" s="4150"/>
      <c r="CO23" s="4150"/>
      <c r="CP23" s="4150"/>
      <c r="CQ23" s="4150"/>
      <c r="CR23" s="4150"/>
      <c r="CS23" s="4150"/>
      <c r="CT23" s="4150"/>
      <c r="CU23" s="4150"/>
      <c r="CV23" s="4150"/>
      <c r="CW23" s="4150"/>
      <c r="CX23" s="4150"/>
      <c r="CY23" s="4150"/>
      <c r="CZ23" s="4150"/>
      <c r="DA23" s="4150"/>
      <c r="DB23" s="4150"/>
      <c r="DC23" s="4150"/>
      <c r="DD23" s="4150"/>
      <c r="DE23" s="4150"/>
      <c r="DF23" s="4150"/>
      <c r="DG23" s="4150"/>
      <c r="DH23" s="4150"/>
      <c r="DI23" s="4150"/>
    </row>
    <row r="24" spans="1:113" x14ac:dyDescent="0.25">
      <c r="A24" s="619" t="s">
        <v>1350</v>
      </c>
      <c r="B24" s="619"/>
      <c r="C24" s="619"/>
      <c r="D24" s="619"/>
      <c r="E24" s="619"/>
      <c r="F24" s="619"/>
      <c r="G24" s="4392"/>
      <c r="O24" s="4393"/>
      <c r="T24" s="4394"/>
      <c r="AB24" s="4395"/>
      <c r="AG24" s="4396"/>
      <c r="AO24" s="4397"/>
      <c r="AT24" s="4398"/>
      <c r="BB24" s="4399"/>
      <c r="BG24" s="4400"/>
      <c r="BO24" s="4401"/>
      <c r="BT24" s="4402"/>
      <c r="CB24" s="4403"/>
      <c r="CK24" s="4150"/>
      <c r="CL24" s="4150"/>
      <c r="CM24" s="4150"/>
      <c r="CN24" s="4150"/>
      <c r="CO24" s="4150"/>
      <c r="CP24" s="4150"/>
      <c r="CQ24" s="4150"/>
      <c r="CR24" s="4150"/>
      <c r="CS24" s="4150"/>
      <c r="CT24" s="4150"/>
      <c r="CU24" s="4150"/>
      <c r="CV24" s="4150"/>
      <c r="CW24" s="4150"/>
      <c r="CX24" s="4150"/>
      <c r="CY24" s="4150"/>
      <c r="CZ24" s="4150"/>
      <c r="DA24" s="4150"/>
      <c r="DB24" s="4150"/>
      <c r="DC24" s="4150"/>
      <c r="DD24" s="4150"/>
      <c r="DE24" s="4150"/>
      <c r="DF24" s="4150"/>
      <c r="DG24" s="4150"/>
      <c r="DH24" s="4150"/>
      <c r="DI24" s="4150"/>
    </row>
    <row r="25" spans="1:113" x14ac:dyDescent="0.25">
      <c r="A25" s="4404" t="s">
        <v>1033</v>
      </c>
      <c r="B25">
        <v>0.32</v>
      </c>
      <c r="E25">
        <v>1.19</v>
      </c>
      <c r="F25">
        <v>0.73</v>
      </c>
      <c r="G25" s="4405">
        <v>0</v>
      </c>
      <c r="H25">
        <v>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406">
        <v>0</v>
      </c>
      <c r="P25">
        <v>0</v>
      </c>
      <c r="Q25">
        <v>0</v>
      </c>
      <c r="R25">
        <v>0</v>
      </c>
      <c r="S25">
        <v>0</v>
      </c>
      <c r="T25" s="4407"/>
      <c r="AB25" s="4408"/>
      <c r="AG25" s="4409"/>
      <c r="AO25" s="4410"/>
      <c r="AT25" s="4411">
        <v>0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3</v>
      </c>
      <c r="BA25">
        <v>2</v>
      </c>
      <c r="BB25" s="4412">
        <v>0</v>
      </c>
      <c r="BC25">
        <v>0</v>
      </c>
      <c r="BD25">
        <v>0</v>
      </c>
      <c r="BE25">
        <v>0</v>
      </c>
      <c r="BF25">
        <v>0</v>
      </c>
      <c r="BG25" s="4413">
        <v>2</v>
      </c>
      <c r="BH25">
        <v>3</v>
      </c>
      <c r="BI25">
        <v>0</v>
      </c>
      <c r="BJ25">
        <v>0</v>
      </c>
      <c r="BK25">
        <v>0</v>
      </c>
      <c r="BL25">
        <v>0</v>
      </c>
      <c r="BM25">
        <v>3</v>
      </c>
      <c r="BN25">
        <v>0</v>
      </c>
      <c r="BO25" s="4414">
        <v>0</v>
      </c>
      <c r="BP25">
        <v>0</v>
      </c>
      <c r="BQ25">
        <v>0</v>
      </c>
      <c r="BR25">
        <v>0</v>
      </c>
      <c r="BS25">
        <v>0</v>
      </c>
      <c r="BT25" s="4415"/>
      <c r="CB25" s="4416"/>
      <c r="CI25" t="s">
        <v>1376</v>
      </c>
      <c r="CK25" s="4150"/>
      <c r="CL25" s="4150"/>
      <c r="CM25" s="4150"/>
      <c r="CN25" s="4150"/>
      <c r="CO25" s="4150"/>
      <c r="CP25" s="4150"/>
      <c r="CQ25" s="4150"/>
      <c r="CR25" s="4150"/>
      <c r="CS25" s="4150"/>
      <c r="CT25" s="4150"/>
      <c r="CU25" s="4150"/>
      <c r="CV25" s="4150"/>
      <c r="CW25" s="4150"/>
      <c r="CX25" s="4150"/>
      <c r="CY25" s="4150"/>
      <c r="CZ25" s="4150"/>
      <c r="DA25" s="4150"/>
      <c r="DB25" s="4150"/>
      <c r="DC25" s="4150"/>
      <c r="DD25" s="4150"/>
      <c r="DE25" s="4150"/>
      <c r="DF25" s="4150"/>
      <c r="DG25" s="4150"/>
      <c r="DH25" s="4150"/>
      <c r="DI25" s="4150"/>
    </row>
    <row r="26" spans="1:113" x14ac:dyDescent="0.25">
      <c r="B26" s="4070">
        <f>AVERAGE(B3:B25)</f>
        <v>1.2294736842105263</v>
      </c>
      <c r="C26" s="4070">
        <f>AVERAGE(C3:C25)</f>
        <v>1.2366666666666666</v>
      </c>
      <c r="D26" s="4070">
        <f>AVERAGE(D3:D25)</f>
        <v>1.0900000000000001</v>
      </c>
      <c r="E26" s="4149">
        <f>AVERAGE(E3:E25)</f>
        <v>1.19</v>
      </c>
      <c r="F26" s="4149">
        <f>AVERAGE(F3:F25)</f>
        <v>0.73</v>
      </c>
      <c r="G26" s="4150">
        <f>AVERAGE(G3:G25)</f>
        <v>1</v>
      </c>
      <c r="H26" s="4150">
        <f t="shared" ref="H26:BS26" si="16">AVERAGE(H3:H25)</f>
        <v>2</v>
      </c>
      <c r="I26" s="4150">
        <f t="shared" si="16"/>
        <v>0.89473684210526316</v>
      </c>
      <c r="J26" s="4150">
        <f t="shared" si="16"/>
        <v>0.26315789473684209</v>
      </c>
      <c r="K26" s="4150">
        <f t="shared" si="16"/>
        <v>0</v>
      </c>
      <c r="L26" s="4150">
        <f t="shared" si="16"/>
        <v>0.26315789473684209</v>
      </c>
      <c r="M26" s="4150">
        <f t="shared" si="16"/>
        <v>2.1052631578947367</v>
      </c>
      <c r="N26" s="4150">
        <f t="shared" si="16"/>
        <v>0.57894736842105265</v>
      </c>
      <c r="O26" s="4150">
        <f t="shared" si="16"/>
        <v>0.10526315789473684</v>
      </c>
      <c r="P26" s="4150">
        <f t="shared" si="16"/>
        <v>5.2631578947368418E-2</v>
      </c>
      <c r="Q26" s="4150">
        <f t="shared" si="16"/>
        <v>0</v>
      </c>
      <c r="R26" s="4150">
        <f t="shared" si="16"/>
        <v>0</v>
      </c>
      <c r="S26" s="4150">
        <f t="shared" si="16"/>
        <v>0</v>
      </c>
      <c r="T26" s="4150">
        <f t="shared" si="16"/>
        <v>0.55555555555555558</v>
      </c>
      <c r="U26" s="4150">
        <f t="shared" si="16"/>
        <v>0.77777777777777779</v>
      </c>
      <c r="V26" s="4150">
        <f t="shared" si="16"/>
        <v>0.55555555555555558</v>
      </c>
      <c r="W26" s="4150">
        <f t="shared" si="16"/>
        <v>0.33333333333333331</v>
      </c>
      <c r="X26" s="4150">
        <f t="shared" si="16"/>
        <v>0</v>
      </c>
      <c r="Y26" s="4150">
        <f t="shared" si="16"/>
        <v>0</v>
      </c>
      <c r="Z26" s="4150">
        <f t="shared" si="16"/>
        <v>3.1666666666666665</v>
      </c>
      <c r="AA26" s="4150">
        <f t="shared" si="16"/>
        <v>0.3888888888888889</v>
      </c>
      <c r="AB26" s="4150">
        <f t="shared" si="16"/>
        <v>0.27777777777777779</v>
      </c>
      <c r="AC26" s="4150">
        <f t="shared" si="16"/>
        <v>5.5555555555555552E-2</v>
      </c>
      <c r="AD26" s="4150">
        <f t="shared" si="16"/>
        <v>5.5555555555555552E-2</v>
      </c>
      <c r="AE26" s="4150">
        <f t="shared" si="16"/>
        <v>0</v>
      </c>
      <c r="AF26" s="4150">
        <f t="shared" si="16"/>
        <v>0</v>
      </c>
      <c r="AG26" s="4150">
        <f t="shared" si="16"/>
        <v>0.625</v>
      </c>
      <c r="AH26" s="4150">
        <f t="shared" si="16"/>
        <v>2.375</v>
      </c>
      <c r="AI26" s="4150">
        <f t="shared" si="16"/>
        <v>1.25</v>
      </c>
      <c r="AJ26" s="4150">
        <f t="shared" si="16"/>
        <v>0</v>
      </c>
      <c r="AK26" s="4150">
        <f t="shared" si="16"/>
        <v>0</v>
      </c>
      <c r="AL26" s="4150">
        <f t="shared" si="16"/>
        <v>0.75</v>
      </c>
      <c r="AM26" s="4150">
        <f t="shared" si="16"/>
        <v>2.25</v>
      </c>
      <c r="AN26" s="4150">
        <f t="shared" si="16"/>
        <v>0.125</v>
      </c>
      <c r="AO26" s="4150">
        <f t="shared" si="16"/>
        <v>0</v>
      </c>
      <c r="AP26" s="4150">
        <f t="shared" si="16"/>
        <v>0.125</v>
      </c>
      <c r="AQ26" s="4150">
        <f t="shared" si="16"/>
        <v>0.125</v>
      </c>
      <c r="AR26" s="4150">
        <f t="shared" si="16"/>
        <v>0</v>
      </c>
      <c r="AS26" s="4150">
        <f t="shared" si="16"/>
        <v>0</v>
      </c>
      <c r="AT26" s="4150">
        <f t="shared" si="16"/>
        <v>0</v>
      </c>
      <c r="AU26" s="4150">
        <f t="shared" si="16"/>
        <v>1</v>
      </c>
      <c r="AV26" s="4150">
        <f t="shared" si="16"/>
        <v>1</v>
      </c>
      <c r="AW26" s="4150">
        <f t="shared" si="16"/>
        <v>1</v>
      </c>
      <c r="AX26" s="4150">
        <f t="shared" si="16"/>
        <v>0</v>
      </c>
      <c r="AY26" s="4150">
        <f t="shared" si="16"/>
        <v>0</v>
      </c>
      <c r="AZ26" s="4150">
        <f t="shared" si="16"/>
        <v>3</v>
      </c>
      <c r="BA26" s="4150">
        <f t="shared" si="16"/>
        <v>2</v>
      </c>
      <c r="BB26" s="4150">
        <f t="shared" si="16"/>
        <v>0</v>
      </c>
      <c r="BC26" s="4150">
        <f t="shared" si="16"/>
        <v>0</v>
      </c>
      <c r="BD26" s="4150">
        <f t="shared" si="16"/>
        <v>0</v>
      </c>
      <c r="BE26" s="4150">
        <f t="shared" si="16"/>
        <v>0</v>
      </c>
      <c r="BF26" s="4150">
        <f t="shared" si="16"/>
        <v>0</v>
      </c>
      <c r="BG26" s="4150">
        <f t="shared" si="16"/>
        <v>2</v>
      </c>
      <c r="BH26" s="4150">
        <f t="shared" si="16"/>
        <v>3</v>
      </c>
      <c r="BI26" s="4150">
        <f t="shared" si="16"/>
        <v>0</v>
      </c>
      <c r="BJ26" s="4150">
        <f t="shared" si="16"/>
        <v>0</v>
      </c>
      <c r="BK26" s="4150">
        <f t="shared" si="16"/>
        <v>0</v>
      </c>
      <c r="BL26" s="4150">
        <f t="shared" si="16"/>
        <v>0</v>
      </c>
      <c r="BM26" s="4150">
        <f t="shared" si="16"/>
        <v>3</v>
      </c>
      <c r="BN26" s="4150">
        <f t="shared" si="16"/>
        <v>0</v>
      </c>
      <c r="BO26" s="4150">
        <f t="shared" si="16"/>
        <v>0</v>
      </c>
      <c r="BP26" s="4150">
        <f t="shared" si="16"/>
        <v>0</v>
      </c>
      <c r="BQ26" s="4150">
        <f t="shared" si="16"/>
        <v>0</v>
      </c>
      <c r="BR26" s="4150">
        <f t="shared" si="16"/>
        <v>0</v>
      </c>
      <c r="BS26" s="4150">
        <f t="shared" si="16"/>
        <v>0</v>
      </c>
      <c r="CK26" s="4150"/>
      <c r="CL26" s="4150"/>
      <c r="CM26" s="4150"/>
      <c r="CN26" s="4150"/>
      <c r="CO26" s="4150"/>
      <c r="CP26" s="4150"/>
      <c r="CQ26" s="4150"/>
      <c r="CR26" s="4150"/>
      <c r="CS26" s="4150"/>
      <c r="CT26" s="4150"/>
      <c r="CU26" s="4150"/>
      <c r="CV26" s="4150"/>
      <c r="CW26" s="4150"/>
      <c r="CX26" s="4150"/>
      <c r="CY26" s="4150"/>
      <c r="CZ26" s="4150"/>
      <c r="DA26" s="4150"/>
      <c r="DB26" s="4150"/>
      <c r="DC26" s="4150"/>
      <c r="DD26" s="4150"/>
      <c r="DE26" s="4150"/>
      <c r="DF26" s="4150"/>
      <c r="DG26" s="4150"/>
      <c r="DH26" s="4150"/>
      <c r="DI26" s="4150"/>
    </row>
    <row r="27" spans="1:113" x14ac:dyDescent="0.25">
      <c r="CK27" s="4150"/>
      <c r="CL27" s="4150"/>
      <c r="CM27" s="4150"/>
      <c r="CN27" s="4150"/>
      <c r="CO27" s="4150"/>
      <c r="CP27" s="4150"/>
      <c r="CQ27" s="4150"/>
      <c r="CR27" s="4150"/>
      <c r="CS27" s="4150"/>
      <c r="CT27" s="4150"/>
      <c r="CU27" s="4150"/>
      <c r="CV27" s="4150"/>
      <c r="CW27" s="4150"/>
      <c r="CX27" s="4150"/>
      <c r="CY27" s="4150"/>
      <c r="CZ27" s="4150"/>
      <c r="DA27" s="4150"/>
      <c r="DB27" s="4150"/>
      <c r="DC27" s="4150"/>
      <c r="DD27" s="4150"/>
      <c r="DE27" s="4150"/>
      <c r="DF27" s="4150"/>
      <c r="DG27" s="4150"/>
      <c r="DH27" s="4150"/>
      <c r="DI27" s="4150"/>
    </row>
    <row r="28" spans="1:113" x14ac:dyDescent="0.25">
      <c r="CK28" s="4150"/>
      <c r="CL28" s="4150"/>
      <c r="CM28" s="4150"/>
      <c r="CN28" s="4150"/>
      <c r="CO28" s="4150"/>
      <c r="CP28" s="4150"/>
      <c r="CQ28" s="4150"/>
      <c r="CR28" s="4150"/>
      <c r="CS28" s="4150"/>
      <c r="CT28" s="4150"/>
      <c r="CU28" s="4150"/>
      <c r="CV28" s="4150"/>
      <c r="CW28" s="4150"/>
      <c r="CX28" s="4150"/>
      <c r="CY28" s="4150"/>
      <c r="CZ28" s="4150"/>
      <c r="DA28" s="4150"/>
      <c r="DB28" s="4150"/>
      <c r="DC28" s="4150"/>
      <c r="DD28" s="4150"/>
      <c r="DE28" s="4150"/>
      <c r="DF28" s="4150"/>
      <c r="DG28" s="4150"/>
      <c r="DH28" s="4150"/>
      <c r="DI28" s="4150"/>
    </row>
    <row r="29" spans="1:113" x14ac:dyDescent="0.25">
      <c r="CK29" s="4150"/>
      <c r="CL29" s="4150"/>
      <c r="CM29" s="4150"/>
      <c r="CN29" s="4150"/>
      <c r="CO29" s="4150"/>
      <c r="CP29" s="4150"/>
      <c r="CQ29" s="4150"/>
      <c r="CR29" s="4150"/>
      <c r="CS29" s="4150"/>
      <c r="CT29" s="4150"/>
      <c r="CU29" s="4150"/>
      <c r="CV29" s="4150"/>
      <c r="CW29" s="4150"/>
      <c r="CX29" s="4150"/>
      <c r="CY29" s="4150"/>
      <c r="CZ29" s="4150"/>
      <c r="DA29" s="4150"/>
      <c r="DB29" s="4150"/>
      <c r="DC29" s="4150"/>
      <c r="DD29" s="4150"/>
      <c r="DE29" s="4150"/>
      <c r="DF29" s="4150"/>
      <c r="DG29" s="4150"/>
      <c r="DH29" s="4150"/>
      <c r="DI29" s="4150"/>
    </row>
    <row r="30" spans="1:113" x14ac:dyDescent="0.25">
      <c r="CK30" s="4150"/>
      <c r="CL30" s="4150"/>
      <c r="CM30" s="4150"/>
      <c r="CN30" s="4150"/>
      <c r="CO30" s="4150"/>
      <c r="CP30" s="4150"/>
      <c r="CQ30" s="4150"/>
      <c r="CR30" s="4150"/>
      <c r="CS30" s="4150"/>
      <c r="CT30" s="4150"/>
      <c r="CU30" s="4150"/>
      <c r="CV30" s="4150"/>
      <c r="CW30" s="4150"/>
      <c r="CX30" s="4150"/>
      <c r="CY30" s="4150"/>
      <c r="CZ30" s="4150"/>
      <c r="DA30" s="4150"/>
      <c r="DB30" s="4150"/>
      <c r="DC30" s="4150"/>
      <c r="DD30" s="4150"/>
      <c r="DE30" s="4150"/>
      <c r="DF30" s="4150"/>
      <c r="DG30" s="4150"/>
      <c r="DH30" s="4150"/>
      <c r="DI30" s="4150"/>
    </row>
  </sheetData>
  <mergeCells count="18">
    <mergeCell ref="CP3:CU3"/>
    <mergeCell ref="CV3:DA3"/>
    <mergeCell ref="DB3:DG3"/>
    <mergeCell ref="DH3:DM3"/>
    <mergeCell ref="CJ4:CO4"/>
    <mergeCell ref="CP4:CU4"/>
    <mergeCell ref="CV4:DA4"/>
    <mergeCell ref="DB4:DG4"/>
    <mergeCell ref="CJ6:CO6"/>
    <mergeCell ref="CP6:CU6"/>
    <mergeCell ref="CV6:DA6"/>
    <mergeCell ref="DB6:DG6"/>
    <mergeCell ref="CJ1:CO1"/>
    <mergeCell ref="CP1:CU1"/>
    <mergeCell ref="CV1:DA1"/>
    <mergeCell ref="DB1:DG1"/>
    <mergeCell ref="DH1:DM1"/>
    <mergeCell ref="CJ3:CO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O6"/>
  <sheetViews>
    <sheetView workbookViewId="0">
      <selection activeCell="A2" sqref="A2"/>
    </sheetView>
  </sheetViews>
  <sheetFormatPr defaultRowHeight="15" x14ac:dyDescent="0.25"/>
  <cols>
    <col min="1" max="1" width="12.28515625" customWidth="1"/>
    <col min="5" max="5" width="14.140625" style="4147" customWidth="1"/>
    <col min="6" max="6" width="9.140625" style="4147"/>
    <col min="90" max="90" width="10.28515625" bestFit="1" customWidth="1"/>
  </cols>
  <sheetData>
    <row r="1" spans="1:119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1347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L1" s="4447" t="s">
        <v>1100</v>
      </c>
      <c r="CM1" s="4447"/>
      <c r="CN1" s="4447"/>
      <c r="CO1" s="4447"/>
      <c r="CP1" s="4447"/>
      <c r="CQ1" s="4447"/>
      <c r="CR1" s="4466" t="s">
        <v>1111</v>
      </c>
      <c r="CS1" s="4449"/>
      <c r="CT1" s="4449"/>
      <c r="CU1" s="4449"/>
      <c r="CV1" s="4449"/>
      <c r="CW1" s="4449"/>
      <c r="CX1" s="4448" t="s">
        <v>1101</v>
      </c>
      <c r="CY1" s="4448"/>
      <c r="CZ1" s="4448"/>
      <c r="DA1" s="4448"/>
      <c r="DB1" s="4448"/>
      <c r="DC1" s="4448"/>
      <c r="DD1" s="4446" t="s">
        <v>1102</v>
      </c>
      <c r="DE1" s="4446"/>
      <c r="DF1" s="4446"/>
      <c r="DG1" s="4446"/>
      <c r="DH1" s="4446"/>
      <c r="DI1" s="4446"/>
      <c r="DJ1" s="4448" t="s">
        <v>1104</v>
      </c>
      <c r="DK1" s="4448"/>
      <c r="DL1" s="4448"/>
      <c r="DM1" s="4448"/>
      <c r="DN1" s="4448"/>
      <c r="DO1" s="4448"/>
    </row>
    <row r="2" spans="1:119" x14ac:dyDescent="0.25">
      <c r="A2" s="619" t="s">
        <v>1341</v>
      </c>
      <c r="B2" s="619"/>
      <c r="C2" s="619"/>
      <c r="D2" s="619"/>
      <c r="E2" s="619"/>
      <c r="F2" s="619"/>
      <c r="G2" s="4122"/>
      <c r="O2" s="4123"/>
      <c r="T2" s="4124"/>
      <c r="AB2" s="4125"/>
      <c r="AG2" s="4126"/>
      <c r="AO2" s="4127"/>
      <c r="AT2" s="4128"/>
      <c r="BB2" s="4129"/>
      <c r="BG2" s="4130"/>
      <c r="BO2" s="4131"/>
      <c r="BT2" s="4132"/>
      <c r="CB2" s="4133"/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>
        <f>AVERAGE(B3)</f>
        <v>0.93</v>
      </c>
      <c r="CS2" s="1" t="e">
        <f>AVERAGE(#REF!,C3)</f>
        <v>#REF!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</row>
    <row r="3" spans="1:119" x14ac:dyDescent="0.25">
      <c r="A3" s="4134" t="s">
        <v>324</v>
      </c>
      <c r="B3">
        <v>0.93</v>
      </c>
      <c r="C3">
        <v>1.34</v>
      </c>
      <c r="G3" s="4135">
        <v>4</v>
      </c>
      <c r="H3">
        <v>0</v>
      </c>
      <c r="I3">
        <v>1</v>
      </c>
      <c r="J3">
        <v>0</v>
      </c>
      <c r="K3">
        <v>0</v>
      </c>
      <c r="L3">
        <v>0</v>
      </c>
      <c r="M3">
        <v>5</v>
      </c>
      <c r="N3">
        <v>1</v>
      </c>
      <c r="O3" s="4136">
        <v>0</v>
      </c>
      <c r="P3">
        <v>0</v>
      </c>
      <c r="Q3">
        <v>0</v>
      </c>
      <c r="R3">
        <v>0</v>
      </c>
      <c r="S3">
        <v>0</v>
      </c>
      <c r="T3" s="4137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3</v>
      </c>
      <c r="AA3">
        <v>0</v>
      </c>
      <c r="AB3" s="4138">
        <v>0</v>
      </c>
      <c r="AC3">
        <v>0</v>
      </c>
      <c r="AD3">
        <v>0</v>
      </c>
      <c r="AE3">
        <v>0</v>
      </c>
      <c r="AF3">
        <v>0</v>
      </c>
      <c r="AG3" s="4139"/>
      <c r="AO3" s="4140"/>
      <c r="AT3" s="4141"/>
      <c r="BB3" s="4142"/>
      <c r="BG3" s="4143"/>
      <c r="BO3" s="4144"/>
      <c r="BT3" s="4145"/>
      <c r="CB3" s="4146"/>
      <c r="CL3" s="4421" t="e">
        <f>_xlfn.AGGREGATE(1,6,CL2:CQ2)</f>
        <v>#DIV/0!</v>
      </c>
      <c r="CM3" s="4421"/>
      <c r="CN3" s="4421"/>
      <c r="CO3" s="4421"/>
      <c r="CP3" s="4421"/>
      <c r="CQ3" s="4421"/>
      <c r="CR3" s="4421">
        <f t="shared" ref="CR3" si="0">_xlfn.AGGREGATE(1,6,CR2:CW2)</f>
        <v>0.93</v>
      </c>
      <c r="CS3" s="4421"/>
      <c r="CT3" s="4421"/>
      <c r="CU3" s="4421"/>
      <c r="CV3" s="4421"/>
      <c r="CW3" s="4421"/>
      <c r="CX3" s="4421" t="e">
        <f t="shared" ref="CX3" si="1">_xlfn.AGGREGATE(1,6,CX2:DC2)</f>
        <v>#DIV/0!</v>
      </c>
      <c r="CY3" s="4421"/>
      <c r="CZ3" s="4421"/>
      <c r="DA3" s="4421"/>
      <c r="DB3" s="4421"/>
      <c r="DC3" s="4421"/>
      <c r="DD3" s="4421" t="e">
        <f t="shared" ref="DD3" si="2">_xlfn.AGGREGATE(1,6,DD2:DI2)</f>
        <v>#DIV/0!</v>
      </c>
      <c r="DE3" s="4421"/>
      <c r="DF3" s="4421"/>
      <c r="DG3" s="4421"/>
      <c r="DH3" s="4421"/>
      <c r="DI3" s="4421"/>
      <c r="DJ3" s="4421" t="e">
        <f t="shared" ref="DJ3" si="3">_xlfn.AGGREGATE(1,6,DJ2:DO2)</f>
        <v>#DIV/0!</v>
      </c>
      <c r="DK3" s="4421"/>
      <c r="DL3" s="4421"/>
      <c r="DM3" s="4421"/>
      <c r="DN3" s="4421"/>
      <c r="DO3" s="4421"/>
    </row>
    <row r="4" spans="1:119" x14ac:dyDescent="0.25">
      <c r="B4">
        <f>AVERAGE(B3:B3)</f>
        <v>0.93</v>
      </c>
      <c r="C4" s="4070">
        <f t="shared" ref="C4:D4" si="4">AVERAGE(C3:C3)</f>
        <v>1.34</v>
      </c>
      <c r="D4" s="4070" t="e">
        <f t="shared" si="4"/>
        <v>#DIV/0!</v>
      </c>
      <c r="CL4" s="4446" t="s">
        <v>1099</v>
      </c>
      <c r="CM4" s="4446"/>
      <c r="CN4" s="4446"/>
      <c r="CO4" s="4446"/>
      <c r="CP4" s="4446"/>
      <c r="CQ4" s="4446"/>
      <c r="CR4" s="4444" t="s">
        <v>994</v>
      </c>
      <c r="CS4" s="4444"/>
      <c r="CT4" s="4444"/>
      <c r="CU4" s="4444"/>
      <c r="CV4" s="4444"/>
      <c r="CW4" s="4444"/>
      <c r="CX4" s="4446" t="s">
        <v>1103</v>
      </c>
      <c r="CY4" s="4446"/>
      <c r="CZ4" s="4446"/>
      <c r="DA4" s="4446"/>
      <c r="DB4" s="4446"/>
      <c r="DC4" s="4446"/>
      <c r="DD4" s="4445" t="s">
        <v>1105</v>
      </c>
      <c r="DE4" s="4445"/>
      <c r="DF4" s="4445"/>
      <c r="DG4" s="4445"/>
      <c r="DH4" s="4445"/>
      <c r="DI4" s="4445"/>
    </row>
    <row r="5" spans="1:119" x14ac:dyDescent="0.25">
      <c r="CL5" s="4149" t="e">
        <f>AVERAGE(#REF!)</f>
        <v>#REF!</v>
      </c>
      <c r="CM5" s="4149" t="e">
        <f>AVERAGE(#REF!)</f>
        <v>#REF!</v>
      </c>
      <c r="CN5" s="4149" t="e">
        <f>AVERAGE(#REF!)</f>
        <v>#REF!</v>
      </c>
      <c r="CO5" s="4149" t="e">
        <f>AVERAGE(#REF!)</f>
        <v>#REF!</v>
      </c>
      <c r="CP5" s="4149" t="e">
        <f>AVERAGE(#REF!)</f>
        <v>#REF!</v>
      </c>
      <c r="CQ5" s="4149" t="e">
        <f>AVERAGE(#REF!)</f>
        <v>#REF!</v>
      </c>
      <c r="CR5" s="4149" t="e">
        <f>AVERAGE(#REF!)</f>
        <v>#REF!</v>
      </c>
      <c r="CS5" s="4149" t="e">
        <f>AVERAGE(#REF!)</f>
        <v>#REF!</v>
      </c>
      <c r="CT5" s="4149" t="e">
        <f>AVERAGE(#REF!)</f>
        <v>#REF!</v>
      </c>
      <c r="CU5" s="4149" t="e">
        <f>AVERAGE(#REF!)</f>
        <v>#REF!</v>
      </c>
      <c r="CV5" s="4149" t="e">
        <f>AVERAGE(#REF!)</f>
        <v>#REF!</v>
      </c>
      <c r="CW5" s="4149" t="e">
        <f>AVERAGE(#REF!)</f>
        <v>#REF!</v>
      </c>
      <c r="CX5" s="4149" t="e">
        <f>AVERAGE(#REF!)</f>
        <v>#REF!</v>
      </c>
      <c r="CY5" s="4149" t="e">
        <f>AVERAGE(#REF!)</f>
        <v>#REF!</v>
      </c>
      <c r="CZ5" s="4149" t="e">
        <f>AVERAGE(#REF!)</f>
        <v>#REF!</v>
      </c>
      <c r="DA5" s="4149" t="e">
        <f>AVERAGE(#REF!)</f>
        <v>#REF!</v>
      </c>
      <c r="DB5" s="4149" t="e">
        <f>AVERAGE(#REF!)</f>
        <v>#REF!</v>
      </c>
      <c r="DC5" s="4149" t="e">
        <f>AVERAGE(#REF!)</f>
        <v>#REF!</v>
      </c>
      <c r="DD5" s="4149" t="e">
        <f>AVERAGE(#REF!)</f>
        <v>#REF!</v>
      </c>
      <c r="DE5" s="4149" t="e">
        <f>AVERAGE(#REF!)</f>
        <v>#REF!</v>
      </c>
      <c r="DF5" s="4149" t="e">
        <f>AVERAGE(#REF!)</f>
        <v>#REF!</v>
      </c>
      <c r="DG5" s="4149" t="e">
        <f>AVERAGE(#REF!)</f>
        <v>#REF!</v>
      </c>
      <c r="DH5" s="4149" t="e">
        <f>AVERAGE(#REF!)</f>
        <v>#REF!</v>
      </c>
      <c r="DI5" s="4149" t="e">
        <f>AVERAGE(#REF!)</f>
        <v>#REF!</v>
      </c>
    </row>
    <row r="6" spans="1:119" x14ac:dyDescent="0.25">
      <c r="CL6" s="4421" t="e">
        <f>_xlfn.AGGREGATE(1,6,CL5:CQ5)</f>
        <v>#DIV/0!</v>
      </c>
      <c r="CM6" s="4421"/>
      <c r="CN6" s="4421"/>
      <c r="CO6" s="4421"/>
      <c r="CP6" s="4421"/>
      <c r="CQ6" s="4421"/>
      <c r="CR6" s="4421" t="e">
        <f t="shared" ref="CR6" si="5">_xlfn.AGGREGATE(1,6,CR5:CW5)</f>
        <v>#DIV/0!</v>
      </c>
      <c r="CS6" s="4421"/>
      <c r="CT6" s="4421"/>
      <c r="CU6" s="4421"/>
      <c r="CV6" s="4421"/>
      <c r="CW6" s="4421"/>
      <c r="CX6" s="4421" t="e">
        <f t="shared" ref="CX6" si="6">_xlfn.AGGREGATE(1,6,CX5:DC5)</f>
        <v>#DIV/0!</v>
      </c>
      <c r="CY6" s="4421"/>
      <c r="CZ6" s="4421"/>
      <c r="DA6" s="4421"/>
      <c r="DB6" s="4421"/>
      <c r="DC6" s="4421"/>
      <c r="DD6" s="4421" t="e">
        <f t="shared" ref="DD6" si="7">_xlfn.AGGREGATE(1,6,DD5:DI5)</f>
        <v>#DIV/0!</v>
      </c>
      <c r="DE6" s="4421"/>
      <c r="DF6" s="4421"/>
      <c r="DG6" s="4421"/>
      <c r="DH6" s="4421"/>
      <c r="DI6" s="4421"/>
      <c r="DJ6" s="3999"/>
      <c r="DK6" s="3999"/>
      <c r="DL6" s="3999"/>
      <c r="DM6" s="3999"/>
      <c r="DN6" s="3999"/>
      <c r="DO6" s="3999"/>
    </row>
  </sheetData>
  <mergeCells count="18">
    <mergeCell ref="CL6:CQ6"/>
    <mergeCell ref="CR6:CW6"/>
    <mergeCell ref="CX6:DC6"/>
    <mergeCell ref="DD6:DI6"/>
    <mergeCell ref="CR4:CW4"/>
    <mergeCell ref="CL4:CQ4"/>
    <mergeCell ref="CX4:DC4"/>
    <mergeCell ref="DD4:DI4"/>
    <mergeCell ref="DJ3:DO3"/>
    <mergeCell ref="CL1:CQ1"/>
    <mergeCell ref="CR1:CW1"/>
    <mergeCell ref="CX1:DC1"/>
    <mergeCell ref="DD1:DI1"/>
    <mergeCell ref="DJ1:DO1"/>
    <mergeCell ref="CL3:CQ3"/>
    <mergeCell ref="CR3:CW3"/>
    <mergeCell ref="CX3:DC3"/>
    <mergeCell ref="DD3:DI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EA9"/>
  <sheetViews>
    <sheetView workbookViewId="0">
      <selection activeCell="H8" sqref="H8"/>
    </sheetView>
  </sheetViews>
  <sheetFormatPr defaultRowHeight="15" x14ac:dyDescent="0.25"/>
  <cols>
    <col min="5" max="6" width="9.140625" style="4149"/>
  </cols>
  <sheetData>
    <row r="1" spans="1:131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1347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CL1" s="4447" t="s">
        <v>1100</v>
      </c>
      <c r="CM1" s="4447"/>
      <c r="CN1" s="4447"/>
      <c r="CO1" s="4447"/>
      <c r="CP1" s="4447"/>
      <c r="CQ1" s="4447"/>
      <c r="CR1" s="4466" t="s">
        <v>1346</v>
      </c>
      <c r="CS1" s="4449"/>
      <c r="CT1" s="4449"/>
      <c r="CU1" s="4449"/>
      <c r="CV1" s="4449"/>
      <c r="CW1" s="4449"/>
      <c r="CX1" s="4448" t="s">
        <v>1101</v>
      </c>
      <c r="CY1" s="4448"/>
      <c r="CZ1" s="4448"/>
      <c r="DA1" s="4448"/>
      <c r="DB1" s="4448"/>
      <c r="DC1" s="4448"/>
      <c r="DD1" s="4446" t="s">
        <v>1102</v>
      </c>
      <c r="DE1" s="4446"/>
      <c r="DF1" s="4446"/>
      <c r="DG1" s="4446"/>
      <c r="DH1" s="4446"/>
      <c r="DI1" s="4446"/>
      <c r="DJ1" s="4448" t="s">
        <v>1104</v>
      </c>
      <c r="DK1" s="4448"/>
      <c r="DL1" s="4448"/>
      <c r="DM1" s="4448"/>
      <c r="DN1" s="4448"/>
      <c r="DO1" s="4448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  <c r="DZ1" s="3999"/>
      <c r="EA1" s="3999"/>
    </row>
    <row r="2" spans="1:131" x14ac:dyDescent="0.25"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AVERAGE(B3)</f>
        <v>#DIV/0!</v>
      </c>
      <c r="CS2" s="1" t="e">
        <f>AVERAGE(C3)</f>
        <v>#DIV/0!</v>
      </c>
      <c r="CT2" s="1" t="e">
        <f>AVERAGE(D3)</f>
        <v>#DIV/0!</v>
      </c>
      <c r="CU2" s="1" t="e">
        <f t="shared" ref="CU2" si="0">AVERAGE(G3)</f>
        <v>#DIV/0!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  <c r="DZ2" s="3999"/>
      <c r="EA2" s="3999"/>
    </row>
    <row r="3" spans="1:131" x14ac:dyDescent="0.25">
      <c r="CL3" s="4421" t="e">
        <f>_xlfn.AGGREGATE(1,6,CL2:CQ2)</f>
        <v>#DIV/0!</v>
      </c>
      <c r="CM3" s="4421"/>
      <c r="CN3" s="4421"/>
      <c r="CO3" s="4421"/>
      <c r="CP3" s="4421"/>
      <c r="CQ3" s="4421"/>
      <c r="CR3" s="4421" t="e">
        <f t="shared" ref="CR3" si="1">_xlfn.AGGREGATE(1,6,CR2:CW2)</f>
        <v>#DIV/0!</v>
      </c>
      <c r="CS3" s="4421"/>
      <c r="CT3" s="4421"/>
      <c r="CU3" s="4421"/>
      <c r="CV3" s="4421"/>
      <c r="CW3" s="4421"/>
      <c r="CX3" s="4421" t="e">
        <f t="shared" ref="CX3" si="2">_xlfn.AGGREGATE(1,6,CX2:DC2)</f>
        <v>#DIV/0!</v>
      </c>
      <c r="CY3" s="4421"/>
      <c r="CZ3" s="4421"/>
      <c r="DA3" s="4421"/>
      <c r="DB3" s="4421"/>
      <c r="DC3" s="4421"/>
      <c r="DD3" s="4421" t="e">
        <f t="shared" ref="DD3" si="3">_xlfn.AGGREGATE(1,6,DD2:DI2)</f>
        <v>#DIV/0!</v>
      </c>
      <c r="DE3" s="4421"/>
      <c r="DF3" s="4421"/>
      <c r="DG3" s="4421"/>
      <c r="DH3" s="4421"/>
      <c r="DI3" s="4421"/>
      <c r="DJ3" s="4421" t="e">
        <f t="shared" ref="DJ3" si="4">_xlfn.AGGREGATE(1,6,DJ2:DO2)</f>
        <v>#DIV/0!</v>
      </c>
      <c r="DK3" s="4421"/>
      <c r="DL3" s="4421"/>
      <c r="DM3" s="4421"/>
      <c r="DN3" s="4421"/>
      <c r="DO3" s="4421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  <c r="DZ3" s="3999"/>
      <c r="EA3" s="3999"/>
    </row>
    <row r="4" spans="1:131" x14ac:dyDescent="0.25">
      <c r="CL4" s="4446" t="s">
        <v>1099</v>
      </c>
      <c r="CM4" s="4446"/>
      <c r="CN4" s="4446"/>
      <c r="CO4" s="4446"/>
      <c r="CP4" s="4446"/>
      <c r="CQ4" s="4446"/>
      <c r="CR4" s="4444" t="s">
        <v>994</v>
      </c>
      <c r="CS4" s="4444"/>
      <c r="CT4" s="4444"/>
      <c r="CU4" s="4444"/>
      <c r="CV4" s="4444"/>
      <c r="CW4" s="4444"/>
      <c r="CX4" s="4446" t="s">
        <v>1103</v>
      </c>
      <c r="CY4" s="4446"/>
      <c r="CZ4" s="4446"/>
      <c r="DA4" s="4446"/>
      <c r="DB4" s="4446"/>
      <c r="DC4" s="4446"/>
      <c r="DD4" s="4445" t="s">
        <v>1105</v>
      </c>
      <c r="DE4" s="4444"/>
      <c r="DF4" s="4444"/>
      <c r="DG4" s="4444"/>
      <c r="DH4" s="4444"/>
      <c r="DI4" s="4444"/>
      <c r="DV4" s="3999"/>
      <c r="DW4" s="3999"/>
      <c r="DX4" s="3999"/>
      <c r="DY4" s="3999"/>
      <c r="DZ4" s="3999"/>
      <c r="EA4" s="3999"/>
    </row>
    <row r="5" spans="1:131" x14ac:dyDescent="0.25"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  <c r="DZ5" s="3999"/>
      <c r="EA5" s="3999"/>
    </row>
    <row r="6" spans="1:131" x14ac:dyDescent="0.25"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  <c r="DZ6" s="3999"/>
      <c r="EA6" s="3999"/>
    </row>
    <row r="7" spans="1:131" x14ac:dyDescent="0.25"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  <c r="DZ7" s="3999"/>
      <c r="EA7" s="3999"/>
    </row>
    <row r="8" spans="1:131" x14ac:dyDescent="0.25"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  <c r="DZ8" s="3999"/>
      <c r="EA8" s="3999"/>
    </row>
    <row r="9" spans="1:131" x14ac:dyDescent="0.25">
      <c r="CR9" s="3999"/>
      <c r="CS9" s="3999"/>
      <c r="CT9" s="3999"/>
      <c r="CU9" s="3999"/>
      <c r="CV9" s="3999"/>
      <c r="CW9" s="3999"/>
      <c r="DJ9" s="3999"/>
      <c r="DK9" s="3999"/>
      <c r="DL9" s="3999"/>
      <c r="DM9" s="3999"/>
      <c r="DN9" s="3999"/>
      <c r="DO9" s="3999"/>
    </row>
  </sheetData>
  <mergeCells count="14">
    <mergeCell ref="CL4:CQ4"/>
    <mergeCell ref="CR4:CW4"/>
    <mergeCell ref="CX4:DC4"/>
    <mergeCell ref="DD4:DI4"/>
    <mergeCell ref="CL3:CQ3"/>
    <mergeCell ref="CR3:CW3"/>
    <mergeCell ref="CX3:DC3"/>
    <mergeCell ref="DD3:DI3"/>
    <mergeCell ref="DJ3:DO3"/>
    <mergeCell ref="CL1:CQ1"/>
    <mergeCell ref="CR1:CW1"/>
    <mergeCell ref="CX1:DC1"/>
    <mergeCell ref="DD1:DI1"/>
    <mergeCell ref="DJ1:DO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A1:CC6"/>
  <sheetViews>
    <sheetView tabSelected="1" workbookViewId="0">
      <selection activeCell="M14" sqref="M14"/>
    </sheetView>
  </sheetViews>
  <sheetFormatPr defaultRowHeight="15" x14ac:dyDescent="0.25"/>
  <cols>
    <col min="1" max="1" width="12" customWidth="1"/>
    <col min="2" max="2" width="10" customWidth="1"/>
    <col min="3" max="3" width="11.85546875" customWidth="1"/>
    <col min="10" max="10" width="10.28515625" bestFit="1" customWidth="1"/>
  </cols>
  <sheetData>
    <row r="1" spans="1:81" x14ac:dyDescent="0.25">
      <c r="B1" s="1" t="s">
        <v>84</v>
      </c>
      <c r="C1" s="1" t="s">
        <v>1</v>
      </c>
      <c r="D1" s="1" t="s">
        <v>183</v>
      </c>
      <c r="E1" s="4148" t="s">
        <v>1347</v>
      </c>
      <c r="J1" s="3999"/>
    </row>
    <row r="2" spans="1:81" x14ac:dyDescent="0.25">
      <c r="A2" s="619" t="s">
        <v>1348</v>
      </c>
      <c r="B2" s="619"/>
      <c r="C2" s="619"/>
      <c r="D2" s="619"/>
      <c r="E2" s="619"/>
    </row>
    <row r="3" spans="1:81" x14ac:dyDescent="0.25">
      <c r="A3" s="4159" t="s">
        <v>1349</v>
      </c>
      <c r="B3">
        <v>0.86</v>
      </c>
      <c r="C3">
        <v>1.42</v>
      </c>
      <c r="H3" s="4438" t="s">
        <v>1343</v>
      </c>
      <c r="I3" s="4438"/>
      <c r="J3" s="4438"/>
      <c r="K3" s="4438"/>
      <c r="L3" s="4440" t="s">
        <v>1344</v>
      </c>
      <c r="M3" s="4440"/>
      <c r="N3" s="4440"/>
      <c r="O3" s="4440"/>
      <c r="P3" s="4445" t="s">
        <v>1373</v>
      </c>
      <c r="Q3" s="4445"/>
      <c r="R3" s="4445"/>
      <c r="S3" s="4445"/>
      <c r="T3" s="4446" t="s">
        <v>1345</v>
      </c>
      <c r="U3" s="4446"/>
      <c r="V3" s="4446"/>
      <c r="W3" s="4446"/>
      <c r="X3" s="4446" t="s">
        <v>1374</v>
      </c>
      <c r="Y3" s="4446"/>
      <c r="Z3" s="4446"/>
      <c r="AA3" s="4446"/>
      <c r="AH3" s="3999"/>
      <c r="AI3" s="3999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1:81" x14ac:dyDescent="0.25">
      <c r="A4" s="44" t="s">
        <v>1350</v>
      </c>
      <c r="B4" s="44"/>
      <c r="C4" s="44"/>
      <c r="D4" s="44"/>
      <c r="E4" s="44"/>
      <c r="H4" s="1" t="e">
        <f>AVERAGE(#REF!)</f>
        <v>#REF!</v>
      </c>
      <c r="I4" s="1" t="e">
        <f>AVERAGE(#REF!)</f>
        <v>#REF!</v>
      </c>
      <c r="J4" s="1" t="e">
        <f>AVERAGE(#REF!)</f>
        <v>#REF!</v>
      </c>
      <c r="K4" s="1" t="e">
        <f>AVERAGE(#REF!)</f>
        <v>#REF!</v>
      </c>
      <c r="L4" s="1" t="e">
        <f>AVERAGE(#REF!)</f>
        <v>#REF!</v>
      </c>
      <c r="M4" s="1" t="e">
        <f>AVERAGE(#REF!)</f>
        <v>#REF!</v>
      </c>
      <c r="N4" s="1" t="e">
        <f>AVERAGE(#REF!,#REF!,B3)</f>
        <v>#REF!</v>
      </c>
      <c r="O4" s="1" t="e">
        <f>AVERAGE(#REF!,#REF!,C3)</f>
        <v>#REF!</v>
      </c>
      <c r="P4" s="1">
        <f>AVERAGE(B3)</f>
        <v>0.86</v>
      </c>
      <c r="Q4" s="1">
        <f>AVERAGE(C3)</f>
        <v>1.42</v>
      </c>
      <c r="R4" s="1" t="e">
        <f>AVERAGE(D3)</f>
        <v>#DIV/0!</v>
      </c>
      <c r="S4" s="1" t="e">
        <f>AVERAGE(E3)</f>
        <v>#DIV/0!</v>
      </c>
      <c r="T4" s="1" t="e">
        <f>AVERAGE(#REF!)</f>
        <v>#REF!</v>
      </c>
      <c r="U4" s="1" t="e">
        <f>AVERAGE(#REF!)</f>
        <v>#REF!</v>
      </c>
      <c r="V4" s="1" t="e">
        <f>AVERAGE(#REF!,#REF!,B5)</f>
        <v>#REF!</v>
      </c>
      <c r="W4" s="1" t="e">
        <f>AVERAGE(#REF!)</f>
        <v>#REF!</v>
      </c>
      <c r="X4" s="1">
        <f>AVERAGE(B5)</f>
        <v>1.6</v>
      </c>
      <c r="Y4" s="1" t="e">
        <f>AVERAGE(C5)</f>
        <v>#DIV/0!</v>
      </c>
      <c r="Z4" s="1" t="e">
        <f>AVERAGE(D5)</f>
        <v>#DIV/0!</v>
      </c>
      <c r="AA4" s="1">
        <f>AVERAGE(E5)</f>
        <v>1.35</v>
      </c>
      <c r="AH4" s="3999"/>
      <c r="AI4" s="3999"/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1:81" x14ac:dyDescent="0.25">
      <c r="A5" s="4160" t="s">
        <v>1351</v>
      </c>
      <c r="B5">
        <v>1.6</v>
      </c>
      <c r="E5">
        <v>1.35</v>
      </c>
      <c r="H5" s="4437" t="e">
        <f>AVERAGE(H4:K4)</f>
        <v>#REF!</v>
      </c>
      <c r="I5" s="4437"/>
      <c r="J5" s="4437"/>
      <c r="K5" s="4437"/>
      <c r="L5" s="4437" t="e">
        <f>AVERAGE(L4:O4)</f>
        <v>#REF!</v>
      </c>
      <c r="M5" s="4437"/>
      <c r="N5" s="4437"/>
      <c r="O5" s="4437"/>
      <c r="P5" s="4437" t="e">
        <f>AVERAGE(P4:S4)</f>
        <v>#DIV/0!</v>
      </c>
      <c r="Q5" s="4437"/>
      <c r="R5" s="4437"/>
      <c r="S5" s="4437"/>
      <c r="T5" s="4437" t="e">
        <f>AVERAGE(T4:W4)</f>
        <v>#REF!</v>
      </c>
      <c r="U5" s="4437"/>
      <c r="V5" s="4437"/>
      <c r="W5" s="4437"/>
      <c r="X5" s="4437" t="e">
        <f>AVERAGE(X4:AA4)</f>
        <v>#DIV/0!</v>
      </c>
      <c r="Y5" s="4437"/>
      <c r="Z5" s="4437"/>
      <c r="AA5" s="4437"/>
      <c r="AH5" s="4151"/>
      <c r="AP5" s="4152"/>
      <c r="AU5" s="4153"/>
      <c r="BC5" s="4154"/>
      <c r="BH5" s="4155"/>
      <c r="BP5" s="4156"/>
      <c r="BU5" s="4157"/>
      <c r="CC5" s="4158"/>
    </row>
    <row r="6" spans="1:81" x14ac:dyDescent="0.25">
      <c r="B6">
        <f>AVERAGE(B3:B5)</f>
        <v>1.23</v>
      </c>
      <c r="C6" s="4150">
        <f t="shared" ref="C6:E6" si="0">AVERAGE(C3:C5)</f>
        <v>1.42</v>
      </c>
      <c r="D6" s="4150" t="e">
        <f t="shared" si="0"/>
        <v>#DIV/0!</v>
      </c>
      <c r="E6" s="4150">
        <f t="shared" si="0"/>
        <v>1.35</v>
      </c>
    </row>
  </sheetData>
  <mergeCells count="10">
    <mergeCell ref="P5:S5"/>
    <mergeCell ref="L5:O5"/>
    <mergeCell ref="H5:K5"/>
    <mergeCell ref="T5:W5"/>
    <mergeCell ref="X5:AA5"/>
    <mergeCell ref="H3:K3"/>
    <mergeCell ref="L3:O3"/>
    <mergeCell ref="P3:S3"/>
    <mergeCell ref="T3:W3"/>
    <mergeCell ref="X3:AA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2026-01-11T15:48:45Z</dcterms:modified>
</cp:coreProperties>
</file>