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B2E5169F-871E-4DC2-8326-16C5F59BA454}" xr6:coauthVersionLast="45" xr6:coauthVersionMax="47" xr10:uidLastSave="{00000000-0000-0000-0000-000000000000}"/>
  <bookViews>
    <workbookView xWindow="-120" yWindow="-120" windowWidth="29040" windowHeight="15720" firstSheet="4" activeTab="13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F3" i="14" l="1"/>
  <c r="DZ6" i="14"/>
  <c r="DZ3" i="14"/>
  <c r="DT3" i="14"/>
  <c r="DT6" i="14"/>
  <c r="DN6" i="14"/>
  <c r="DH3" i="14"/>
  <c r="DH6" i="14"/>
  <c r="DB6" i="14"/>
  <c r="DB3" i="14"/>
  <c r="CV6" i="14"/>
  <c r="CV3" i="14"/>
  <c r="CP3" i="14"/>
  <c r="CP6" i="14"/>
  <c r="CJ6" i="14"/>
  <c r="CJ3" i="14"/>
  <c r="AN5" i="12" l="1"/>
  <c r="AJ5" i="12"/>
  <c r="AF5" i="12"/>
  <c r="AB5" i="12"/>
  <c r="X5" i="12"/>
  <c r="T5" i="12"/>
  <c r="P5" i="12"/>
  <c r="L5" i="12"/>
  <c r="H5" i="12"/>
  <c r="CJ5" i="14"/>
  <c r="L4" i="12"/>
  <c r="H4" i="12"/>
  <c r="I4" i="12"/>
  <c r="J4" i="12"/>
  <c r="K4" i="12"/>
  <c r="B107" i="13" l="1"/>
  <c r="DC2" i="14"/>
  <c r="DD2" i="14"/>
  <c r="DE2" i="14"/>
  <c r="DF2" i="14"/>
  <c r="DG2" i="14"/>
  <c r="DB2" i="14"/>
  <c r="DN5" i="13" l="1"/>
  <c r="DB2" i="13"/>
  <c r="DI2" i="13"/>
  <c r="DJ2" i="13"/>
  <c r="DK2" i="13"/>
  <c r="DH2" i="13"/>
  <c r="CV2" i="13"/>
  <c r="CP2" i="13"/>
  <c r="CJ5" i="13"/>
  <c r="CJ2" i="13"/>
  <c r="DO5" i="13"/>
  <c r="DP5" i="13"/>
  <c r="DQ5" i="13"/>
  <c r="DC2" i="13"/>
  <c r="DD2" i="13"/>
  <c r="DE2" i="13"/>
  <c r="CW2" i="13"/>
  <c r="CX2" i="13"/>
  <c r="CY2" i="13"/>
  <c r="CQ2" i="13"/>
  <c r="CR2" i="13"/>
  <c r="CS2" i="13"/>
  <c r="CK2" i="13"/>
  <c r="CL2" i="13"/>
  <c r="CM2" i="13"/>
  <c r="DI2" i="14" l="1"/>
  <c r="DJ2" i="14"/>
  <c r="DK2" i="14"/>
  <c r="DL2" i="14"/>
  <c r="DM2" i="14"/>
  <c r="CK5" i="13" l="1"/>
  <c r="CL5" i="13"/>
  <c r="CM5" i="13"/>
  <c r="EG2" i="14"/>
  <c r="EH2" i="14"/>
  <c r="EI2" i="14"/>
  <c r="EJ2" i="14"/>
  <c r="EK2" i="14"/>
  <c r="EF2" i="14"/>
  <c r="EA5" i="14"/>
  <c r="EB5" i="14"/>
  <c r="EC5" i="14"/>
  <c r="ED5" i="14"/>
  <c r="EE5" i="14"/>
  <c r="DZ5" i="14"/>
  <c r="CP5" i="13"/>
  <c r="AO4" i="12"/>
  <c r="AP4" i="12"/>
  <c r="AQ4" i="12"/>
  <c r="AN4" i="12"/>
  <c r="AC4" i="12"/>
  <c r="AD4" i="12"/>
  <c r="AE4" i="12"/>
  <c r="AB4" i="12"/>
  <c r="DC5" i="14" l="1"/>
  <c r="DD5" i="14"/>
  <c r="DE5" i="14"/>
  <c r="DF5" i="14"/>
  <c r="DG5" i="14"/>
  <c r="DB5" i="14"/>
  <c r="DO5" i="14"/>
  <c r="DP5" i="14"/>
  <c r="DQ5" i="14"/>
  <c r="DR5" i="14"/>
  <c r="DS5" i="14"/>
  <c r="DN5" i="14"/>
  <c r="CK5" i="14"/>
  <c r="CL5" i="14"/>
  <c r="CM5" i="14"/>
  <c r="CN5" i="14"/>
  <c r="CO5" i="14"/>
  <c r="CK2" i="14"/>
  <c r="CL2" i="14"/>
  <c r="CM2" i="14"/>
  <c r="CN2" i="14"/>
  <c r="CO2" i="14"/>
  <c r="CJ2" i="14"/>
  <c r="G4" i="15" l="1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B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2" i="14"/>
  <c r="DU2" i="14"/>
  <c r="DV2" i="14"/>
  <c r="DW2" i="14"/>
  <c r="DX2" i="14"/>
  <c r="DY2" i="14"/>
  <c r="DT2" i="14"/>
  <c r="DU5" i="14"/>
  <c r="DV5" i="14"/>
  <c r="DW5" i="14"/>
  <c r="DX5" i="14"/>
  <c r="DY5" i="14"/>
  <c r="DT5" i="14"/>
  <c r="DO2" i="14"/>
  <c r="DP2" i="14"/>
  <c r="DQ2" i="14"/>
  <c r="DR2" i="14"/>
  <c r="DS2" i="14"/>
  <c r="DN2" i="14"/>
  <c r="DI5" i="14"/>
  <c r="DJ5" i="14"/>
  <c r="DK5" i="14"/>
  <c r="DL5" i="14"/>
  <c r="DM5" i="14"/>
  <c r="DH5" i="14"/>
  <c r="DH2" i="14"/>
  <c r="CW5" i="14"/>
  <c r="CX5" i="14"/>
  <c r="CY5" i="14"/>
  <c r="CZ5" i="14"/>
  <c r="DA5" i="14"/>
  <c r="CV5" i="14"/>
  <c r="CW2" i="14"/>
  <c r="CX2" i="14"/>
  <c r="CY2" i="14"/>
  <c r="CZ2" i="14"/>
  <c r="DA2" i="14"/>
  <c r="CV2" i="14"/>
  <c r="CQ2" i="14"/>
  <c r="CR2" i="14"/>
  <c r="CS2" i="14"/>
  <c r="CT2" i="14"/>
  <c r="CU2" i="14"/>
  <c r="CP2" i="14"/>
  <c r="CQ5" i="14"/>
  <c r="CR5" i="14"/>
  <c r="CS5" i="14"/>
  <c r="CT5" i="14"/>
  <c r="CU5" i="14"/>
  <c r="CP5" i="14"/>
  <c r="M4" i="12"/>
  <c r="DC5" i="13" l="1"/>
  <c r="DD5" i="13"/>
  <c r="DE5" i="13"/>
  <c r="CQ5" i="13"/>
  <c r="CR5" i="13"/>
  <c r="CS5" i="13"/>
  <c r="DN2" i="13"/>
  <c r="DN3" i="13" s="1"/>
  <c r="DO2" i="13"/>
  <c r="DP2" i="13"/>
  <c r="DQ2" i="13"/>
  <c r="CV5" i="13"/>
  <c r="CV6" i="13" s="1"/>
  <c r="CW5" i="13"/>
  <c r="CX5" i="13"/>
  <c r="CY5" i="13"/>
  <c r="DB5" i="13"/>
  <c r="DB6" i="13"/>
  <c r="DH5" i="13"/>
  <c r="DI5" i="13"/>
  <c r="DJ5" i="13"/>
  <c r="DK5" i="13"/>
  <c r="DH6" i="13"/>
  <c r="N4" i="12"/>
  <c r="O4" i="12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AG4" i="12"/>
  <c r="AH4" i="12"/>
  <c r="AI4" i="12"/>
  <c r="AF4" i="12"/>
  <c r="S4" i="12"/>
  <c r="R4" i="12"/>
  <c r="Q4" i="12"/>
  <c r="P4" i="12"/>
  <c r="X4" i="12"/>
  <c r="W4" i="12"/>
  <c r="V4" i="12"/>
  <c r="U4" i="12"/>
  <c r="T4" i="12"/>
  <c r="Y4" i="12" l="1"/>
  <c r="Z4" i="12"/>
  <c r="AA4" i="12"/>
  <c r="DN3" i="14" l="1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B44" i="7"/>
  <c r="C4" i="2"/>
  <c r="C44" i="7"/>
  <c r="D44" i="7"/>
  <c r="F44" i="7"/>
  <c r="E44" i="7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CG277" i="14"/>
  <c r="CF277" i="14"/>
  <c r="CE277" i="14"/>
  <c r="CD277" i="14"/>
  <c r="CC277" i="14"/>
  <c r="CB277" i="14"/>
  <c r="CA277" i="14"/>
  <c r="BZ277" i="14"/>
  <c r="BY277" i="14"/>
  <c r="BX277" i="14"/>
  <c r="BW277" i="14"/>
  <c r="BV277" i="14"/>
  <c r="BU277" i="14"/>
  <c r="BT277" i="14"/>
  <c r="BS277" i="14"/>
  <c r="BR277" i="14"/>
  <c r="BQ277" i="14"/>
  <c r="BP277" i="14"/>
  <c r="BO277" i="14"/>
  <c r="BN277" i="14"/>
  <c r="BM277" i="14"/>
  <c r="BL277" i="14"/>
  <c r="BK277" i="14"/>
  <c r="BJ277" i="14"/>
  <c r="BI277" i="14"/>
  <c r="BH277" i="14"/>
  <c r="BG277" i="14"/>
  <c r="BF277" i="14"/>
  <c r="BE277" i="14"/>
  <c r="BD277" i="14"/>
  <c r="BC277" i="14"/>
  <c r="BB277" i="14"/>
  <c r="BA277" i="14"/>
  <c r="AZ277" i="14"/>
  <c r="AY277" i="14"/>
  <c r="AX277" i="14"/>
  <c r="AW277" i="14"/>
  <c r="AV277" i="14"/>
  <c r="AU277" i="14"/>
  <c r="AT277" i="14"/>
  <c r="AS277" i="14"/>
  <c r="AR277" i="14"/>
  <c r="AQ277" i="14"/>
  <c r="AP277" i="14"/>
  <c r="AO277" i="14"/>
  <c r="AN277" i="14"/>
  <c r="AM277" i="14"/>
  <c r="AL277" i="14"/>
  <c r="AK277" i="14"/>
  <c r="AJ277" i="14"/>
  <c r="AI277" i="14"/>
  <c r="AH277" i="14"/>
  <c r="AG277" i="14"/>
  <c r="AF277" i="14"/>
  <c r="AE277" i="14"/>
  <c r="AD277" i="14"/>
  <c r="AC277" i="14"/>
  <c r="AB277" i="14"/>
  <c r="AA277" i="14"/>
  <c r="Z277" i="14"/>
  <c r="Y277" i="14"/>
  <c r="X277" i="14"/>
  <c r="W277" i="14"/>
  <c r="V277" i="14"/>
  <c r="U277" i="14"/>
  <c r="T277" i="14"/>
  <c r="S277" i="14"/>
  <c r="R277" i="14"/>
  <c r="Q277" i="14"/>
  <c r="P277" i="14"/>
  <c r="O277" i="14"/>
  <c r="N277" i="14"/>
  <c r="M277" i="14"/>
  <c r="L277" i="14"/>
  <c r="K277" i="14"/>
  <c r="J277" i="14"/>
  <c r="I277" i="14"/>
  <c r="H277" i="14"/>
  <c r="G277" i="14"/>
  <c r="F277" i="14"/>
  <c r="E277" i="14"/>
  <c r="D277" i="14"/>
  <c r="C277" i="14"/>
  <c r="B277" i="14"/>
  <c r="E240" i="12"/>
  <c r="D240" i="12"/>
  <c r="C240" i="12"/>
  <c r="B240" i="12"/>
</calcChain>
</file>

<file path=xl/sharedStrings.xml><?xml version="1.0" encoding="utf-8"?>
<sst xmlns="http://schemas.openxmlformats.org/spreadsheetml/2006/main" count="2420" uniqueCount="1264">
  <si>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</si>
  <si>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</si>
  <si>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</si>
  <si>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</si>
  <si>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</si>
  <si>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</si>
  <si>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</si>
  <si>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</si>
  <si>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</si>
  <si>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</si>
  <si>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</si>
  <si>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</si>
  <si>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</si>
  <si>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</si>
  <si>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</si>
  <si>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</si>
  <si>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</si>
  <si>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</si>
  <si>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</si>
  <si>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</si>
  <si>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</si>
  <si>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</si>
  <si>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</si>
  <si>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</si>
  <si>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</si>
  <si>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</si>
  <si>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</si>
  <si>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</si>
  <si>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</si>
  <si>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</si>
  <si>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</si>
  <si>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</si>
  <si>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</si>
  <si>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</si>
  <si>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</si>
  <si>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</si>
  <si>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</si>
  <si>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</si>
  <si>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</si>
  <si>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</si>
  <si>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</si>
  <si>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</si>
  <si>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</si>
  <si>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</si>
  <si>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</si>
  <si>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</si>
  <si>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</si>
  <si>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</si>
  <si>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</si>
  <si>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</si>
  <si>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</si>
  <si>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</si>
  <si>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</si>
  <si>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</si>
  <si>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</si>
  <si>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</si>
  <si>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</si>
  <si>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</si>
  <si>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</si>
  <si>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</si>
  <si>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</si>
  <si>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</si>
  <si>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</si>
  <si>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</si>
  <si>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</si>
  <si>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</si>
  <si>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</si>
  <si>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</si>
  <si>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</si>
  <si>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</si>
  <si>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</si>
  <si>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</si>
  <si>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</si>
  <si>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</si>
  <si>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</si>
  <si>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</si>
  <si>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</si>
  <si>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</si>
  <si>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</si>
  <si>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</si>
  <si>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</si>
  <si>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</si>
  <si>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</si>
  <si>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</si>
  <si>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</si>
  <si>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</si>
  <si>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</si>
  <si>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</si>
  <si>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</si>
  <si>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</si>
  <si>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</si>
  <si>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</si>
  <si>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</si>
  <si>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</si>
  <si>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</si>
  <si>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</si>
  <si>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</si>
  <si>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</si>
  <si>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</si>
  <si>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</si>
  <si>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</si>
  <si>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</si>
  <si>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</si>
  <si>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</si>
  <si>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</si>
  <si>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</si>
  <si>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</si>
  <si>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</si>
  <si>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</si>
  <si>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</si>
  <si>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</si>
  <si>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</si>
  <si>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</si>
  <si>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</si>
  <si>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</si>
  <si>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</si>
  <si>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</si>
  <si>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</si>
  <si>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</si>
  <si>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</si>
  <si>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</si>
  <si>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</si>
  <si>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</si>
  <si>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</si>
  <si>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</si>
  <si>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</si>
  <si>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</si>
  <si>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</si>
  <si>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</si>
  <si>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</si>
  <si>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</si>
  <si>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</si>
  <si>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</si>
  <si>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</si>
  <si>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</si>
  <si>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</si>
  <si>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</si>
  <si>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</si>
  <si>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</si>
  <si>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</si>
  <si>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</si>
  <si>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</si>
  <si>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</si>
  <si>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</si>
  <si>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</si>
  <si>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</si>
  <si>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</si>
  <si>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</si>
  <si>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</si>
  <si>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</si>
  <si>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</si>
  <si>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</si>
  <si>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</si>
  <si>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</si>
  <si>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</si>
  <si>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</si>
  <si>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</si>
  <si>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</si>
  <si>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</si>
  <si>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</si>
  <si>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</si>
  <si>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</si>
  <si>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</si>
  <si>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</si>
  <si>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</si>
  <si>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</si>
  <si>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</si>
  <si>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</si>
  <si>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</si>
  <si>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</si>
  <si>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</si>
  <si>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</si>
  <si>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</si>
  <si>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</si>
  <si>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</si>
  <si>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</si>
  <si>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</si>
  <si>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</si>
  <si>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</si>
  <si>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</si>
  <si>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</si>
  <si>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</si>
  <si>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</si>
  <si>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</si>
  <si>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</si>
  <si>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</si>
  <si>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</si>
  <si>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</si>
  <si>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</si>
  <si>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</si>
  <si>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</si>
  <si>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</si>
  <si>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</si>
  <si>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</si>
  <si>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</si>
  <si>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</si>
  <si>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</si>
  <si>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</si>
  <si>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</si>
  <si>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</si>
  <si>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</si>
  <si>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</si>
  <si>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</si>
  <si>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</si>
  <si>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</si>
  <si>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</si>
  <si>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</si>
  <si>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</si>
  <si>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</si>
  <si>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</si>
  <si>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</si>
  <si>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</si>
  <si>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</si>
  <si>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</si>
  <si>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</si>
  <si>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</si>
  <si>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</si>
  <si>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</si>
  <si>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</si>
  <si>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</si>
  <si>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</si>
  <si>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</si>
  <si>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</si>
  <si>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</si>
  <si>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</si>
  <si>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</si>
  <si>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</si>
  <si>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</si>
  <si>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</si>
  <si>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</si>
  <si>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</si>
  <si>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</si>
  <si>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</si>
  <si>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</si>
  <si>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</si>
  <si>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</si>
  <si>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</si>
  <si>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</si>
  <si>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</si>
  <si>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</si>
  <si>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</si>
  <si>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</si>
  <si>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</si>
  <si>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</si>
  <si>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</si>
  <si>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</si>
  <si>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</si>
  <si>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</si>
  <si>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</si>
  <si>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</si>
  <si>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</si>
  <si>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</si>
  <si>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</si>
  <si>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</si>
  <si>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</si>
  <si>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</si>
  <si>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</si>
  <si>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</si>
  <si>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</si>
  <si>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</si>
  <si>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</si>
  <si>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</si>
  <si>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</si>
  <si>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</si>
  <si>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</si>
  <si>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</si>
  <si>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</si>
  <si>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</si>
  <si>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</si>
  <si>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</si>
  <si>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</si>
  <si>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</si>
  <si>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</si>
  <si>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</si>
  <si>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</si>
  <si>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</si>
  <si>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</si>
  <si>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</si>
  <si>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</si>
  <si>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</si>
  <si>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</si>
  <si>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</si>
  <si>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</si>
  <si>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</si>
  <si>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</si>
  <si>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</si>
  <si>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</si>
  <si>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</si>
  <si>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</si>
  <si>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</si>
  <si>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</si>
  <si>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</si>
  <si>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</si>
  <si>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</si>
  <si>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</si>
  <si>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</si>
  <si>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</si>
  <si>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</si>
  <si>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</si>
  <si>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</si>
  <si>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</si>
  <si>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</si>
  <si>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</si>
  <si>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</si>
  <si>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</si>
  <si>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</si>
  <si>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</si>
  <si>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</si>
  <si>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</si>
  <si>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</si>
  <si>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</si>
  <si>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</si>
  <si>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</si>
  <si>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</si>
  <si>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</si>
  <si>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</si>
  <si>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</si>
  <si>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</si>
  <si>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</si>
  <si>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</si>
  <si>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</si>
  <si>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</si>
  <si>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</si>
  <si>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</si>
  <si>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</si>
  <si>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</si>
  <si>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</si>
  <si>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</si>
  <si>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</si>
  <si>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</si>
  <si>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</si>
  <si>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</si>
  <si>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</si>
  <si>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</si>
  <si>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</si>
  <si>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</si>
  <si>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</si>
  <si>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</si>
  <si>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</si>
  <si>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</si>
  <si>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</si>
  <si>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</si>
  <si>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</si>
  <si>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</si>
  <si>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</si>
  <si>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</si>
  <si>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</si>
  <si>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</si>
  <si>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</si>
  <si>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</si>
  <si>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</si>
  <si>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</si>
  <si>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</si>
  <si>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</si>
  <si>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</si>
  <si>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</si>
  <si>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</si>
  <si>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</si>
  <si>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</si>
  <si>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</si>
  <si>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</si>
  <si>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</si>
  <si>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</si>
  <si>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</si>
  <si>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</si>
  <si>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</si>
  <si>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</si>
  <si>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</si>
  <si>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</si>
  <si>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</si>
  <si>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</si>
  <si>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</si>
  <si>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</si>
  <si>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</si>
  <si>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</si>
  <si>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</si>
  <si>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</si>
  <si>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</si>
  <si>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</si>
  <si>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</si>
  <si>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</si>
  <si>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</si>
  <si>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</si>
  <si>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</si>
  <si>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</si>
  <si>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</si>
  <si>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</si>
  <si>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</si>
  <si>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</si>
  <si>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</si>
  <si>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</si>
  <si>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</si>
  <si>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</si>
  <si>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</si>
  <si>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</si>
  <si>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</si>
  <si>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</si>
  <si>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</si>
  <si>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</si>
  <si>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</si>
  <si>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</si>
  <si>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</si>
  <si>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</si>
  <si>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</si>
  <si>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</si>
  <si>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</si>
  <si>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</si>
  <si>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</si>
  <si>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</si>
  <si>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</si>
  <si>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</si>
  <si>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</si>
  <si>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</si>
  <si>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</si>
  <si>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</si>
  <si>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</si>
  <si>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</si>
  <si>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</si>
  <si>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</si>
  <si>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</si>
  <si>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</si>
  <si>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</si>
  <si>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</si>
  <si>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</si>
  <si>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</si>
  <si>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</si>
  <si>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</si>
  <si>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</si>
  <si>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</si>
  <si>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</si>
  <si>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</si>
  <si>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</si>
  <si>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</si>
  <si>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</si>
  <si>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</si>
  <si>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</si>
  <si>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</si>
  <si>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</si>
  <si>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</si>
  <si>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</si>
  <si>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</si>
  <si>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</si>
  <si>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</si>
  <si>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</si>
  <si>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</si>
  <si>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</si>
  <si>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</si>
  <si>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</si>
  <si>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</si>
  <si>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</si>
  <si>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</si>
  <si>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</si>
  <si>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</si>
  <si>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</si>
  <si>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</si>
  <si>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</si>
  <si>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</si>
  <si>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</si>
  <si>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</si>
  <si>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</si>
  <si>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</si>
  <si>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</si>
  <si>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</si>
  <si>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</si>
  <si>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</si>
  <si>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</si>
  <si>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</si>
  <si>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</si>
  <si>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</si>
  <si>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</si>
  <si>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</si>
  <si>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</si>
  <si>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</si>
  <si>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</si>
  <si>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</si>
  <si>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</si>
  <si>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</si>
  <si>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</si>
  <si>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</si>
  <si>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</si>
  <si>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</si>
  <si>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</si>
  <si>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</si>
  <si>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</si>
  <si>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</si>
  <si>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</si>
  <si>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</si>
  <si>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</si>
  <si>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</si>
  <si>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</si>
  <si>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</si>
  <si>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</si>
  <si>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</si>
  <si>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</si>
  <si>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</si>
  <si>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</si>
  <si>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</si>
  <si>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</si>
  <si>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</si>
  <si>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</si>
  <si>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</si>
  <si>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</si>
  <si>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</si>
  <si>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</si>
  <si>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</si>
  <si>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</si>
  <si>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</si>
  <si>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</si>
  <si>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</si>
  <si>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</si>
  <si>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</si>
  <si>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</si>
  <si>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</si>
  <si>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</si>
  <si>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</si>
  <si>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</si>
  <si>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</si>
  <si>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</si>
  <si>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</si>
  <si>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</si>
  <si>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</si>
  <si>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</si>
  <si>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</si>
  <si>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</si>
  <si>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</si>
  <si>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</si>
  <si>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</si>
  <si>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</si>
  <si>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</si>
  <si>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</si>
  <si>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</si>
  <si>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</si>
  <si>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</si>
  <si>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</si>
  <si>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</si>
  <si>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</si>
  <si>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</si>
  <si>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</si>
  <si>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</si>
  <si>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</si>
  <si>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</si>
  <si>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</si>
  <si>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</si>
  <si>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</si>
  <si>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</si>
  <si>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</si>
  <si>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</si>
  <si>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</si>
  <si>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</si>
  <si>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</si>
  <si>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</si>
  <si>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</si>
  <si>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</si>
  <si>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</si>
  <si>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</si>
  <si>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</si>
  <si>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</si>
  <si>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</si>
  <si>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</si>
  <si>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</si>
  <si>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</si>
  <si>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</si>
  <si>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</si>
  <si>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</si>
  <si>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</si>
  <si>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</si>
  <si>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</si>
  <si>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</si>
  <si>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</si>
  <si>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</si>
  <si>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</si>
  <si>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</si>
  <si>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</si>
  <si>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</si>
  <si>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</si>
  <si>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</si>
  <si>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</si>
  <si>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</si>
  <si>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</si>
  <si>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</si>
  <si>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</si>
  <si>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</si>
  <si>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</si>
  <si>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</si>
  <si>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</si>
  <si>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</si>
  <si>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</si>
  <si>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</si>
  <si>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</si>
  <si>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</si>
  <si>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</si>
  <si>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</si>
  <si>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</si>
  <si>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</si>
  <si>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</si>
  <si>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</si>
  <si>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</si>
  <si>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</si>
  <si>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</si>
  <si>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</si>
  <si>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</si>
  <si>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</si>
  <si>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</si>
  <si>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</si>
  <si>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</si>
  <si>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</si>
  <si>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</si>
  <si>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</si>
  <si>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</si>
  <si>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</si>
  <si>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</si>
  <si>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</si>
  <si>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</si>
  <si>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</si>
  <si>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</si>
  <si>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</si>
  <si>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</si>
  <si>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</si>
  <si>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</si>
  <si>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</si>
  <si>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</si>
  <si>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</si>
  <si>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</si>
  <si>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</si>
  <si>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</si>
  <si>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</si>
  <si>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</si>
  <si>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</si>
  <si>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</si>
  <si>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</si>
  <si>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</si>
  <si>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</si>
  <si>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</si>
  <si>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</si>
  <si>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</si>
  <si>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</si>
  <si>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</si>
  <si>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</si>
  <si>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</si>
  <si>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</si>
  <si>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</si>
  <si>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</si>
  <si>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</si>
  <si>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</si>
  <si>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</si>
  <si>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</si>
  <si>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</si>
  <si>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</si>
  <si>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</si>
  <si>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</si>
  <si>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</si>
  <si>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</si>
  <si>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</si>
  <si>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</si>
  <si>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</si>
  <si>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</si>
  <si>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</si>
  <si>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</si>
  <si>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</si>
  <si>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</si>
  <si>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</si>
  <si>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</si>
  <si>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</si>
  <si>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</si>
  <si>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</si>
  <si>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</si>
  <si>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</si>
  <si>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</si>
  <si>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</si>
  <si>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</si>
  <si>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</si>
  <si>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</si>
  <si>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</si>
  <si>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</si>
  <si>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</si>
  <si>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</si>
  <si>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</si>
  <si>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</si>
  <si>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</si>
  <si>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</si>
  <si>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</si>
  <si>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</si>
  <si>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</si>
  <si>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</si>
  <si>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</si>
  <si>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</si>
  <si>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</si>
  <si>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</si>
  <si>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</si>
  <si>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</si>
  <si>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</si>
  <si>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</si>
  <si>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</si>
  <si>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</si>
  <si>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</si>
  <si>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</si>
  <si>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</si>
  <si>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</si>
  <si>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</si>
  <si>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</si>
  <si>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</si>
  <si>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</si>
  <si>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</si>
  <si>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</si>
  <si>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</si>
  <si>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</si>
  <si>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</si>
  <si>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</si>
  <si>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</si>
  <si>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</si>
  <si>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</si>
  <si>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</si>
  <si>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</si>
  <si>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</si>
  <si>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</si>
  <si>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</si>
  <si>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</si>
  <si>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</si>
  <si>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</si>
  <si>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</si>
  <si>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</si>
  <si>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</si>
  <si>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</si>
  <si>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</si>
  <si>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</si>
  <si>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</si>
  <si>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</si>
  <si>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</si>
  <si>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</si>
  <si>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</si>
  <si>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</si>
  <si>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</si>
  <si>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</si>
  <si>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</si>
  <si>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</si>
  <si>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</si>
  <si>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</si>
  <si>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</si>
  <si>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</si>
  <si>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</si>
  <si>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</si>
  <si>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</si>
  <si>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</si>
  <si>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</si>
  <si>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</si>
  <si>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</si>
  <si>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</si>
  <si>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</si>
  <si>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</si>
  <si>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</si>
  <si>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</si>
  <si>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</si>
  <si>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</si>
  <si>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</si>
  <si>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</si>
  <si>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</si>
  <si>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</si>
  <si>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</si>
  <si>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</si>
  <si>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</si>
  <si>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</si>
  <si>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</si>
  <si>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</si>
  <si>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</si>
  <si>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</si>
  <si>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</si>
  <si>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</si>
  <si>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</si>
  <si>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</si>
  <si>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</si>
  <si>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</si>
  <si>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</si>
  <si>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</si>
  <si>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</si>
  <si>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</si>
  <si>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</si>
  <si>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</si>
  <si>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</si>
  <si>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</si>
  <si>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</si>
  <si>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</si>
  <si>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</si>
  <si>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</si>
  <si>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</si>
  <si>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</si>
  <si>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</si>
  <si>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</si>
  <si>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</si>
  <si>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</si>
  <si>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</si>
  <si>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</si>
  <si>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</si>
  <si>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</si>
  <si>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</si>
  <si>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</si>
  <si>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</si>
  <si>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</si>
  <si>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</si>
  <si>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</si>
  <si>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</si>
  <si>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</si>
  <si>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</si>
  <si>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</si>
  <si>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</si>
  <si>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</si>
  <si>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</si>
  <si>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</si>
  <si>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</si>
  <si>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</si>
  <si>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</si>
  <si>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</si>
  <si>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</si>
  <si>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</si>
  <si>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</si>
  <si>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</si>
  <si>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</si>
  <si>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</si>
  <si>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</si>
  <si>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</si>
  <si>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</si>
  <si>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</si>
  <si>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</si>
  <si>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</si>
  <si>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</si>
  <si>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</si>
  <si>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</si>
  <si>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</si>
  <si>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</si>
  <si>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</si>
  <si>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</si>
  <si>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</si>
  <si>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</si>
  <si>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</si>
  <si>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</si>
  <si>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</si>
  <si>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</si>
  <si>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</si>
  <si>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</si>
  <si>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</si>
  <si>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</si>
  <si>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</si>
  <si>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</si>
  <si>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</si>
  <si>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</si>
  <si>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</si>
  <si>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</si>
  <si>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</si>
  <si>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</si>
  <si>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</si>
  <si>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</si>
  <si>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</si>
  <si>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</si>
  <si>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</si>
  <si>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</si>
  <si>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</si>
  <si>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</si>
  <si>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</si>
  <si>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</si>
  <si>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</si>
  <si>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</si>
  <si>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</si>
  <si>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</si>
  <si>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</si>
  <si>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</si>
  <si>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</si>
  <si>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</si>
  <si>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</si>
  <si>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</si>
  <si>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</si>
  <si>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</si>
  <si>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</si>
  <si>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</si>
  <si>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</si>
  <si>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</si>
  <si>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</si>
  <si>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</si>
  <si>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</si>
  <si>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</si>
  <si>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</si>
  <si>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</si>
  <si>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</si>
  <si>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</si>
  <si>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</si>
  <si>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</si>
  <si>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</si>
  <si>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</si>
  <si>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</si>
  <si>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</si>
  <si>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</si>
  <si>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</si>
  <si>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</si>
  <si>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</si>
  <si>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</si>
  <si>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</si>
  <si>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</si>
  <si>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</si>
  <si>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</si>
  <si>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</si>
  <si>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</si>
  <si>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</si>
  <si>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</si>
  <si>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</si>
  <si>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</si>
  <si>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</si>
  <si>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</si>
  <si>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</si>
  <si>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</si>
  <si>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</si>
  <si>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</si>
  <si>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</si>
  <si>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</si>
  <si>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</si>
  <si>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</si>
  <si>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</si>
  <si>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</si>
  <si>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</si>
  <si>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</si>
  <si>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</si>
  <si>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</si>
  <si>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</si>
  <si>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</si>
  <si>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</si>
  <si>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</si>
  <si>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</si>
  <si>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</si>
  <si>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</si>
  <si>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</si>
  <si>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</si>
  <si>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</si>
  <si>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</si>
  <si>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</si>
  <si>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</si>
  <si>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</si>
  <si>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</si>
  <si>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</si>
  <si>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</si>
  <si>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</si>
  <si>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</si>
  <si>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</si>
  <si>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</si>
  <si>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</si>
  <si>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</si>
  <si>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</si>
  <si>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</si>
  <si>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</si>
  <si>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</si>
  <si>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</si>
  <si>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</si>
  <si>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</si>
  <si>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</si>
  <si>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</si>
  <si>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</si>
  <si>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</si>
  <si>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</si>
  <si>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</si>
  <si>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</si>
  <si>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</si>
  <si>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</si>
  <si>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</si>
  <si>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</si>
  <si>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</si>
  <si>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</si>
  <si>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</si>
  <si>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</si>
  <si>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</si>
  <si>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</si>
  <si>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</si>
  <si>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</si>
  <si>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</si>
  <si>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</si>
  <si>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</si>
  <si>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</si>
  <si>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</si>
  <si>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</si>
  <si>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</si>
  <si>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</si>
  <si>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</si>
  <si>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</si>
  <si>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</si>
  <si>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</si>
  <si>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</si>
  <si>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</si>
  <si>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</si>
  <si>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</si>
  <si>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</si>
  <si>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</si>
  <si>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</si>
  <si>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</si>
  <si>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</si>
  <si>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</si>
  <si>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</si>
  <si>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</si>
  <si>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</si>
  <si>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</si>
  <si>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</si>
  <si>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</si>
  <si>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</si>
  <si>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</si>
  <si>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</si>
  <si>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</si>
  <si>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</si>
  <si>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</si>
  <si>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</si>
  <si>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</si>
  <si>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</si>
  <si>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</si>
  <si>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</si>
  <si>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</si>
  <si>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</si>
  <si>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</si>
  <si>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</si>
  <si>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</si>
  <si>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</si>
  <si>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</si>
  <si>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</si>
  <si>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</si>
  <si>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</si>
  <si>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</si>
  <si>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</si>
  <si>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</si>
  <si>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</si>
  <si>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</si>
  <si>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</si>
  <si>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</si>
  <si>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</si>
  <si>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</si>
  <si>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</si>
  <si>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</si>
  <si>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</si>
  <si>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</si>
  <si>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</si>
  <si>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</si>
  <si>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</si>
  <si>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</si>
  <si>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</si>
  <si>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</si>
  <si>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</si>
  <si>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</si>
  <si>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</si>
  <si>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</si>
  <si>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</si>
  <si>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</si>
  <si>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</si>
  <si>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</si>
  <si>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</si>
  <si>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</si>
  <si>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</si>
  <si>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</si>
  <si>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</si>
  <si>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</si>
  <si>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</si>
  <si>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</si>
  <si>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</si>
  <si>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</si>
  <si>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</si>
  <si>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</si>
  <si>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</si>
  <si>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</si>
  <si>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</si>
  <si>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</si>
  <si>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</si>
  <si>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</si>
  <si>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</si>
  <si>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</si>
  <si>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</si>
  <si>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</si>
  <si>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NUKE (0/0/1)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</si>
  <si>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</si>
  <si>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</si>
  <si>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</si>
  <si>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</si>
  <si>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</si>
  <si>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</si>
  <si>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</si>
  <si>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</si>
  <si>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</si>
  <si>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</si>
  <si>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</si>
  <si>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</si>
  <si>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</si>
  <si>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</si>
  <si>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</si>
  <si>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</si>
  <si>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</si>
  <si>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</si>
  <si>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</si>
  <si>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</si>
  <si>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</si>
  <si>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</si>
  <si>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</si>
  <si>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</si>
  <si>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</si>
  <si>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</si>
  <si>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</si>
  <si>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</si>
  <si>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</si>
  <si>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</si>
  <si>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</si>
  <si>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</si>
  <si>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</si>
  <si>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</si>
  <si>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</si>
  <si>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</si>
  <si>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</si>
  <si>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</si>
  <si>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</si>
  <si>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</si>
  <si>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</si>
  <si>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</si>
  <si>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</si>
  <si>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</si>
  <si>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</si>
  <si>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MIRAGE (1/0/0)</t>
  </si>
  <si>
    <t>24.09.2025</t>
  </si>
  <si>
    <t>170 map (over)</t>
  </si>
  <si>
    <t>171 map (over)</t>
  </si>
  <si>
    <t>OVERPASS (3/4/0)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</si>
  <si>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</si>
  <si>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</si>
  <si>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</si>
  <si>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</si>
  <si>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</si>
  <si>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</si>
  <si>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</si>
  <si>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</si>
  <si>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</si>
  <si>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</si>
  <si>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</si>
  <si>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</si>
  <si>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</si>
  <si>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</si>
  <si>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</si>
  <si>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</si>
  <si>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</si>
  <si>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</si>
  <si>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</si>
  <si>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</si>
  <si>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</si>
  <si>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</si>
  <si>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</si>
  <si>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</si>
  <si>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191 map (roof)</t>
  </si>
  <si>
    <t>192 map (inf)</t>
  </si>
  <si>
    <t>04.10.2025</t>
  </si>
  <si>
    <t>179 map (off)</t>
  </si>
  <si>
    <t>180 map (off)</t>
  </si>
  <si>
    <t>181 map (off)</t>
  </si>
  <si>
    <t>182 map (inf)</t>
  </si>
  <si>
    <t>INFERNO (7/3/0)</t>
  </si>
  <si>
    <t>183 map (dust)</t>
  </si>
  <si>
    <t>184 map (vert)</t>
  </si>
  <si>
    <t>185 map (gold)</t>
  </si>
  <si>
    <t>50 map (inf)</t>
  </si>
  <si>
    <t>51 map (mir)</t>
  </si>
  <si>
    <t>52 map (dust)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</si>
  <si>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</si>
  <si>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</si>
  <si>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</si>
  <si>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</si>
  <si>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</si>
  <si>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</si>
  <si>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</si>
  <si>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190 map (anu)</t>
  </si>
  <si>
    <t>191 map (nuke)</t>
  </si>
  <si>
    <t>192 map (age)</t>
  </si>
  <si>
    <t>AGENCY (4/2/0)</t>
  </si>
  <si>
    <t>53 map (mir)</t>
  </si>
  <si>
    <t>54 map (mir)</t>
  </si>
  <si>
    <t>55 map (dust)</t>
  </si>
  <si>
    <t>56 map (mir)</t>
  </si>
  <si>
    <t>ANCIENT (2/2/0)</t>
  </si>
  <si>
    <t>17.10.2025</t>
  </si>
  <si>
    <t>193 map (inf)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</si>
  <si>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</si>
  <si>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</si>
  <si>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</si>
  <si>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</si>
  <si>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</si>
  <si>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</si>
  <si>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</si>
  <si>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</si>
  <si>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</si>
  <si>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</si>
  <si>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</si>
  <si>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</si>
  <si>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</si>
  <si>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</si>
  <si>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</si>
  <si>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</si>
  <si>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</si>
  <si>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</si>
  <si>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</si>
  <si>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</si>
  <si>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</si>
  <si>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</si>
  <si>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</si>
  <si>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</si>
  <si>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</si>
  <si>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</si>
  <si>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</si>
  <si>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</si>
  <si>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</si>
  <si>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206 map (off)</t>
  </si>
  <si>
    <t>207 map (off)</t>
  </si>
  <si>
    <t>208 map (anu)</t>
  </si>
  <si>
    <t>209 map (vert)</t>
  </si>
  <si>
    <t>210 map (off)</t>
  </si>
  <si>
    <t>211 map (off)</t>
  </si>
  <si>
    <t>29.10.2025</t>
  </si>
  <si>
    <t>212 map (gold)</t>
  </si>
  <si>
    <t>GOLDEN (0/2/0)</t>
  </si>
  <si>
    <t>81 map (dust)</t>
  </si>
  <si>
    <t>72 map (mir)</t>
  </si>
  <si>
    <t>73 map (inf)</t>
  </si>
  <si>
    <t>INFERNO (4/4/1)</t>
  </si>
  <si>
    <t>7, 10, 10, 4, def - lose</t>
  </si>
  <si>
    <t>01.11.2025</t>
  </si>
  <si>
    <t>74 map (dust)</t>
  </si>
  <si>
    <t>75 map (dust)</t>
  </si>
  <si>
    <t>76 map (mir)</t>
  </si>
  <si>
    <t>77 map (dust)</t>
  </si>
  <si>
    <t>DUST (13/7/0)</t>
  </si>
  <si>
    <t>78 map (mir)</t>
  </si>
  <si>
    <t>MIRAGE (16/13/0)</t>
  </si>
  <si>
    <t>02.11.2025</t>
  </si>
  <si>
    <t>213 map (anu)</t>
  </si>
  <si>
    <t>214 map (dust)</t>
  </si>
  <si>
    <t>05.11.2025</t>
  </si>
  <si>
    <t>215 map (vert)</t>
  </si>
  <si>
    <t>VERTIGO (8/6/1)</t>
  </si>
  <si>
    <t>OFFICE (19/16/4)</t>
  </si>
  <si>
    <t>79 map (train)</t>
  </si>
  <si>
    <t>TRAIN (2/3/0)</t>
  </si>
  <si>
    <t>216 map (dust)</t>
  </si>
  <si>
    <t>217 map (off)</t>
  </si>
  <si>
    <t>10, 4, 10, 4, 10 - lose</t>
  </si>
  <si>
    <t>def, 10, 10, def, def - lose</t>
  </si>
  <si>
    <t>09.11.2025</t>
  </si>
  <si>
    <t>195 map (nuke)</t>
  </si>
  <si>
    <t>nuke (44)</t>
  </si>
  <si>
    <t>196 map (inf)</t>
  </si>
  <si>
    <t>197 map (inf)</t>
  </si>
  <si>
    <t>198 map (roof)</t>
  </si>
  <si>
    <t>rooftop (2)</t>
  </si>
  <si>
    <t>199 map (vert)</t>
  </si>
  <si>
    <t>vertigo (28)</t>
  </si>
  <si>
    <t>12.11.2025</t>
  </si>
  <si>
    <t>200 map (inf)</t>
  </si>
  <si>
    <t>inferno (53)</t>
  </si>
  <si>
    <t>201 map (over)</t>
  </si>
  <si>
    <t>OVERPASS (30)</t>
  </si>
  <si>
    <t>218 map (train)</t>
  </si>
  <si>
    <t>219 map (anc)</t>
  </si>
  <si>
    <t>ANCIENT (8/4/3)</t>
  </si>
  <si>
    <t>220 map (train)</t>
  </si>
  <si>
    <t>TRAIN (7/6/2)</t>
  </si>
  <si>
    <t>221 map (nuke)</t>
  </si>
  <si>
    <t>NUKE (6/7/1)</t>
  </si>
  <si>
    <t>222 map (dust)</t>
  </si>
  <si>
    <t>DUST (20/14/2)</t>
  </si>
  <si>
    <t>223 map (mir)</t>
  </si>
  <si>
    <t>MIRAGE (14/12/2)</t>
  </si>
  <si>
    <t>224 map (anu)</t>
  </si>
  <si>
    <t>ANUBIS (11/8/1)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</si>
</sst>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1" fillId="14" borderId="0" applyNumberFormat="0" applyBorder="0" applyAlignment="0" applyProtection="0"/>
    <xf numFmtId="0" fontId="7" fillId="17" borderId="2" applyNumberFormat="0" applyFont="0" applyAlignment="0" applyProtection="0"/>
    <xf numFmtId="0" fontId="22" fillId="15" borderId="0" applyNumberFormat="0" applyBorder="0" applyAlignment="0" applyProtection="0"/>
    <xf numFmtId="0" fontId="23" fillId="16" borderId="0" applyNumberFormat="0" applyBorder="0" applyAlignment="0" applyProtection="0"/>
  </cellStyleXfs>
  <cellXfs count="3141">
    <xf numFmtId="0" fontId="0" fillId="0" borderId="0" xfId="0"/>
    <xf numFmtId="0" fontId="7" fillId="0" borderId="0" xfId="0" applyFont="1"/>
    <xf numFmtId="0" fontId="8" fillId="2" borderId="1" xfId="0" applyFont="1" applyFill="1" applyBorder="1"/>
    <xf numFmtId="0" fontId="8" fillId="2" borderId="2" xfId="0" applyFont="1" applyFill="1" applyBorder="1"/>
    <xf numFmtId="0" fontId="9" fillId="3" borderId="1" xfId="0" applyFont="1" applyFill="1" applyBorder="1"/>
    <xf numFmtId="0" fontId="9" fillId="3" borderId="2" xfId="0" applyFont="1" applyFill="1" applyBorder="1"/>
    <xf numFmtId="0" fontId="10" fillId="4" borderId="1" xfId="0" applyFont="1" applyFill="1" applyBorder="1"/>
    <xf numFmtId="0" fontId="10" fillId="4" borderId="2" xfId="0" applyFont="1" applyFill="1" applyBorder="1"/>
    <xf numFmtId="0" fontId="11" fillId="5" borderId="1" xfId="0" applyFont="1" applyFill="1" applyBorder="1"/>
    <xf numFmtId="0" fontId="11" fillId="5" borderId="2" xfId="0" applyFont="1" applyFill="1" applyBorder="1"/>
    <xf numFmtId="0" fontId="12" fillId="6" borderId="1" xfId="0" applyFont="1" applyFill="1" applyBorder="1"/>
    <xf numFmtId="0" fontId="12" fillId="6" borderId="2" xfId="0" applyFont="1" applyFill="1" applyBorder="1"/>
    <xf numFmtId="14" fontId="8" fillId="2" borderId="1" xfId="0" applyNumberFormat="1" applyFont="1" applyFill="1" applyBorder="1"/>
    <xf numFmtId="0" fontId="12" fillId="7" borderId="2" xfId="0" applyFont="1" applyFill="1" applyBorder="1"/>
    <xf numFmtId="14" fontId="10" fillId="4" borderId="1" xfId="0" applyNumberFormat="1" applyFont="1" applyFill="1" applyBorder="1"/>
    <xf numFmtId="14" fontId="9" fillId="3" borderId="1" xfId="0" applyNumberFormat="1" applyFont="1" applyFill="1" applyBorder="1"/>
    <xf numFmtId="2" fontId="12" fillId="0" borderId="0" xfId="0" applyNumberFormat="1" applyFont="1"/>
    <xf numFmtId="14" fontId="12" fillId="0" borderId="0" xfId="0" applyNumberFormat="1" applyFont="1"/>
    <xf numFmtId="14" fontId="11" fillId="8" borderId="1" xfId="0" applyNumberFormat="1" applyFont="1" applyFill="1" applyBorder="1"/>
    <xf numFmtId="0" fontId="11" fillId="8" borderId="1" xfId="0" applyFont="1" applyFill="1" applyBorder="1"/>
    <xf numFmtId="49" fontId="12" fillId="0" borderId="0" xfId="0" applyNumberFormat="1" applyFont="1"/>
    <xf numFmtId="49" fontId="9" fillId="3" borderId="1" xfId="0" applyNumberFormat="1" applyFont="1" applyFill="1" applyBorder="1"/>
    <xf numFmtId="49" fontId="8" fillId="2" borderId="1" xfId="0" applyNumberFormat="1" applyFont="1" applyFill="1" applyBorder="1"/>
    <xf numFmtId="49" fontId="10" fillId="4" borderId="1" xfId="0" applyNumberFormat="1" applyFont="1" applyFill="1" applyBorder="1"/>
    <xf numFmtId="0" fontId="12" fillId="0" borderId="0" xfId="0" applyFont="1"/>
    <xf numFmtId="2" fontId="8" fillId="2" borderId="1" xfId="0" applyNumberFormat="1" applyFont="1" applyFill="1" applyBorder="1"/>
    <xf numFmtId="2" fontId="9" fillId="3" borderId="1" xfId="0" applyNumberFormat="1" applyFont="1" applyFill="1" applyBorder="1"/>
    <xf numFmtId="2" fontId="10" fillId="4" borderId="1" xfId="0" applyNumberFormat="1" applyFont="1" applyFill="1" applyBorder="1"/>
    <xf numFmtId="2" fontId="11" fillId="5" borderId="1" xfId="0" applyNumberFormat="1" applyFont="1" applyFill="1" applyBorder="1"/>
    <xf numFmtId="2" fontId="12" fillId="9" borderId="1" xfId="0" applyNumberFormat="1" applyFont="1" applyFill="1" applyBorder="1"/>
    <xf numFmtId="0" fontId="14" fillId="10" borderId="16" xfId="0" applyFont="1" applyFill="1" applyBorder="1"/>
    <xf numFmtId="0" fontId="12" fillId="11" borderId="1" xfId="0" applyFont="1" applyFill="1" applyBorder="1"/>
    <xf numFmtId="0" fontId="15" fillId="0" borderId="17" xfId="0" applyFont="1" applyBorder="1"/>
    <xf numFmtId="0" fontId="16" fillId="10" borderId="18" xfId="0" applyFont="1" applyFill="1" applyBorder="1"/>
    <xf numFmtId="164" fontId="9" fillId="3" borderId="1" xfId="0" applyNumberFormat="1" applyFont="1" applyFill="1" applyBorder="1"/>
    <xf numFmtId="0" fontId="17" fillId="0" borderId="0" xfId="0" applyFont="1"/>
    <xf numFmtId="0" fontId="17" fillId="0" borderId="0" xfId="0" applyFont="1" applyAlignment="1">
      <alignment horizontal="right"/>
    </xf>
    <xf numFmtId="0" fontId="17" fillId="4" borderId="0" xfId="0" applyFont="1" applyFill="1"/>
    <xf numFmtId="0" fontId="17" fillId="2" borderId="0" xfId="0" applyFont="1" applyFill="1"/>
    <xf numFmtId="164" fontId="17" fillId="4" borderId="0" xfId="0" applyNumberFormat="1" applyFont="1" applyFill="1"/>
    <xf numFmtId="164" fontId="18" fillId="3" borderId="0" xfId="0" applyNumberFormat="1" applyFont="1" applyFill="1"/>
    <xf numFmtId="0" fontId="18" fillId="3" borderId="0" xfId="0" applyFont="1" applyFill="1"/>
    <xf numFmtId="0" fontId="17" fillId="3" borderId="0" xfId="0" applyFont="1" applyFill="1"/>
    <xf numFmtId="0" fontId="11" fillId="5" borderId="0" xfId="0" applyFont="1" applyFill="1"/>
    <xf numFmtId="164" fontId="17" fillId="2" borderId="0" xfId="0" applyNumberFormat="1" applyFont="1" applyFill="1"/>
    <xf numFmtId="0" fontId="9" fillId="2" borderId="1" xfId="0" applyFont="1" applyFill="1" applyBorder="1"/>
    <xf numFmtId="0" fontId="19" fillId="5" borderId="1" xfId="0" applyFont="1" applyFill="1" applyBorder="1"/>
    <xf numFmtId="0" fontId="8" fillId="2" borderId="0" xfId="0" applyFont="1" applyFill="1"/>
    <xf numFmtId="0" fontId="17" fillId="12" borderId="0" xfId="0" applyFont="1" applyFill="1"/>
    <xf numFmtId="0" fontId="17" fillId="12" borderId="2" xfId="0" applyFont="1" applyFill="1" applyBorder="1"/>
    <xf numFmtId="164" fontId="17" fillId="3" borderId="0" xfId="0" applyNumberFormat="1" applyFont="1" applyFill="1"/>
    <xf numFmtId="0" fontId="9" fillId="3" borderId="16" xfId="0" applyFont="1" applyFill="1" applyBorder="1"/>
    <xf numFmtId="0" fontId="17" fillId="7" borderId="2" xfId="0" applyFont="1" applyFill="1" applyBorder="1"/>
    <xf numFmtId="0" fontId="9" fillId="3" borderId="0" xfId="0" applyFont="1" applyFill="1"/>
    <xf numFmtId="0" fontId="8" fillId="2" borderId="0" xfId="0" applyFont="1" applyFill="1" applyAlignment="1">
      <alignment horizontal="right"/>
    </xf>
    <xf numFmtId="0" fontId="17" fillId="7" borderId="22" xfId="0" applyFont="1" applyFill="1" applyBorder="1" applyAlignment="1">
      <alignment horizontal="right"/>
    </xf>
    <xf numFmtId="0" fontId="9" fillId="3" borderId="0" xfId="0" applyFont="1" applyFill="1" applyAlignment="1">
      <alignment horizontal="right"/>
    </xf>
    <xf numFmtId="0" fontId="19" fillId="13" borderId="0" xfId="0" applyFont="1" applyFill="1"/>
    <xf numFmtId="0" fontId="10" fillId="4" borderId="0" xfId="0" applyFont="1" applyFill="1"/>
    <xf numFmtId="0" fontId="17" fillId="6" borderId="0" xfId="0" applyFont="1" applyFill="1"/>
    <xf numFmtId="0" fontId="17" fillId="7" borderId="22" xfId="0" applyFont="1" applyFill="1" applyBorder="1"/>
    <xf numFmtId="0" fontId="10" fillId="4" borderId="0" xfId="0" applyFont="1" applyFill="1" applyAlignment="1">
      <alignment horizontal="right"/>
    </xf>
    <xf numFmtId="0" fontId="17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1" fillId="14" borderId="0" xfId="1" applyAlignment="1"/>
    <xf numFmtId="0" fontId="17" fillId="17" borderId="2" xfId="2" applyFont="1" applyAlignment="1"/>
    <xf numFmtId="0" fontId="22" fillId="15" borderId="0" xfId="3" applyAlignment="1"/>
    <xf numFmtId="0" fontId="6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5" fillId="21" borderId="24" xfId="0" applyFont="1" applyFill="1" applyBorder="1" applyAlignment="1">
      <alignment wrapText="1"/>
    </xf>
    <xf numFmtId="0" fontId="5" fillId="22" borderId="24" xfId="0" applyFont="1" applyFill="1" applyBorder="1" applyAlignment="1">
      <alignment wrapText="1"/>
    </xf>
    <xf numFmtId="0" fontId="5" fillId="23" borderId="24" xfId="0" applyFont="1" applyFill="1" applyBorder="1" applyAlignment="1">
      <alignment wrapText="1"/>
    </xf>
    <xf numFmtId="14" fontId="5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3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3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4" fillId="14" borderId="0" xfId="0" applyFont="1" applyFill="1"/>
    <xf numFmtId="0" fontId="4" fillId="15" borderId="0" xfId="0" applyFont="1" applyFill="1"/>
    <xf numFmtId="0" fontId="4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3" fillId="16" borderId="0" xfId="0" applyFont="1" applyFill="1"/>
    <xf numFmtId="0" fontId="3" fillId="15" borderId="0" xfId="0" applyFont="1" applyFill="1"/>
    <xf numFmtId="0" fontId="3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8" fillId="2" borderId="3" xfId="0" applyFont="1" applyFill="1" applyBorder="1" applyAlignment="1">
      <alignment horizontal="center"/>
    </xf>
    <xf numFmtId="0" fontId="13" fillId="0" borderId="4" xfId="0" applyFont="1" applyBorder="1"/>
    <xf numFmtId="0" fontId="9" fillId="3" borderId="3" xfId="0" applyFont="1" applyFill="1" applyBorder="1" applyAlignment="1">
      <alignment horizontal="center"/>
    </xf>
    <xf numFmtId="0" fontId="10" fillId="4" borderId="3" xfId="0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/>
    <xf numFmtId="0" fontId="13" fillId="0" borderId="5" xfId="0" applyFont="1" applyBorder="1"/>
    <xf numFmtId="0" fontId="12" fillId="7" borderId="6" xfId="0" applyFont="1" applyFill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4" fillId="10" borderId="9" xfId="0" applyFont="1" applyFill="1" applyBorder="1" applyAlignment="1">
      <alignment horizontal="center"/>
    </xf>
    <xf numFmtId="0" fontId="13" fillId="0" borderId="10" xfId="0" applyFont="1" applyBorder="1"/>
    <xf numFmtId="0" fontId="13" fillId="0" borderId="11" xfId="0" applyFont="1" applyBorder="1"/>
    <xf numFmtId="0" fontId="12" fillId="11" borderId="12" xfId="0" applyFont="1" applyFill="1" applyBorder="1" applyAlignment="1">
      <alignment horizontal="center"/>
    </xf>
    <xf numFmtId="0" fontId="13" fillId="0" borderId="13" xfId="0" applyFont="1" applyBorder="1"/>
    <xf numFmtId="0" fontId="13" fillId="0" borderId="14" xfId="0" applyFont="1" applyBorder="1"/>
    <xf numFmtId="0" fontId="8" fillId="2" borderId="15" xfId="0" applyFont="1" applyFill="1" applyBorder="1" applyAlignment="1">
      <alignment horizontal="center"/>
    </xf>
    <xf numFmtId="0" fontId="16" fillId="10" borderId="19" xfId="0" applyFont="1" applyFill="1" applyBorder="1" applyAlignment="1">
      <alignment horizontal="center"/>
    </xf>
    <xf numFmtId="0" fontId="13" fillId="0" borderId="20" xfId="0" applyFont="1" applyBorder="1"/>
    <xf numFmtId="0" fontId="13" fillId="0" borderId="21" xfId="0" applyFont="1" applyBorder="1"/>
    <xf numFmtId="0" fontId="0" fillId="0" borderId="0" xfId="0" applyAlignment="1">
      <alignment horizontal="center"/>
    </xf>
    <xf numFmtId="0" fontId="20" fillId="3" borderId="0" xfId="0" applyFont="1" applyFill="1" applyAlignment="1">
      <alignment horizontal="center"/>
    </xf>
    <xf numFmtId="0" fontId="12" fillId="3" borderId="0" xfId="0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21" fillId="14" borderId="0" xfId="1" applyAlignment="1">
      <alignment horizontal="center"/>
    </xf>
    <xf numFmtId="0" fontId="23" fillId="16" borderId="0" xfId="4" applyAlignment="1">
      <alignment horizontal="center"/>
    </xf>
    <xf numFmtId="0" fontId="20" fillId="2" borderId="0" xfId="0" applyFont="1" applyFill="1" applyAlignment="1">
      <alignment horizontal="center"/>
    </xf>
    <xf numFmtId="0" fontId="12" fillId="4" borderId="0" xfId="0" applyFont="1" applyFill="1" applyAlignment="1">
      <alignment horizontal="center"/>
    </xf>
    <xf numFmtId="0" fontId="23" fillId="23" borderId="25" xfId="0" applyFont="1" applyFill="1" applyBorder="1" applyAlignment="1">
      <alignment horizontal="center" wrapText="1"/>
    </xf>
    <xf numFmtId="0" fontId="23" fillId="23" borderId="26" xfId="0" applyFont="1" applyFill="1" applyBorder="1" applyAlignment="1">
      <alignment horizontal="center" wrapText="1"/>
    </xf>
    <xf numFmtId="0" fontId="23" fillId="23" borderId="27" xfId="0" applyFont="1" applyFill="1" applyBorder="1" applyAlignment="1">
      <alignment horizontal="center" wrapText="1"/>
    </xf>
    <xf numFmtId="0" fontId="3" fillId="24" borderId="25" xfId="0" applyFont="1" applyFill="1" applyBorder="1" applyAlignment="1">
      <alignment horizontal="center" wrapText="1"/>
    </xf>
    <xf numFmtId="0" fontId="3" fillId="24" borderId="26" xfId="0" applyFont="1" applyFill="1" applyBorder="1" applyAlignment="1">
      <alignment horizontal="center" wrapText="1"/>
    </xf>
    <xf numFmtId="0" fontId="3" fillId="24" borderId="27" xfId="0" applyFont="1" applyFill="1" applyBorder="1" applyAlignment="1">
      <alignment horizontal="center" wrapText="1"/>
    </xf>
    <xf numFmtId="0" fontId="3" fillId="22" borderId="25" xfId="0" applyFont="1" applyFill="1" applyBorder="1" applyAlignment="1">
      <alignment horizontal="center" wrapText="1"/>
    </xf>
    <xf numFmtId="0" fontId="3" fillId="22" borderId="26" xfId="0" applyFont="1" applyFill="1" applyBorder="1" applyAlignment="1">
      <alignment horizontal="center" wrapText="1"/>
    </xf>
    <xf numFmtId="0" fontId="3" fillId="22" borderId="27" xfId="0" applyFont="1" applyFill="1" applyBorder="1" applyAlignment="1">
      <alignment horizontal="center" wrapText="1"/>
    </xf>
    <xf numFmtId="0" fontId="2" fillId="24" borderId="25" xfId="0" applyFont="1" applyFill="1" applyBorder="1" applyAlignment="1">
      <alignment horizontal="center" wrapText="1"/>
    </xf>
    <xf numFmtId="0" fontId="1" fillId="22" borderId="25" xfId="0" applyFont="1" applyFill="1" applyBorder="1" applyAlignment="1">
      <alignment horizontal="center" wrapText="1"/>
    </xf>
    <xf numFmtId="0" fontId="2" fillId="23" borderId="25" xfId="0" applyFont="1" applyFill="1" applyBorder="1" applyAlignment="1">
      <alignment horizontal="center" wrapText="1"/>
    </xf>
    <xf numFmtId="0" fontId="3" fillId="23" borderId="26" xfId="0" applyFont="1" applyFill="1" applyBorder="1" applyAlignment="1">
      <alignment horizontal="center" wrapText="1"/>
    </xf>
    <xf numFmtId="0" fontId="3" fillId="23" borderId="27" xfId="0" applyFont="1" applyFill="1" applyBorder="1" applyAlignment="1">
      <alignment horizontal="center" wrapText="1"/>
    </xf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3097" t="s">
        <v>0</v>
      </c>
      <c r="C1" s="3098"/>
      <c r="D1" s="3099" t="s">
        <v>1</v>
      </c>
      <c r="E1" s="3098"/>
      <c r="F1" s="3100" t="s">
        <v>177</v>
      </c>
      <c r="G1" s="3098"/>
      <c r="H1" s="3097" t="s">
        <v>174</v>
      </c>
      <c r="I1" s="3098"/>
      <c r="J1" s="3099" t="s">
        <v>175</v>
      </c>
      <c r="K1" s="3098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3101" t="str">
        <f>"Mirage"&amp;" "&amp;H5/SUM(H5:I5)*100</f>
        <v>Mirage 25</v>
      </c>
      <c r="I3" s="3102"/>
      <c r="J3" s="3101" t="str">
        <f>"Inferno"&amp;" "&amp;ROUND(J5/SUM(J5:K5)*100,0)</f>
        <v>Inferno 40</v>
      </c>
      <c r="K3" s="3102"/>
      <c r="L3" s="3101" t="str">
        <f>"Overpass"&amp;" "&amp;ROUND(L5/SUM(L5:M5)*100,0)</f>
        <v>Overpass 67</v>
      </c>
      <c r="M3" s="3102"/>
      <c r="N3" s="3101" t="str">
        <f>"Vertigo"&amp;" "&amp;ROUND(N5/SUM(N5:O5)*100,0)</f>
        <v>Vertigo 80</v>
      </c>
      <c r="O3" s="3102"/>
      <c r="P3" s="3101" t="str">
        <f>"Ancient"&amp;" "&amp;ROUND(P5/SUM(P5:Q5)*100,0)</f>
        <v>Ancient 50</v>
      </c>
      <c r="Q3" s="3102"/>
      <c r="R3" s="3101" t="str">
        <f>"Anubis"&amp;" "&amp;ROUND(R5/SUM(R5:S5)*100,0)</f>
        <v>Anubis 67</v>
      </c>
      <c r="S3" s="3102"/>
      <c r="T3" s="3101" t="str">
        <f>"Dust II"&amp;" "&amp;ROUND(T5/SUM(T5:U5)*100,0)</f>
        <v>Dust II 100</v>
      </c>
      <c r="U3" s="3102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3101" t="s">
        <v>206</v>
      </c>
      <c r="I7" s="3102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3101" t="s">
        <v>373</v>
      </c>
      <c r="G3" s="3102"/>
      <c r="H3" s="3102"/>
      <c r="I3" s="3101" t="s">
        <v>374</v>
      </c>
      <c r="J3" s="3102"/>
      <c r="K3" s="3102"/>
      <c r="L3" s="3101" t="s">
        <v>375</v>
      </c>
      <c r="M3" s="3102"/>
      <c r="N3" s="3102"/>
      <c r="O3" s="3101" t="s">
        <v>376</v>
      </c>
      <c r="P3" s="3102"/>
      <c r="Q3" s="3102"/>
      <c r="R3" s="3101" t="s">
        <v>377</v>
      </c>
      <c r="S3" s="3102"/>
      <c r="T3" s="3101" t="s">
        <v>378</v>
      </c>
      <c r="U3" s="3102"/>
      <c r="V3" s="3101" t="s">
        <v>379</v>
      </c>
      <c r="W3" s="3102"/>
      <c r="X3" s="3102"/>
      <c r="Y3" s="3101" t="s">
        <v>380</v>
      </c>
      <c r="Z3" s="3102"/>
      <c r="AA3" s="3102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3097" t="s">
        <v>641</v>
      </c>
      <c r="B1" s="3103"/>
      <c r="C1" s="3103"/>
      <c r="D1" s="3098"/>
      <c r="E1" s="3099" t="s">
        <v>642</v>
      </c>
      <c r="F1" s="3103"/>
      <c r="G1" s="3103"/>
      <c r="H1" s="3103"/>
      <c r="I1" s="3103"/>
      <c r="J1" s="3098"/>
      <c r="K1" s="3100" t="s">
        <v>643</v>
      </c>
      <c r="L1" s="3103"/>
      <c r="M1" s="3103"/>
      <c r="N1" s="3098"/>
      <c r="O1" s="3104" t="s">
        <v>644</v>
      </c>
      <c r="P1" s="3105"/>
      <c r="Q1" s="3105"/>
      <c r="R1" s="3105"/>
      <c r="S1" s="3106"/>
      <c r="T1" s="3107" t="s">
        <v>645</v>
      </c>
      <c r="U1" s="3108"/>
      <c r="V1" s="3108"/>
      <c r="W1" s="3108"/>
      <c r="X1" s="3109"/>
      <c r="Y1" s="3110" t="s">
        <v>646</v>
      </c>
      <c r="Z1" s="3111"/>
      <c r="AA1" s="3111"/>
      <c r="AB1" s="3112"/>
      <c r="AC1" s="3113" t="s">
        <v>647</v>
      </c>
      <c r="AD1" s="3103"/>
      <c r="AE1" s="3103"/>
      <c r="AF1" s="3103"/>
      <c r="AG1" s="3098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3101" t="s">
        <v>651</v>
      </c>
      <c r="B8" s="3102"/>
      <c r="C8" s="3102"/>
      <c r="D8" s="3102"/>
      <c r="E8" s="3102"/>
      <c r="F8" s="3102"/>
      <c r="G8" s="3102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3114" t="s">
        <v>710</v>
      </c>
      <c r="C20" s="3115"/>
      <c r="D20" s="3115"/>
      <c r="E20" s="3115"/>
      <c r="F20" s="3115"/>
      <c r="G20" s="3115"/>
      <c r="H20" s="3116"/>
    </row>
    <row r="21" spans="1:13" ht="15.75" customHeight="1" x14ac:dyDescent="0.25"/>
    <row r="22" spans="1:13" ht="15.75" customHeight="1" x14ac:dyDescent="0.25">
      <c r="A22" s="3114" t="s">
        <v>711</v>
      </c>
      <c r="B22" s="3115"/>
      <c r="C22" s="3116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8:G8"/>
    <mergeCell ref="B20:H20"/>
    <mergeCell ref="A22:C22"/>
    <mergeCell ref="A1:D1"/>
    <mergeCell ref="E1:J1"/>
    <mergeCell ref="K1:N1"/>
    <mergeCell ref="O1:S1"/>
    <mergeCell ref="T1:X1"/>
    <mergeCell ref="Y1:AB1"/>
    <mergeCell ref="AC1:AG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40"/>
  <sheetViews>
    <sheetView workbookViewId="0">
      <pane ySplit="1" topLeftCell="A210" activePane="bottomLeft" state="frozen"/>
      <selection pane="bottomLeft" activeCell="H240" sqref="H240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3118" t="s">
        <v>1248</v>
      </c>
      <c r="I3" s="3102"/>
      <c r="J3" s="3102"/>
      <c r="K3" s="3102"/>
      <c r="L3" s="3119" t="s">
        <v>1239</v>
      </c>
      <c r="M3" s="3102"/>
      <c r="N3" s="3102"/>
      <c r="O3" s="3102"/>
      <c r="P3" s="3120" t="s">
        <v>944</v>
      </c>
      <c r="Q3" s="3102"/>
      <c r="R3" s="3102"/>
      <c r="S3" s="3102"/>
      <c r="T3" s="3120" t="s">
        <v>941</v>
      </c>
      <c r="U3" s="3102"/>
      <c r="V3" s="3102"/>
      <c r="W3" s="3102"/>
      <c r="X3" s="3121" t="s">
        <v>1250</v>
      </c>
      <c r="Y3" s="3102"/>
      <c r="Z3" s="3102"/>
      <c r="AA3" s="3102"/>
      <c r="AB3" s="3122" t="s">
        <v>1245</v>
      </c>
      <c r="AC3" s="3102"/>
      <c r="AD3" s="3102"/>
      <c r="AE3" s="3102"/>
      <c r="AF3" s="3124" t="s">
        <v>1029</v>
      </c>
      <c r="AG3" s="3124"/>
      <c r="AH3" s="3124"/>
      <c r="AI3" s="3124"/>
      <c r="AJ3" s="3124" t="s">
        <v>1030</v>
      </c>
      <c r="AK3" s="3124"/>
      <c r="AL3" s="3124"/>
      <c r="AM3" s="3124"/>
      <c r="AN3" s="3123" t="s">
        <v>1243</v>
      </c>
      <c r="AO3" s="3123"/>
      <c r="AP3" s="3123"/>
      <c r="AQ3" s="3123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AVERAGE(B6,B8,B10,B11,B13,B14,B16,B17,B23,B30,B42,B50,B53,B55,B60,B66,B70,B77,B79,B84,B97,B101,B106,B109,B115,B119,B126,B134,B136,B138,B145,B149,B167,B171,B173,B174,B184,B190,B193,B194,B201,B207,B208,B210,B212,B215,B217,B221,B227,B229,B233,B234,B238)</f>
        <v>1.0494339622641509</v>
      </c>
      <c r="I4" s="1">
        <f>AVERAGE(C6,C8,C10,C11,C13,C14,C16,C17,C23,C30,C42,C50,C53,C55,C60,C66,C70,C77,C79,C84,C97,C101,C106,C109,C115,C119,C126,C134,C136,C138,C145,C149,C167,C171,C173,C174,C184,C190,C193,C194,C201,C207,C208,C210,C212,C215,C217,C221,C227,C229,C233,C234,C238)</f>
        <v>0.99520000000000008</v>
      </c>
      <c r="J4" s="1">
        <f t="shared" ref="J4:K4" si="0">AVERAGE(D6,D8,D10,D11,D13,D14,D16,D17,D23,D30,D42,D50,D53,D55,D60,D66,D70,D77,D79,D84,D97,D101,D106,D109,D115,D119,D126,D134,D136,D138,D145,D149,D167,D171,D173,D174,D184,D190,D193,D194,D201,D207,D208,D210,D212,D215,D217)</f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AVERAGE(B3,B5,B18,B27,B28,B32,B34,B36,B44,B56,B61,B63,B69,B75,B88,B96,B99,B105,B111,B116,B117,B128,B133,B139,B144,B147,B158,B162,B163,B164,B165,B166,B172,B177,B183,B195,B200,B202,B203,B206,B214,B218,B225,B232)</f>
        <v>1.1204545454545454</v>
      </c>
      <c r="M4" s="1">
        <f>AVERAGE(C3,C5,C18,C27,C28,C32,C34,C36,C44,C56,C61,C63,C69,C75,C88,C96,C99,C105,C111,C116,C117,C128,C133,C139,C144,C147,C158,C162,C163,C164,C165,C166,C172,C177,C183,C195,C200,C202,C203,C206,C214,C218,C225,C232)</f>
        <v>1.0269230769230768</v>
      </c>
      <c r="N4" s="1">
        <f t="shared" ref="N4:O4" si="1">AVERAGE(D3,D5,D18,D27,D28,D32,D34,D36,D44,D56,D61,D63,D69,D75,D88,D96,D99,D105,D111,D116,D117,D128,D133,D139,D144,D147,D158,D162,D163,D164,D165,D166,D172,D177,D183,D195,D200,D202,D203,D206,D214,D218)</f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>AVERAGE(C4,C19,C20,C31,C43,C68,C72,C76,C85,C110,C122,C124,C127,C143,C152,C179,C186)</f>
        <v>0.86437500000000012</v>
      </c>
      <c r="R4" s="1">
        <f>AVERAGE(D4,D19,D20,D31,D43,D68,D72,D76,D85,D110,D122,D124,D127,D143,D152,D179,D186)</f>
        <v>1.08</v>
      </c>
      <c r="S4" s="1" t="e">
        <f>AVERAGE(E4,E19,E20,E31,E43,E68,E72,E76,E85,E110,E122,E124,E127,E143,E152,E179,E186)</f>
        <v>#DIV/0!</v>
      </c>
      <c r="T4" s="1">
        <f>AVERAGE(B7,B33,B35,B46,B57,B58,B67,B71,B81,B87,B91,B100,B103,B104,B108,B120,B129,B151,B168,B182)</f>
        <v>1.2050000000000003</v>
      </c>
      <c r="U4" s="1">
        <f>AVERAGE(C7,C33,C35,C46,C57,C58,C67,C71,C81,C87,C91,C100,C103,C104,C108,C120,C129,C151,C168,C182)</f>
        <v>1.0694117647058823</v>
      </c>
      <c r="V4" s="1">
        <f>AVERAGE(D7,D33,D35,D46,D57,D58,D67,D71,D81,D87,D91,D100,D103,D104,D108,D120,D129,D151,D168,D182)</f>
        <v>0.95</v>
      </c>
      <c r="W4" s="1">
        <f>AVERAGE(E7,E33,E35,E46,E57,E58,E67,E71,E81,E87,E91,E100,E103,E104,E108,E120,E129,E151,E168,E182)</f>
        <v>1.155</v>
      </c>
      <c r="X4" s="1">
        <f>AVERAGE(B21,B24,B39,B40,B47,B49,B51,B52,B65,B80,B82,B92,B93,B112,B130,B140,B148,B150,B153,B154,B155,B157,B161,B181,B196,B204,B222,B223,B231,B239)</f>
        <v>1.1296428571428572</v>
      </c>
      <c r="Y4" s="1">
        <f t="shared" ref="Y4:AA4" si="2">AVERAGE(C21,C24,C39,C40,C47,C49,C51,C52,C65,C80,C82,C92,C93,C112,C130,C140,C148,C150,C153,C154,C155,C157,C161,C181,C196,C204,C222,C223,C231,C239)</f>
        <v>1.1825925925925924</v>
      </c>
      <c r="Z4" s="1" t="e">
        <f t="shared" si="2"/>
        <v>#DIV/0!</v>
      </c>
      <c r="AA4" s="1">
        <f t="shared" si="2"/>
        <v>0.9</v>
      </c>
      <c r="AB4" s="1">
        <f>AVERAGE(B9,B15,B25,B26,B37,B38,B45,B48,B59,B64,B73,B78,B86,B94,B95,B98,B113,B121,B123,B131,B142,B156,B160,B170,B175,B185,B191,B236)</f>
        <v>1.021851851851852</v>
      </c>
      <c r="AC4" s="1">
        <f t="shared" ref="AC4:AE4" si="3">AVERAGE(C9,C15,C25,C26,C37,C38,C45,C48,C59,C64,C73,C78,C86,C94,C95,C98,C113,C121,C123,C131,C142,C156,C160,C170,C175,C185,C191,C236)</f>
        <v>0.92680000000000007</v>
      </c>
      <c r="AD4" s="1">
        <f t="shared" si="3"/>
        <v>1.22</v>
      </c>
      <c r="AE4" s="1">
        <f t="shared" si="3"/>
        <v>0.87</v>
      </c>
      <c r="AF4" s="1">
        <f>AVERAGE(B188,B192,B198)</f>
        <v>0.64666666666666661</v>
      </c>
      <c r="AG4" s="1">
        <f t="shared" ref="AG4:AI4" si="4">AVERAGE(C188,C192,C198)</f>
        <v>0.83666666666666656</v>
      </c>
      <c r="AH4" s="1" t="e">
        <f t="shared" si="4"/>
        <v>#DIV/0!</v>
      </c>
      <c r="AI4" s="1" t="e">
        <f t="shared" si="4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AVERAGE(B226,B235)</f>
        <v>1.44</v>
      </c>
      <c r="AO4" s="1">
        <f t="shared" ref="AO4:AQ4" si="5">AVERAGE(C226,C235)</f>
        <v>1.41</v>
      </c>
      <c r="AP4" s="1" t="e">
        <f t="shared" si="5"/>
        <v>#DIV/0!</v>
      </c>
      <c r="AQ4" s="1" t="e">
        <f t="shared" si="5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3117">
        <f>AVERAGE(H4:I4)</f>
        <v>1.0223169811320756</v>
      </c>
      <c r="I5" s="3117"/>
      <c r="J5" s="3117"/>
      <c r="K5" s="3117"/>
      <c r="L5" s="3117">
        <f>AVERAGE(L4:M4)</f>
        <v>1.073688811188811</v>
      </c>
      <c r="M5" s="3117"/>
      <c r="N5" s="3117"/>
      <c r="O5" s="3117"/>
      <c r="P5" s="3117">
        <f>AVERAGE(P4:Q4)</f>
        <v>0.92159926470588238</v>
      </c>
      <c r="Q5" s="3117"/>
      <c r="R5" s="3117"/>
      <c r="S5" s="3117"/>
      <c r="T5" s="3117">
        <f>AVERAGE(T4:U4)</f>
        <v>1.1372058823529412</v>
      </c>
      <c r="U5" s="3117"/>
      <c r="V5" s="3117"/>
      <c r="W5" s="3117"/>
      <c r="X5" s="3117">
        <f>AVERAGE(X4:Y4)</f>
        <v>1.1561177248677248</v>
      </c>
      <c r="Y5" s="3117"/>
      <c r="Z5" s="3117"/>
      <c r="AA5" s="3117"/>
      <c r="AB5" s="3117">
        <f>AVERAGE(AB4:AC4)</f>
        <v>0.97432592592592604</v>
      </c>
      <c r="AC5" s="3117"/>
      <c r="AD5" s="3117"/>
      <c r="AE5" s="3117"/>
      <c r="AF5" s="3117">
        <f>AVERAGE(AF4:AG4)</f>
        <v>0.74166666666666659</v>
      </c>
      <c r="AG5" s="3117"/>
      <c r="AH5" s="3117"/>
      <c r="AI5" s="3117"/>
      <c r="AJ5" s="3117">
        <f>AVERAGE(AJ4:AK4)</f>
        <v>0.75</v>
      </c>
      <c r="AK5" s="3117"/>
      <c r="AL5" s="3117"/>
      <c r="AM5" s="3117"/>
      <c r="AN5" s="3117">
        <f>AVERAGE(AN4:AO4)</f>
        <v>1.4249999999999998</v>
      </c>
      <c r="AO5" s="3117"/>
      <c r="AP5" s="3117"/>
      <c r="AQ5" s="3117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1130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1131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1132</v>
      </c>
      <c r="B25" s="1">
        <v>1.58</v>
      </c>
      <c r="C25" s="1">
        <v>1.39</v>
      </c>
    </row>
    <row r="26" spans="1:5" ht="15.75" customHeight="1" x14ac:dyDescent="0.25">
      <c r="A26" s="1" t="s">
        <v>1133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1134</v>
      </c>
      <c r="B37" s="1">
        <v>1.24</v>
      </c>
      <c r="C37" s="1">
        <v>1.48</v>
      </c>
    </row>
    <row r="38" spans="1:7" ht="15.75" customHeight="1" x14ac:dyDescent="0.25">
      <c r="A38" s="1" t="s">
        <v>1135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1136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1137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1138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1139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1079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1080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1081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1082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1083</v>
      </c>
      <c r="B218">
        <v>0.85</v>
      </c>
      <c r="C218">
        <v>0.77</v>
      </c>
    </row>
    <row r="219" spans="1:91" x14ac:dyDescent="0.25">
      <c r="A219" s="41" t="s">
        <v>1107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1108</v>
      </c>
      <c r="B220">
        <v>0.48</v>
      </c>
      <c r="C220">
        <v>0.98</v>
      </c>
    </row>
    <row r="221" spans="1:91" x14ac:dyDescent="0.25">
      <c r="A221" s="1557" t="s">
        <v>1109</v>
      </c>
      <c r="B221">
        <v>1.54</v>
      </c>
      <c r="C221">
        <v>1.7</v>
      </c>
    </row>
    <row r="222" spans="1:91" x14ac:dyDescent="0.25">
      <c r="A222" s="1558" t="s">
        <v>1110</v>
      </c>
      <c r="B222">
        <v>1.56</v>
      </c>
      <c r="C222">
        <v>1.56</v>
      </c>
    </row>
    <row r="223" spans="1:91" x14ac:dyDescent="0.25">
      <c r="A223" s="1559" t="s">
        <v>1111</v>
      </c>
      <c r="B223">
        <v>1.64</v>
      </c>
      <c r="C223">
        <v>1.2</v>
      </c>
    </row>
    <row r="224" spans="1:91" x14ac:dyDescent="0.25">
      <c r="A224" s="41" t="s">
        <v>1140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1141</v>
      </c>
      <c r="B226">
        <v>1.44</v>
      </c>
      <c r="C226">
        <v>1.41</v>
      </c>
    </row>
    <row r="227" spans="1:87" x14ac:dyDescent="0.25">
      <c r="A227" s="1832" t="s">
        <v>1142</v>
      </c>
      <c r="B227">
        <v>0.98</v>
      </c>
      <c r="C227">
        <v>1.6</v>
      </c>
    </row>
    <row r="228" spans="1:87" x14ac:dyDescent="0.25">
      <c r="A228" s="44" t="s">
        <v>1171</v>
      </c>
      <c r="B228" s="44"/>
      <c r="C228" s="44"/>
      <c r="D228" s="44"/>
      <c r="E228" s="44"/>
      <c r="G228" s="2180"/>
      <c r="H228" s="2985"/>
      <c r="I228" s="2985"/>
      <c r="J228" s="2985"/>
      <c r="K228" s="2985"/>
      <c r="L228" s="2985"/>
      <c r="M228" s="2985"/>
      <c r="N228" s="2985"/>
      <c r="O228" s="2985"/>
      <c r="P228" s="2985"/>
      <c r="Q228" s="2985"/>
      <c r="R228" s="2985"/>
      <c r="S228" s="2985"/>
      <c r="T228" s="2985"/>
      <c r="U228" s="2985"/>
      <c r="V228" s="2985"/>
      <c r="W228" s="2985"/>
      <c r="X228" s="2985"/>
      <c r="Y228" s="2985"/>
      <c r="Z228" s="2985"/>
      <c r="AA228" s="2985"/>
      <c r="AB228" s="2985"/>
      <c r="AC228" s="2985"/>
      <c r="AD228" s="2985"/>
      <c r="AE228" s="2985"/>
      <c r="AF228" s="2985"/>
      <c r="AG228" s="2985"/>
      <c r="AH228" s="2985"/>
      <c r="AI228" s="2985"/>
      <c r="AJ228" s="2985"/>
      <c r="AK228" s="2985"/>
      <c r="AL228" s="2985"/>
      <c r="AM228" s="2985"/>
      <c r="AN228" s="2985"/>
      <c r="AO228" s="2985"/>
      <c r="AP228" s="2985"/>
      <c r="AQ228" s="2985"/>
      <c r="AR228" s="2985"/>
      <c r="AS228" s="2985"/>
      <c r="AT228" s="2985"/>
      <c r="AU228" s="2985"/>
      <c r="AV228" s="2985"/>
      <c r="AW228" s="2985"/>
      <c r="AX228" s="2985"/>
      <c r="AY228" s="2985"/>
      <c r="AZ228" s="2985"/>
      <c r="BA228" s="2985"/>
      <c r="BB228" s="2985"/>
      <c r="BC228" s="2985"/>
      <c r="BD228" s="2985"/>
      <c r="BE228" s="2985"/>
      <c r="BF228" s="2985"/>
      <c r="BG228" s="2985"/>
      <c r="BH228" s="2985"/>
      <c r="BI228" s="2985"/>
      <c r="BJ228" s="2985"/>
      <c r="BK228" s="2985"/>
      <c r="BL228" s="2985"/>
      <c r="BM228" s="2985"/>
      <c r="BN228" s="2985"/>
      <c r="BO228" s="2985"/>
      <c r="BP228" s="2985"/>
      <c r="BQ228" s="2985"/>
      <c r="BR228" s="2985"/>
      <c r="BS228" s="2985"/>
      <c r="BT228" s="2985"/>
      <c r="BU228" s="2985"/>
      <c r="BV228" s="2985"/>
      <c r="BW228" s="2985"/>
      <c r="BX228" s="2985"/>
      <c r="BY228" s="2985"/>
      <c r="BZ228" s="2985"/>
      <c r="CA228" s="2985"/>
      <c r="CB228" s="2985"/>
      <c r="CC228" s="2985"/>
      <c r="CD228" s="2985"/>
      <c r="CE228" s="2985"/>
      <c r="CF228" s="2985"/>
      <c r="CG228" s="2985"/>
      <c r="CH228" s="2180"/>
    </row>
    <row r="229" spans="1:87" x14ac:dyDescent="0.25">
      <c r="A229" s="2181" t="s">
        <v>1172</v>
      </c>
      <c r="B229">
        <v>1.95</v>
      </c>
      <c r="C229">
        <v>0.87</v>
      </c>
      <c r="H229" s="2985"/>
      <c r="I229" s="2985"/>
      <c r="J229" s="2985"/>
      <c r="K229" s="2985"/>
      <c r="L229" s="2985"/>
      <c r="M229" s="2985"/>
      <c r="N229" s="2985"/>
      <c r="O229" s="2985"/>
      <c r="P229" s="2985"/>
      <c r="Q229" s="2985"/>
      <c r="R229" s="2985"/>
      <c r="S229" s="2985"/>
      <c r="T229" s="2985"/>
      <c r="U229" s="2985"/>
      <c r="V229" s="2985"/>
      <c r="W229" s="2985"/>
      <c r="X229" s="2985"/>
      <c r="Y229" s="2985"/>
      <c r="Z229" s="2985"/>
      <c r="AA229" s="2985"/>
      <c r="AB229" s="2985"/>
      <c r="AC229" s="2985"/>
      <c r="AD229" s="2985"/>
      <c r="AE229" s="2985"/>
      <c r="AF229" s="2985"/>
      <c r="AG229" s="2985"/>
      <c r="AH229" s="2985"/>
      <c r="AI229" s="2985"/>
      <c r="AJ229" s="2985"/>
      <c r="AK229" s="2985"/>
      <c r="AL229" s="2985"/>
      <c r="AM229" s="2985"/>
      <c r="AN229" s="2985"/>
      <c r="AO229" s="2985"/>
      <c r="AP229" s="2985"/>
      <c r="AQ229" s="2985"/>
      <c r="AR229" s="2985"/>
      <c r="AS229" s="2985"/>
      <c r="AT229" s="2985"/>
      <c r="AU229" s="2985"/>
      <c r="AV229" s="2985"/>
      <c r="AW229" s="2985"/>
      <c r="AX229" s="2985"/>
      <c r="AY229" s="2985"/>
      <c r="AZ229" s="2985"/>
      <c r="BA229" s="2985"/>
      <c r="BB229" s="2985"/>
      <c r="BC229" s="2985"/>
      <c r="BD229" s="2985"/>
      <c r="BE229" s="2985"/>
      <c r="BF229" s="2985"/>
      <c r="BG229" s="2985"/>
      <c r="BH229" s="2985"/>
      <c r="BI229" s="2985"/>
      <c r="BJ229" s="2985"/>
      <c r="BK229" s="2985"/>
      <c r="BL229" s="2985"/>
      <c r="BM229" s="2985"/>
      <c r="BN229" s="2985"/>
      <c r="BO229" s="2985"/>
      <c r="BP229" s="2985"/>
      <c r="BQ229" s="2985"/>
      <c r="BR229" s="2985"/>
      <c r="BS229" s="2985"/>
      <c r="BT229" s="2985"/>
      <c r="BU229" s="2985"/>
      <c r="BV229" s="2985"/>
      <c r="BW229" s="2985"/>
      <c r="BX229" s="2985"/>
      <c r="BY229" s="2985"/>
      <c r="BZ229" s="2985"/>
      <c r="CA229" s="2985"/>
      <c r="CB229" s="2985"/>
      <c r="CC229" s="2985"/>
      <c r="CD229" s="2985"/>
      <c r="CE229" s="2985"/>
      <c r="CF229" s="2985"/>
      <c r="CG229" s="2985"/>
    </row>
    <row r="230" spans="1:87" x14ac:dyDescent="0.25">
      <c r="A230" s="41" t="s">
        <v>1237</v>
      </c>
      <c r="B230" s="41"/>
      <c r="C230" s="41"/>
      <c r="D230" s="41"/>
      <c r="E230" s="41"/>
      <c r="H230" s="2985"/>
      <c r="I230" s="2985"/>
      <c r="J230" s="2985"/>
      <c r="K230" s="2985"/>
      <c r="L230" s="2985"/>
      <c r="M230" s="2985"/>
      <c r="N230" s="2985"/>
      <c r="O230" s="2985"/>
      <c r="P230" s="2985"/>
      <c r="Q230" s="2985"/>
      <c r="R230" s="2985"/>
      <c r="S230" s="2985"/>
      <c r="T230" s="2985"/>
      <c r="U230" s="2985"/>
      <c r="V230" s="2985"/>
      <c r="W230" s="2985"/>
      <c r="X230" s="2985"/>
      <c r="Y230" s="2985"/>
      <c r="Z230" s="2985"/>
      <c r="AA230" s="2985"/>
      <c r="AB230" s="2985"/>
      <c r="AC230" s="2985"/>
      <c r="AD230" s="2985"/>
      <c r="AE230" s="2985"/>
      <c r="AF230" s="2985"/>
      <c r="AG230" s="2985"/>
      <c r="AH230" s="2985"/>
      <c r="AI230" s="2985"/>
      <c r="AJ230" s="2985"/>
      <c r="AK230" s="2985"/>
      <c r="AL230" s="2985"/>
      <c r="AM230" s="2985"/>
      <c r="AN230" s="2985"/>
      <c r="AO230" s="2985"/>
      <c r="AP230" s="2985"/>
      <c r="AQ230" s="2985"/>
      <c r="AR230" s="2985"/>
      <c r="AS230" s="2985"/>
      <c r="AT230" s="2985"/>
      <c r="AU230" s="2985"/>
      <c r="AV230" s="2985"/>
      <c r="AW230" s="2985"/>
      <c r="AX230" s="2985"/>
      <c r="AY230" s="2985"/>
      <c r="AZ230" s="2985"/>
      <c r="BA230" s="2985"/>
      <c r="BB230" s="2985"/>
      <c r="BC230" s="2985"/>
      <c r="BD230" s="2985"/>
      <c r="BE230" s="2985"/>
      <c r="BF230" s="2985"/>
      <c r="BG230" s="2985"/>
      <c r="BH230" s="2985"/>
      <c r="BI230" s="2985"/>
      <c r="BJ230" s="2985"/>
      <c r="BK230" s="2985"/>
      <c r="BL230" s="2985"/>
      <c r="BM230" s="2985"/>
      <c r="BN230" s="2985"/>
      <c r="BO230" s="2985"/>
      <c r="BP230" s="2985"/>
      <c r="BQ230" s="2985"/>
      <c r="BR230" s="2985"/>
      <c r="BS230" s="2985"/>
      <c r="BT230" s="2985"/>
      <c r="BU230" s="2985"/>
      <c r="BV230" s="2985"/>
      <c r="BW230" s="2985"/>
      <c r="BX230" s="2985"/>
      <c r="BY230" s="2985"/>
      <c r="BZ230" s="2985"/>
      <c r="CA230" s="2985"/>
      <c r="CB230" s="2985"/>
      <c r="CC230" s="2985"/>
      <c r="CD230" s="2985"/>
      <c r="CE230" s="2985"/>
      <c r="CF230" s="2985"/>
      <c r="CG230" s="2985"/>
    </row>
    <row r="231" spans="1:87" x14ac:dyDescent="0.25">
      <c r="A231" s="2986" t="s">
        <v>573</v>
      </c>
      <c r="B231">
        <v>1.38</v>
      </c>
      <c r="C231">
        <v>1.99</v>
      </c>
      <c r="H231" s="2985"/>
      <c r="I231" s="2985"/>
      <c r="J231" s="2985"/>
      <c r="K231" s="2985"/>
      <c r="L231" s="2985"/>
      <c r="M231" s="2985"/>
      <c r="N231" s="2985"/>
      <c r="O231" s="2985"/>
      <c r="P231" s="2985"/>
      <c r="Q231" s="2985"/>
      <c r="R231" s="2985"/>
      <c r="S231" s="2985"/>
      <c r="T231" s="2985"/>
      <c r="U231" s="2985"/>
      <c r="V231" s="2985"/>
      <c r="W231" s="2985"/>
      <c r="X231" s="2985"/>
      <c r="Y231" s="2985"/>
      <c r="Z231" s="2985"/>
      <c r="AA231" s="2985"/>
      <c r="AB231" s="2985"/>
      <c r="AC231" s="2985"/>
      <c r="AD231" s="2985"/>
      <c r="AE231" s="2985"/>
      <c r="AF231" s="2985"/>
      <c r="AG231" s="2985"/>
      <c r="AH231" s="2985"/>
      <c r="AI231" s="2985"/>
      <c r="AJ231" s="2985"/>
      <c r="AK231" s="2985"/>
      <c r="AL231" s="2985"/>
      <c r="AM231" s="2985"/>
      <c r="AN231" s="2985"/>
      <c r="AO231" s="2985"/>
      <c r="AP231" s="2985"/>
      <c r="AQ231" s="2985"/>
      <c r="AR231" s="2985"/>
      <c r="AS231" s="2985"/>
      <c r="AT231" s="2985"/>
      <c r="AU231" s="2985"/>
      <c r="AV231" s="2985"/>
      <c r="AW231" s="2985"/>
      <c r="AX231" s="2985"/>
      <c r="AY231" s="2985"/>
      <c r="AZ231" s="2985"/>
      <c r="BA231" s="2985"/>
      <c r="BB231" s="2985"/>
      <c r="BC231" s="2985"/>
      <c r="BD231" s="2985"/>
      <c r="BE231" s="2985"/>
      <c r="BF231" s="2985"/>
      <c r="BG231" s="2985"/>
      <c r="BH231" s="2985"/>
      <c r="BI231" s="2985"/>
      <c r="BJ231" s="2985"/>
      <c r="BK231" s="2985"/>
      <c r="BL231" s="2985"/>
      <c r="BM231" s="2985"/>
      <c r="BN231" s="2985"/>
      <c r="BO231" s="2985"/>
      <c r="BP231" s="2985"/>
      <c r="BQ231" s="2985"/>
      <c r="BR231" s="2985"/>
      <c r="BS231" s="2985"/>
      <c r="BT231" s="2985"/>
      <c r="BU231" s="2985"/>
      <c r="BV231" s="2985"/>
      <c r="BW231" s="2985"/>
      <c r="BX231" s="2985"/>
      <c r="BY231" s="2985"/>
      <c r="BZ231" s="2985"/>
      <c r="CA231" s="2985"/>
      <c r="CB231" s="2985"/>
      <c r="CC231" s="2985"/>
      <c r="CD231" s="2985"/>
      <c r="CE231" s="2985"/>
      <c r="CF231" s="2985"/>
      <c r="CG231" s="2985"/>
    </row>
    <row r="232" spans="1:87" x14ac:dyDescent="0.25">
      <c r="A232" s="2987" t="s">
        <v>1238</v>
      </c>
      <c r="B232">
        <v>0.86</v>
      </c>
      <c r="C232">
        <v>0.48</v>
      </c>
      <c r="H232" s="2985"/>
      <c r="I232" s="2985"/>
      <c r="J232" s="2985"/>
      <c r="K232" s="2985"/>
      <c r="L232" s="2985"/>
      <c r="M232" s="2985"/>
      <c r="N232" s="2985"/>
      <c r="O232" s="2985"/>
      <c r="P232" s="2985"/>
      <c r="Q232" s="2985"/>
      <c r="R232" s="2985"/>
      <c r="S232" s="2985"/>
      <c r="T232" s="2985"/>
      <c r="U232" s="2985"/>
      <c r="V232" s="2985"/>
      <c r="W232" s="2985"/>
      <c r="X232" s="2985"/>
      <c r="Y232" s="2985"/>
      <c r="Z232" s="2985"/>
      <c r="AA232" s="2985"/>
      <c r="AB232" s="2985"/>
      <c r="AC232" s="2985"/>
      <c r="AD232" s="2985"/>
      <c r="AE232" s="2985"/>
      <c r="AF232" s="2985"/>
      <c r="AG232" s="2985"/>
      <c r="AH232" s="2985"/>
      <c r="AI232" s="2985"/>
      <c r="AJ232" s="2985"/>
      <c r="AK232" s="2985"/>
      <c r="AL232" s="2985"/>
      <c r="AM232" s="2985"/>
      <c r="AN232" s="2985"/>
      <c r="AO232" s="2985"/>
      <c r="AP232" s="2985"/>
      <c r="AQ232" s="2985"/>
      <c r="AR232" s="2985"/>
      <c r="AS232" s="2985"/>
      <c r="AT232" s="2985"/>
      <c r="AU232" s="2985"/>
      <c r="AV232" s="2985"/>
      <c r="AW232" s="2985"/>
      <c r="AX232" s="2985"/>
      <c r="AY232" s="2985"/>
      <c r="AZ232" s="2985"/>
      <c r="BA232" s="2985"/>
      <c r="BB232" s="2985"/>
      <c r="BC232" s="2985"/>
      <c r="BD232" s="2985"/>
      <c r="BE232" s="2985"/>
      <c r="BF232" s="2985"/>
      <c r="BG232" s="2985"/>
      <c r="BH232" s="2985"/>
      <c r="BI232" s="2985"/>
      <c r="BJ232" s="2985"/>
      <c r="BK232" s="2985"/>
      <c r="BL232" s="2985"/>
      <c r="BM232" s="2985"/>
      <c r="BN232" s="2985"/>
      <c r="BO232" s="2985"/>
      <c r="BP232" s="2985"/>
      <c r="BQ232" s="2985"/>
      <c r="BR232" s="2985"/>
      <c r="BS232" s="2985"/>
      <c r="BT232" s="2985"/>
      <c r="BU232" s="2985"/>
      <c r="BV232" s="2985"/>
      <c r="BW232" s="2985"/>
      <c r="BX232" s="2985"/>
      <c r="BY232" s="2985"/>
      <c r="BZ232" s="2985"/>
      <c r="CA232" s="2985"/>
      <c r="CB232" s="2985"/>
      <c r="CC232" s="2985"/>
      <c r="CD232" s="2985"/>
      <c r="CE232" s="2985"/>
      <c r="CF232" s="2985"/>
      <c r="CG232" s="2985"/>
    </row>
    <row r="233" spans="1:87" x14ac:dyDescent="0.25">
      <c r="A233" s="2988" t="s">
        <v>1240</v>
      </c>
      <c r="B233">
        <v>1.72</v>
      </c>
      <c r="C233">
        <v>1.48</v>
      </c>
      <c r="H233" s="2985"/>
      <c r="I233" s="2985"/>
      <c r="J233" s="2985"/>
      <c r="K233" s="2985"/>
      <c r="L233" s="2985"/>
      <c r="M233" s="2985"/>
      <c r="N233" s="2985"/>
      <c r="O233" s="2985"/>
      <c r="P233" s="2985"/>
      <c r="Q233" s="2985"/>
      <c r="R233" s="2985"/>
      <c r="S233" s="2985"/>
      <c r="T233" s="2985"/>
      <c r="U233" s="2985"/>
      <c r="V233" s="2985"/>
      <c r="W233" s="2985"/>
      <c r="X233" s="2985"/>
      <c r="Y233" s="2985"/>
      <c r="Z233" s="2985"/>
      <c r="AA233" s="2985"/>
      <c r="AB233" s="2985"/>
      <c r="AC233" s="2985"/>
      <c r="AD233" s="2985"/>
      <c r="AE233" s="2985"/>
      <c r="AF233" s="2985"/>
      <c r="AG233" s="2985"/>
      <c r="AH233" s="2985"/>
      <c r="AI233" s="2985"/>
      <c r="AJ233" s="2985"/>
      <c r="AK233" s="2985"/>
      <c r="AL233" s="2985"/>
      <c r="AM233" s="2985"/>
      <c r="AN233" s="2985"/>
      <c r="AO233" s="2985"/>
      <c r="AP233" s="2985"/>
      <c r="AQ233" s="2985"/>
      <c r="AR233" s="2985"/>
      <c r="AS233" s="2985"/>
      <c r="AT233" s="2985"/>
      <c r="AU233" s="2985"/>
      <c r="AV233" s="2985"/>
      <c r="AW233" s="2985"/>
      <c r="AX233" s="2985"/>
      <c r="AY233" s="2985"/>
      <c r="AZ233" s="2985"/>
      <c r="BA233" s="2985"/>
      <c r="BB233" s="2985"/>
      <c r="BC233" s="2985"/>
      <c r="BD233" s="2985"/>
      <c r="BE233" s="2985"/>
      <c r="BF233" s="2985"/>
      <c r="BG233" s="2985"/>
      <c r="BH233" s="2985"/>
      <c r="BI233" s="2985"/>
      <c r="BJ233" s="2985"/>
      <c r="BK233" s="2985"/>
      <c r="BL233" s="2985"/>
      <c r="BM233" s="2985"/>
      <c r="BN233" s="2985"/>
      <c r="BO233" s="2985"/>
      <c r="BP233" s="2985"/>
      <c r="BQ233" s="2985"/>
      <c r="BR233" s="2985"/>
      <c r="BS233" s="2985"/>
      <c r="BT233" s="2985"/>
      <c r="BU233" s="2985"/>
      <c r="BV233" s="2985"/>
      <c r="BW233" s="2985"/>
      <c r="BX233" s="2985"/>
      <c r="BY233" s="2985"/>
      <c r="BZ233" s="2985"/>
      <c r="CA233" s="2985"/>
      <c r="CB233" s="2985"/>
      <c r="CC233" s="2985"/>
      <c r="CD233" s="2985"/>
      <c r="CE233" s="2985"/>
      <c r="CF233" s="2985"/>
      <c r="CG233" s="2985"/>
    </row>
    <row r="234" spans="1:87" x14ac:dyDescent="0.25">
      <c r="A234" s="2989" t="s">
        <v>1241</v>
      </c>
      <c r="B234">
        <v>1.07</v>
      </c>
      <c r="C234">
        <v>1.27</v>
      </c>
      <c r="H234" s="2985"/>
      <c r="I234" s="2985"/>
      <c r="J234" s="2985"/>
      <c r="K234" s="2985"/>
      <c r="L234" s="2985"/>
      <c r="M234" s="2985"/>
      <c r="N234" s="2985"/>
      <c r="O234" s="2985"/>
      <c r="P234" s="2985"/>
      <c r="Q234" s="2985"/>
      <c r="R234" s="2985"/>
      <c r="S234" s="2985"/>
      <c r="T234" s="2985"/>
      <c r="U234" s="2985"/>
      <c r="V234" s="2985"/>
      <c r="W234" s="2985"/>
      <c r="X234" s="2985"/>
      <c r="Y234" s="2985"/>
      <c r="Z234" s="2985"/>
      <c r="AA234" s="2985"/>
      <c r="AB234" s="2985"/>
      <c r="AC234" s="2985"/>
      <c r="AD234" s="2985"/>
      <c r="AE234" s="2985"/>
      <c r="AF234" s="2985"/>
      <c r="AG234" s="2985"/>
      <c r="AH234" s="2985"/>
      <c r="AI234" s="2985"/>
      <c r="AJ234" s="2985"/>
      <c r="AK234" s="2985"/>
      <c r="AL234" s="2985"/>
      <c r="AM234" s="2985"/>
      <c r="AN234" s="2985"/>
      <c r="AO234" s="2985"/>
      <c r="AP234" s="2985"/>
      <c r="AQ234" s="2985"/>
      <c r="AR234" s="2985"/>
      <c r="AS234" s="2985"/>
      <c r="AT234" s="2985"/>
      <c r="AU234" s="2985"/>
      <c r="AV234" s="2985"/>
      <c r="AW234" s="2985"/>
      <c r="AX234" s="2985"/>
      <c r="AY234" s="2985"/>
      <c r="AZ234" s="2985"/>
      <c r="BA234" s="2985"/>
      <c r="BB234" s="2985"/>
      <c r="BC234" s="2985"/>
      <c r="BD234" s="2985"/>
      <c r="BE234" s="2985"/>
      <c r="BF234" s="2985"/>
      <c r="BG234" s="2985"/>
      <c r="BH234" s="2985"/>
      <c r="BI234" s="2985"/>
      <c r="BJ234" s="2985"/>
      <c r="BK234" s="2985"/>
      <c r="BL234" s="2985"/>
      <c r="BM234" s="2985"/>
      <c r="BN234" s="2985"/>
      <c r="BO234" s="2985"/>
      <c r="BP234" s="2985"/>
      <c r="BQ234" s="2985"/>
      <c r="BR234" s="2985"/>
      <c r="BS234" s="2985"/>
      <c r="BT234" s="2985"/>
      <c r="BU234" s="2985"/>
      <c r="BV234" s="2985"/>
      <c r="BW234" s="2985"/>
      <c r="BX234" s="2985"/>
      <c r="BY234" s="2985"/>
      <c r="BZ234" s="2985"/>
      <c r="CA234" s="2985"/>
      <c r="CB234" s="2985"/>
      <c r="CC234" s="2985"/>
      <c r="CD234" s="2985"/>
      <c r="CE234" s="2985"/>
      <c r="CF234" s="2985"/>
      <c r="CG234" s="2985"/>
    </row>
    <row r="235" spans="1:87" x14ac:dyDescent="0.25">
      <c r="A235" s="2990" t="s">
        <v>1242</v>
      </c>
      <c r="B235">
        <v>1.5</v>
      </c>
      <c r="C235">
        <v>1.45</v>
      </c>
      <c r="H235" s="2985"/>
      <c r="I235" s="2985"/>
      <c r="J235" s="2985"/>
      <c r="K235" s="2985"/>
      <c r="L235" s="2985"/>
      <c r="M235" s="2985"/>
      <c r="N235" s="2985"/>
      <c r="O235" s="2985"/>
      <c r="P235" s="2985"/>
      <c r="Q235" s="2985"/>
      <c r="R235" s="2985"/>
      <c r="S235" s="2985"/>
      <c r="T235" s="2985"/>
      <c r="U235" s="2985"/>
      <c r="V235" s="2985"/>
      <c r="W235" s="2985"/>
      <c r="X235" s="2985"/>
      <c r="Y235" s="2985"/>
      <c r="Z235" s="2985"/>
      <c r="AA235" s="2985"/>
      <c r="AB235" s="2985"/>
      <c r="AC235" s="2985"/>
      <c r="AD235" s="2985"/>
      <c r="AE235" s="2985"/>
      <c r="AF235" s="2985"/>
      <c r="AG235" s="2985"/>
      <c r="AH235" s="2985"/>
      <c r="AI235" s="2985"/>
      <c r="AJ235" s="2985"/>
      <c r="AK235" s="2985"/>
      <c r="AL235" s="2985"/>
      <c r="AM235" s="2985"/>
      <c r="AN235" s="2985"/>
      <c r="AO235" s="2985"/>
      <c r="AP235" s="2985"/>
      <c r="AQ235" s="2985"/>
      <c r="AR235" s="2985"/>
      <c r="AS235" s="2985"/>
      <c r="AT235" s="2985"/>
      <c r="AU235" s="2985"/>
      <c r="AV235" s="2985"/>
      <c r="AW235" s="2985"/>
      <c r="AX235" s="2985"/>
      <c r="AY235" s="2985"/>
      <c r="AZ235" s="2985"/>
      <c r="BA235" s="2985"/>
      <c r="BB235" s="2985"/>
      <c r="BC235" s="2985"/>
      <c r="BD235" s="2985"/>
      <c r="BE235" s="2985"/>
      <c r="BF235" s="2985"/>
      <c r="BG235" s="2985"/>
      <c r="BH235" s="2985"/>
      <c r="BI235" s="2985"/>
      <c r="BJ235" s="2985"/>
      <c r="BK235" s="2985"/>
      <c r="BL235" s="2985"/>
      <c r="BM235" s="2985"/>
      <c r="BN235" s="2985"/>
      <c r="BO235" s="2985"/>
      <c r="BP235" s="2985"/>
      <c r="BQ235" s="2985"/>
      <c r="BR235" s="2985"/>
      <c r="BS235" s="2985"/>
      <c r="BT235" s="2985"/>
      <c r="BU235" s="2985"/>
      <c r="BV235" s="2985"/>
      <c r="BW235" s="2985"/>
      <c r="BX235" s="2985"/>
      <c r="BY235" s="2985"/>
      <c r="BZ235" s="2985"/>
      <c r="CA235" s="2985"/>
      <c r="CB235" s="2985"/>
      <c r="CC235" s="2985"/>
      <c r="CD235" s="2985"/>
      <c r="CE235" s="2985"/>
      <c r="CF235" s="2985"/>
      <c r="CG235" s="2985"/>
    </row>
    <row r="236" spans="1:87" x14ac:dyDescent="0.25">
      <c r="A236" s="2991" t="s">
        <v>1244</v>
      </c>
      <c r="B236">
        <v>0.9</v>
      </c>
      <c r="C236">
        <v>1.05</v>
      </c>
      <c r="H236" s="2985"/>
      <c r="I236" s="2985"/>
      <c r="J236" s="2985"/>
      <c r="K236" s="2985"/>
      <c r="L236" s="2985"/>
      <c r="M236" s="2985"/>
      <c r="N236" s="2985"/>
      <c r="O236" s="2985"/>
      <c r="P236" s="2985"/>
      <c r="Q236" s="2985"/>
      <c r="R236" s="2985"/>
      <c r="S236" s="2985"/>
      <c r="T236" s="2985"/>
      <c r="U236" s="2985"/>
      <c r="V236" s="2985"/>
      <c r="W236" s="2985"/>
      <c r="X236" s="2985"/>
      <c r="Y236" s="2985"/>
      <c r="Z236" s="2985"/>
      <c r="AA236" s="2985"/>
      <c r="AB236" s="2985"/>
      <c r="AC236" s="2985"/>
      <c r="AD236" s="2985"/>
      <c r="AE236" s="2985"/>
      <c r="AF236" s="2985"/>
      <c r="AG236" s="2985"/>
      <c r="AH236" s="2985"/>
      <c r="AI236" s="2985"/>
      <c r="AJ236" s="2985"/>
      <c r="AK236" s="2985"/>
      <c r="AL236" s="2985"/>
      <c r="AM236" s="2985"/>
      <c r="AN236" s="2985"/>
      <c r="AO236" s="2985"/>
      <c r="AP236" s="2985"/>
      <c r="AQ236" s="2985"/>
      <c r="AR236" s="2985"/>
      <c r="AS236" s="2985"/>
      <c r="AT236" s="2985"/>
      <c r="AU236" s="2985"/>
      <c r="AV236" s="2985"/>
      <c r="AW236" s="2985"/>
      <c r="AX236" s="2985"/>
      <c r="AY236" s="2985"/>
      <c r="AZ236" s="2985"/>
      <c r="BA236" s="2985"/>
      <c r="BB236" s="2985"/>
      <c r="BC236" s="2985"/>
      <c r="BD236" s="2985"/>
      <c r="BE236" s="2985"/>
      <c r="BF236" s="2985"/>
      <c r="BG236" s="2985"/>
      <c r="BH236" s="2985"/>
      <c r="BI236" s="2985"/>
      <c r="BJ236" s="2985"/>
      <c r="BK236" s="2985"/>
      <c r="BL236" s="2985"/>
      <c r="BM236" s="2985"/>
      <c r="BN236" s="2985"/>
      <c r="BO236" s="2985"/>
      <c r="BP236" s="2985"/>
      <c r="BQ236" s="2985"/>
      <c r="BR236" s="2985"/>
      <c r="BS236" s="2985"/>
      <c r="BT236" s="2985"/>
      <c r="BU236" s="2985"/>
      <c r="BV236" s="2985"/>
      <c r="BW236" s="2985"/>
      <c r="BX236" s="2985"/>
      <c r="BY236" s="2985"/>
      <c r="BZ236" s="2985"/>
      <c r="CA236" s="2985"/>
      <c r="CB236" s="2985"/>
      <c r="CC236" s="2985"/>
      <c r="CD236" s="2985"/>
      <c r="CE236" s="2985"/>
      <c r="CF236" s="2985"/>
      <c r="CG236" s="2985"/>
    </row>
    <row r="237" spans="1:87" x14ac:dyDescent="0.25">
      <c r="A237" s="44" t="s">
        <v>1246</v>
      </c>
      <c r="B237" s="44"/>
      <c r="C237" s="44"/>
      <c r="D237" s="44"/>
      <c r="E237" s="44"/>
      <c r="H237" s="2985"/>
      <c r="I237" s="2985"/>
      <c r="J237" s="2985"/>
      <c r="K237" s="2985"/>
      <c r="L237" s="2985"/>
      <c r="M237" s="2985"/>
      <c r="N237" s="2985"/>
      <c r="O237" s="2985"/>
      <c r="P237" s="2985"/>
      <c r="Q237" s="2985"/>
      <c r="R237" s="2985"/>
      <c r="S237" s="2985"/>
      <c r="T237" s="2985"/>
      <c r="U237" s="2985"/>
      <c r="V237" s="2985"/>
      <c r="W237" s="2985"/>
      <c r="X237" s="2985"/>
      <c r="Y237" s="2985"/>
      <c r="Z237" s="2985"/>
      <c r="AA237" s="2985"/>
      <c r="AB237" s="2985"/>
      <c r="AC237" s="2985"/>
      <c r="AD237" s="2985"/>
      <c r="AE237" s="2985"/>
      <c r="AF237" s="2985"/>
      <c r="AG237" s="2985"/>
      <c r="AH237" s="2985"/>
      <c r="AI237" s="2985"/>
      <c r="AJ237" s="2985"/>
      <c r="AK237" s="2985"/>
      <c r="AL237" s="2985"/>
      <c r="AM237" s="2985"/>
      <c r="AN237" s="2985"/>
      <c r="AO237" s="2985"/>
      <c r="AP237" s="2985"/>
      <c r="AQ237" s="2985"/>
      <c r="AR237" s="2985"/>
      <c r="AS237" s="2985"/>
      <c r="AT237" s="2985"/>
      <c r="AU237" s="2985"/>
      <c r="AV237" s="2985"/>
      <c r="AW237" s="2985"/>
      <c r="AX237" s="2985"/>
      <c r="AY237" s="2985"/>
      <c r="AZ237" s="2985"/>
      <c r="BA237" s="2985"/>
      <c r="BB237" s="2985"/>
      <c r="BC237" s="2985"/>
      <c r="BD237" s="2985"/>
      <c r="BE237" s="2985"/>
      <c r="BF237" s="2985"/>
      <c r="BG237" s="2985"/>
      <c r="BH237" s="2985"/>
      <c r="BI237" s="2985"/>
      <c r="BJ237" s="2985"/>
      <c r="BK237" s="2985"/>
      <c r="BL237" s="2985"/>
      <c r="BM237" s="2985"/>
      <c r="BN237" s="2985"/>
      <c r="BO237" s="2985"/>
      <c r="BP237" s="2985"/>
      <c r="BQ237" s="2985"/>
      <c r="BR237" s="2985"/>
      <c r="BS237" s="2985"/>
      <c r="BT237" s="2985"/>
      <c r="BU237" s="2985"/>
      <c r="BV237" s="2985"/>
      <c r="BW237" s="2985"/>
      <c r="BX237" s="2985"/>
      <c r="BY237" s="2985"/>
      <c r="BZ237" s="2985"/>
      <c r="CA237" s="2985"/>
      <c r="CB237" s="2985"/>
      <c r="CC237" s="2985"/>
      <c r="CD237" s="2985"/>
      <c r="CE237" s="2985"/>
      <c r="CF237" s="2985"/>
      <c r="CG237" s="2985"/>
    </row>
    <row r="238" spans="1:87" x14ac:dyDescent="0.25">
      <c r="A238" s="2992" t="s">
        <v>1247</v>
      </c>
      <c r="B238">
        <v>1.29</v>
      </c>
      <c r="C238">
        <v>1.56</v>
      </c>
      <c r="H238" s="2985"/>
      <c r="I238" s="2985"/>
      <c r="J238" s="2985"/>
      <c r="K238" s="2985"/>
      <c r="L238" s="2985"/>
      <c r="M238" s="2985"/>
      <c r="N238" s="2985"/>
      <c r="O238" s="2985"/>
      <c r="P238" s="2985"/>
      <c r="Q238" s="2985"/>
      <c r="R238" s="2985"/>
      <c r="S238" s="2985"/>
      <c r="T238" s="2985"/>
      <c r="U238" s="2985"/>
      <c r="V238" s="2985"/>
      <c r="W238" s="2985"/>
      <c r="X238" s="2985"/>
      <c r="Y238" s="2985"/>
      <c r="Z238" s="2985"/>
      <c r="AA238" s="2985"/>
      <c r="AB238" s="2985"/>
      <c r="AC238" s="2985"/>
      <c r="AD238" s="2985"/>
      <c r="AE238" s="2985"/>
      <c r="AF238" s="2985"/>
      <c r="AG238" s="2985"/>
      <c r="AH238" s="2985"/>
      <c r="AI238" s="2985"/>
      <c r="AJ238" s="2985"/>
      <c r="AK238" s="2985"/>
      <c r="AL238" s="2985"/>
      <c r="AM238" s="2985"/>
      <c r="AN238" s="2985"/>
      <c r="AO238" s="2985"/>
      <c r="AP238" s="2985"/>
      <c r="AQ238" s="2985"/>
      <c r="AR238" s="2985"/>
      <c r="AS238" s="2985"/>
      <c r="AT238" s="2985"/>
      <c r="AU238" s="2985"/>
      <c r="AV238" s="2985"/>
      <c r="AW238" s="2985"/>
      <c r="AX238" s="2985"/>
      <c r="AY238" s="2985"/>
      <c r="AZ238" s="2985"/>
      <c r="BA238" s="2985"/>
      <c r="BB238" s="2985"/>
      <c r="BC238" s="2985"/>
      <c r="BD238" s="2985"/>
      <c r="BE238" s="2985"/>
      <c r="BF238" s="2985"/>
      <c r="BG238" s="2985"/>
      <c r="BH238" s="2985"/>
      <c r="BI238" s="2985"/>
      <c r="BJ238" s="2985"/>
      <c r="BK238" s="2985"/>
      <c r="BL238" s="2985"/>
      <c r="BM238" s="2985"/>
      <c r="BN238" s="2985"/>
      <c r="BO238" s="2985"/>
      <c r="BP238" s="2985"/>
      <c r="BQ238" s="2985"/>
      <c r="BR238" s="2985"/>
      <c r="BS238" s="2985"/>
      <c r="BT238" s="2985"/>
      <c r="BU238" s="2985"/>
      <c r="BV238" s="2985"/>
      <c r="BW238" s="2985"/>
      <c r="BX238" s="2985"/>
      <c r="BY238" s="2985"/>
      <c r="BZ238" s="2985"/>
      <c r="CA238" s="2985"/>
      <c r="CB238" s="2985"/>
      <c r="CC238" s="2985"/>
      <c r="CD238" s="2985"/>
      <c r="CE238" s="2985"/>
      <c r="CF238" s="2985"/>
      <c r="CG238" s="2985"/>
    </row>
    <row r="239" spans="1:87" x14ac:dyDescent="0.25">
      <c r="A239" s="2993" t="s">
        <v>1249</v>
      </c>
      <c r="B239">
        <v>1.42</v>
      </c>
      <c r="C239">
        <v>1.82</v>
      </c>
      <c r="H239" s="2985"/>
      <c r="I239" s="2985"/>
      <c r="J239" s="2985"/>
      <c r="K239" s="2985"/>
      <c r="L239" s="2985"/>
      <c r="M239" s="2985"/>
      <c r="N239" s="2985"/>
      <c r="O239" s="2985"/>
      <c r="P239" s="2985"/>
      <c r="Q239" s="2985"/>
      <c r="R239" s="2985"/>
      <c r="S239" s="2985"/>
      <c r="T239" s="2985"/>
      <c r="U239" s="2985"/>
      <c r="V239" s="2985"/>
      <c r="W239" s="2985"/>
      <c r="X239" s="2985"/>
      <c r="Y239" s="2985"/>
      <c r="Z239" s="2985"/>
      <c r="AA239" s="2985"/>
      <c r="AB239" s="2985"/>
      <c r="AC239" s="2985"/>
      <c r="AD239" s="2985"/>
      <c r="AE239" s="2985"/>
      <c r="AF239" s="2985"/>
      <c r="AG239" s="2985"/>
      <c r="AH239" s="2985"/>
      <c r="AI239" s="2985"/>
      <c r="AJ239" s="2985"/>
      <c r="AK239" s="2985"/>
      <c r="AL239" s="2985"/>
      <c r="AM239" s="2985"/>
      <c r="AN239" s="2985"/>
      <c r="AO239" s="2985"/>
      <c r="AP239" s="2985"/>
      <c r="AQ239" s="2985"/>
      <c r="AR239" s="2985"/>
      <c r="AS239" s="2985"/>
      <c r="AT239" s="2985"/>
      <c r="AU239" s="2985"/>
      <c r="AV239" s="2985"/>
      <c r="AW239" s="2985"/>
      <c r="AX239" s="2985"/>
      <c r="AY239" s="2985"/>
      <c r="AZ239" s="2985"/>
      <c r="BA239" s="2985"/>
      <c r="BB239" s="2985"/>
      <c r="BC239" s="2985"/>
      <c r="BD239" s="2985"/>
      <c r="BE239" s="2985"/>
      <c r="BF239" s="2985"/>
      <c r="BG239" s="2985"/>
      <c r="BH239" s="2985"/>
      <c r="BI239" s="2985"/>
      <c r="BJ239" s="2985"/>
      <c r="BK239" s="2985"/>
      <c r="BL239" s="2985"/>
      <c r="BM239" s="2985"/>
      <c r="BN239" s="2985"/>
      <c r="BO239" s="2985"/>
      <c r="BP239" s="2985"/>
      <c r="BQ239" s="2985"/>
      <c r="BR239" s="2985"/>
      <c r="BS239" s="2985"/>
      <c r="BT239" s="2985"/>
      <c r="BU239" s="2985"/>
      <c r="BV239" s="2985"/>
      <c r="BW239" s="2985"/>
      <c r="BX239" s="2985"/>
      <c r="BY239" s="2985"/>
      <c r="BZ239" s="2985"/>
      <c r="CA239" s="2985"/>
      <c r="CB239" s="2985"/>
      <c r="CC239" s="2985"/>
      <c r="CD239" s="2985"/>
      <c r="CE239" s="2985"/>
      <c r="CF239" s="2985"/>
      <c r="CG239" s="2985"/>
    </row>
    <row r="240" spans="1:87" ht="15.75" customHeight="1" x14ac:dyDescent="0.25">
      <c r="A240" s="35"/>
      <c r="B240" s="36">
        <f>AVERAGE(B3:B239)</f>
        <v>1.0785572139303479</v>
      </c>
      <c r="C240" s="36">
        <f>AVERAGE(C3:C239)</f>
        <v>1.0226203208556148</v>
      </c>
      <c r="D240" s="36">
        <f t="shared" ref="D240:E240" si="6">AVERAGE(D3:D239)</f>
        <v>0.86599999999999999</v>
      </c>
      <c r="E240" s="36">
        <f t="shared" si="6"/>
        <v>0.77888888888888896</v>
      </c>
      <c r="F240" s="36"/>
      <c r="G240" s="35"/>
      <c r="H240" s="2985"/>
      <c r="I240" s="2985"/>
      <c r="J240" s="2985"/>
      <c r="K240" s="2985"/>
      <c r="L240" s="2985"/>
      <c r="M240" s="2985"/>
      <c r="N240" s="2985"/>
      <c r="O240" s="2985"/>
      <c r="P240" s="2985"/>
      <c r="Q240" s="2985"/>
      <c r="R240" s="2985"/>
      <c r="S240" s="2985"/>
      <c r="T240" s="2985"/>
      <c r="U240" s="2985"/>
      <c r="V240" s="2985"/>
      <c r="W240" s="2985"/>
      <c r="X240" s="2985"/>
      <c r="Y240" s="2985"/>
      <c r="Z240" s="2985"/>
      <c r="AA240" s="2985"/>
      <c r="AB240" s="2985"/>
      <c r="AC240" s="2985"/>
      <c r="AD240" s="2985"/>
      <c r="AE240" s="2985"/>
      <c r="AF240" s="2985"/>
      <c r="AG240" s="2985"/>
      <c r="AH240" s="2985"/>
      <c r="AI240" s="2985"/>
      <c r="AJ240" s="2985"/>
      <c r="AK240" s="2985"/>
      <c r="AL240" s="2985"/>
      <c r="AM240" s="2985"/>
      <c r="AN240" s="2985"/>
      <c r="AO240" s="2985"/>
      <c r="AP240" s="2985"/>
      <c r="AQ240" s="2985"/>
      <c r="AR240" s="2985"/>
      <c r="AS240" s="2985"/>
      <c r="AT240" s="2985"/>
      <c r="AU240" s="2985"/>
      <c r="AV240" s="2985"/>
      <c r="AW240" s="2985"/>
      <c r="AX240" s="2985"/>
      <c r="AY240" s="2985"/>
      <c r="AZ240" s="2985"/>
      <c r="BA240" s="2985"/>
      <c r="BB240" s="2985"/>
      <c r="BC240" s="2985"/>
      <c r="BD240" s="2985"/>
      <c r="BE240" s="2985"/>
      <c r="BF240" s="2985"/>
      <c r="BG240" s="2985"/>
      <c r="BH240" s="2985"/>
      <c r="BI240" s="2985"/>
      <c r="BJ240" s="2985"/>
      <c r="BK240" s="2985"/>
      <c r="BL240" s="2985"/>
      <c r="BM240" s="2985"/>
      <c r="BN240" s="2985"/>
      <c r="BO240" s="2985"/>
      <c r="BP240" s="2985"/>
      <c r="BQ240" s="2985"/>
      <c r="BR240" s="2985"/>
      <c r="BS240" s="2985"/>
      <c r="BT240" s="2985"/>
      <c r="BU240" s="2985"/>
      <c r="BV240" s="2985"/>
      <c r="BW240" s="2985"/>
      <c r="BX240" s="2985"/>
      <c r="BY240" s="2985"/>
      <c r="BZ240" s="2985"/>
      <c r="CA240" s="2985"/>
      <c r="CB240" s="2985"/>
      <c r="CC240" s="2985"/>
      <c r="CD240" s="2985"/>
      <c r="CE240" s="2985"/>
      <c r="CF240" s="2985"/>
      <c r="CG240" s="2985"/>
    </row>
  </sheetData>
  <mergeCells count="18">
    <mergeCell ref="AF5:AI5"/>
    <mergeCell ref="AJ5:AM5"/>
    <mergeCell ref="AB3:AE3"/>
    <mergeCell ref="AB5:AE5"/>
    <mergeCell ref="AN3:AQ3"/>
    <mergeCell ref="AN5:AQ5"/>
    <mergeCell ref="AF3:AI3"/>
    <mergeCell ref="AJ3:AM3"/>
    <mergeCell ref="H3:K3"/>
    <mergeCell ref="L3:O3"/>
    <mergeCell ref="P3:S3"/>
    <mergeCell ref="T3:W3"/>
    <mergeCell ref="X3:AA3"/>
    <mergeCell ref="H5:K5"/>
    <mergeCell ref="L5:O5"/>
    <mergeCell ref="P5:S5"/>
    <mergeCell ref="T5:W5"/>
    <mergeCell ref="X5:AA5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07"/>
  <sheetViews>
    <sheetView workbookViewId="0">
      <pane ySplit="1" topLeftCell="A78" activePane="bottomLeft" state="frozen"/>
      <selection pane="bottomLeft" activeCell="N97" sqref="N97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8" width="5" customWidth="1"/>
    <col min="9" max="9" width="6" customWidth="1"/>
    <col min="10" max="10" width="4.140625" customWidth="1"/>
    <col min="11" max="11" width="6.140625" customWidth="1"/>
    <col min="12" max="12" width="5.5703125" customWidth="1"/>
    <col min="13" max="15" width="7.85546875" customWidth="1"/>
    <col min="16" max="16" width="7.140625" customWidth="1"/>
    <col min="17" max="17" width="7" customWidth="1"/>
    <col min="18" max="18" width="7.85546875" customWidth="1"/>
    <col min="19" max="19" width="9.85546875" customWidth="1"/>
    <col min="20" max="20" width="9.140625" customWidth="1"/>
    <col min="21" max="21" width="6.85546875" customWidth="1"/>
    <col min="22" max="22" width="6.7109375" customWidth="1"/>
    <col min="23" max="23" width="4.140625" customWidth="1"/>
    <col min="24" max="24" width="5.140625" customWidth="1"/>
    <col min="25" max="25" width="5.7109375" customWidth="1"/>
    <col min="26" max="26" width="8" customWidth="1"/>
    <col min="27" max="27" width="7.85546875" customWidth="1"/>
    <col min="28" max="28" width="6.42578125" customWidth="1"/>
    <col min="29" max="29" width="6.7109375" customWidth="1"/>
    <col min="30" max="30" width="6.42578125" customWidth="1"/>
    <col min="31" max="31" width="7.140625" customWidth="1"/>
    <col min="32" max="32" width="10.140625" customWidth="1"/>
    <col min="33" max="33" width="8.7109375" customWidth="1"/>
    <col min="34" max="34" width="5.7109375" customWidth="1"/>
    <col min="35" max="35" width="6.28515625" customWidth="1"/>
    <col min="36" max="36" width="5.140625" customWidth="1"/>
    <col min="37" max="37" width="6.5703125" customWidth="1"/>
    <col min="38" max="38" width="6" customWidth="1"/>
    <col min="39" max="39" width="8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3125" t="s">
        <v>1221</v>
      </c>
      <c r="CK1" s="3125"/>
      <c r="CL1" s="3125"/>
      <c r="CM1" s="3125"/>
      <c r="CN1" s="3125"/>
      <c r="CO1" s="3125"/>
      <c r="CP1" s="3120" t="s">
        <v>1223</v>
      </c>
      <c r="CQ1" s="3120"/>
      <c r="CR1" s="3120"/>
      <c r="CS1" s="3120"/>
      <c r="CT1" s="3120"/>
      <c r="CU1" s="3120"/>
      <c r="CV1" s="3122" t="s">
        <v>1214</v>
      </c>
      <c r="CW1" s="3122"/>
      <c r="CX1" s="3122"/>
      <c r="CY1" s="3122"/>
      <c r="CZ1" s="3122"/>
      <c r="DA1" s="3122"/>
      <c r="DB1" s="3126" t="s">
        <v>1232</v>
      </c>
      <c r="DC1" s="3126"/>
      <c r="DD1" s="3126"/>
      <c r="DE1" s="3126"/>
      <c r="DF1" s="3126"/>
      <c r="DG1" s="3126"/>
      <c r="DH1" s="3122" t="s">
        <v>1066</v>
      </c>
      <c r="DI1" s="3122"/>
      <c r="DJ1" s="3122"/>
      <c r="DK1" s="3122"/>
      <c r="DL1" s="3122"/>
      <c r="DM1" s="3122"/>
      <c r="DN1" s="3120" t="s">
        <v>997</v>
      </c>
      <c r="DO1" s="3120"/>
      <c r="DP1" s="3120"/>
      <c r="DQ1" s="3120"/>
      <c r="DR1" s="3120"/>
      <c r="DS1" s="3120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AVERAGE(B14,B18,B22,B29,B32,B34,B38,B39,B45,B51,B64,B70,B74,B82,B88,B92,B96,B100,B101,B103)</f>
        <v>1.0682352941176469</v>
      </c>
      <c r="CK2" s="1">
        <f t="shared" ref="CK2:CM2" si="0">AVERAGE(C14,C18,C22,C29,C32,C34,C38,C39,C45,C51,C64,C70,C74,C82,C88,C92,C96,C100,C101,C103)</f>
        <v>1.0658823529411765</v>
      </c>
      <c r="CL2" s="1">
        <f t="shared" si="0"/>
        <v>0.97750000000000004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AVERAGE(B3,B7,B8,B12,B15,B19,B20,B24,B26,B28,B30,B37,B40,B46,B48,B50,B69,B72,B73,B75,B79,B81,B84,B90,B91,B94,B97,B102,B104)</f>
        <v>1.2237037037037037</v>
      </c>
      <c r="CQ2" s="1">
        <f t="shared" ref="CQ2:CS2" si="1">AVERAGE(C3,C7,C8,C12,C15,C19,C20,C24,C26,C28,C30,C37,C40,C46,C48,C50,C69,C72,C73,C75,C79,C81,C84,C90,C91,C94,C97,C102,C104)</f>
        <v>1.0722222222222222</v>
      </c>
      <c r="CR2" s="1">
        <f t="shared" si="1"/>
        <v>0.94625000000000004</v>
      </c>
      <c r="CS2" s="1" t="e">
        <f t="shared" si="1"/>
        <v>#DIV/0!</v>
      </c>
      <c r="CT2" s="1"/>
      <c r="CU2" s="1"/>
      <c r="CV2" s="1">
        <f>AVERAGE(B9,B11,B36,B44,B52,B58,B68,B86,B98)</f>
        <v>1.2244444444444447</v>
      </c>
      <c r="CW2" s="1">
        <f t="shared" ref="CW2:CY2" si="2">AVERAGE(C9,C11,C36,C44,C52,C58,C68,C86,C98)</f>
        <v>1.1522222222222223</v>
      </c>
      <c r="CX2" s="1">
        <f t="shared" si="2"/>
        <v>0.98857142857142843</v>
      </c>
      <c r="CY2" s="1" t="e">
        <f t="shared" si="2"/>
        <v>#DIV/0!</v>
      </c>
      <c r="CZ2" s="1"/>
      <c r="DA2" s="1"/>
      <c r="DB2" s="1">
        <f>AVERAGE(B13,B41,B56,B93,B106)</f>
        <v>1.2325000000000002</v>
      </c>
      <c r="DC2" s="1">
        <f t="shared" ref="DC2:DE2" si="3">AVERAGE(C13,C41,C56,C93,C106)</f>
        <v>1.0550000000000002</v>
      </c>
      <c r="DD2" s="1">
        <f t="shared" si="3"/>
        <v>0.97000000000000008</v>
      </c>
      <c r="DE2" s="1" t="e">
        <f t="shared" si="3"/>
        <v>#DIV/0!</v>
      </c>
      <c r="DF2" s="1"/>
      <c r="DG2" s="1"/>
      <c r="DH2" s="1">
        <f>AVERAGE(B53)</f>
        <v>1.18</v>
      </c>
      <c r="DI2" s="1">
        <f t="shared" ref="DI2:DK2" si="4">AVERAGE(C53)</f>
        <v>0.93</v>
      </c>
      <c r="DJ2" s="1">
        <f t="shared" si="4"/>
        <v>0.81</v>
      </c>
      <c r="DK2" s="1" t="e">
        <f t="shared" si="4"/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3101">
        <f>_xlfn.AGGREGATE(1,6,CJ2:CO2)</f>
        <v>1.0372058823529411</v>
      </c>
      <c r="CK3" s="3101"/>
      <c r="CL3" s="3101"/>
      <c r="CM3" s="3101"/>
      <c r="CN3" s="3101"/>
      <c r="CO3" s="3101"/>
      <c r="CP3" s="3101">
        <f t="shared" ref="CP3" si="6">_xlfn.AGGREGATE(1,6,CP2:CU2)</f>
        <v>1.0807253086419752</v>
      </c>
      <c r="CQ3" s="3101"/>
      <c r="CR3" s="3101"/>
      <c r="CS3" s="3101"/>
      <c r="CT3" s="3101"/>
      <c r="CU3" s="3101"/>
      <c r="CV3" s="3101">
        <f t="shared" ref="CV3" si="7">_xlfn.AGGREGATE(1,6,CV2:DA2)</f>
        <v>1.1217460317460317</v>
      </c>
      <c r="CW3" s="3101"/>
      <c r="CX3" s="3101"/>
      <c r="CY3" s="3101"/>
      <c r="CZ3" s="3101"/>
      <c r="DA3" s="3101"/>
      <c r="DB3" s="3101">
        <f t="shared" ref="DB3" si="8">_xlfn.AGGREGATE(1,6,DB2:DG2)</f>
        <v>1.0858333333333337</v>
      </c>
      <c r="DC3" s="3101"/>
      <c r="DD3" s="3101"/>
      <c r="DE3" s="3101"/>
      <c r="DF3" s="3101"/>
      <c r="DG3" s="3101"/>
      <c r="DH3" s="3101">
        <f t="shared" ref="DH3" si="9">_xlfn.AGGREGATE(1,6,DH2:DM2)</f>
        <v>0.97333333333333327</v>
      </c>
      <c r="DI3" s="3101"/>
      <c r="DJ3" s="3101"/>
      <c r="DK3" s="3101"/>
      <c r="DL3" s="3101"/>
      <c r="DM3" s="3101"/>
      <c r="DN3" s="3101" t="e">
        <f t="shared" ref="DN3" si="10">_xlfn.AGGREGATE(1,6,DN2:DS2)</f>
        <v>#DIV/0!</v>
      </c>
      <c r="DO3" s="3101"/>
      <c r="DP3" s="3101"/>
      <c r="DQ3" s="3101"/>
      <c r="DR3" s="3101"/>
      <c r="DS3" s="3101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3122" t="s">
        <v>1170</v>
      </c>
      <c r="CK4" s="3122"/>
      <c r="CL4" s="3122"/>
      <c r="CM4" s="3122"/>
      <c r="CN4" s="3122"/>
      <c r="CO4" s="3122"/>
      <c r="CP4" s="3119" t="s">
        <v>993</v>
      </c>
      <c r="CQ4" s="3119"/>
      <c r="CR4" s="3119"/>
      <c r="CS4" s="3119"/>
      <c r="CT4" s="3119"/>
      <c r="CU4" s="3119"/>
      <c r="CV4" s="3120" t="s">
        <v>994</v>
      </c>
      <c r="CW4" s="3120"/>
      <c r="CX4" s="3120"/>
      <c r="CY4" s="3120"/>
      <c r="CZ4" s="3120"/>
      <c r="DA4" s="3120"/>
      <c r="DB4" s="3122" t="s">
        <v>995</v>
      </c>
      <c r="DC4" s="3122"/>
      <c r="DD4" s="3122"/>
      <c r="DE4" s="3122"/>
      <c r="DF4" s="3122"/>
      <c r="DG4" s="3122"/>
      <c r="DH4" s="3120" t="s">
        <v>996</v>
      </c>
      <c r="DI4" s="3120"/>
      <c r="DJ4" s="3120"/>
      <c r="DK4" s="3120"/>
      <c r="DL4" s="3120"/>
      <c r="DM4" s="3120"/>
      <c r="DN4" s="3126" t="s">
        <v>1196</v>
      </c>
      <c r="DO4" s="3126"/>
      <c r="DP4" s="3126"/>
      <c r="DQ4" s="3126"/>
      <c r="DR4" s="3126"/>
      <c r="DS4" s="3126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AVERAGE(B23,B54,B65,B76)</f>
        <v>1.0625</v>
      </c>
      <c r="CK5" s="1">
        <f t="shared" ref="CK5:CM5" si="11">AVERAGE(C23,C54,C65,C76)</f>
        <v>1.2225000000000001</v>
      </c>
      <c r="CL5" s="1">
        <f t="shared" si="11"/>
        <v>0.97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AVERAGE(B31,B35,B43,B55,B60,B62,B66,B78,B87)</f>
        <v>1.0300000000000002</v>
      </c>
      <c r="DO5" s="1">
        <f t="shared" ref="DO5:DQ5" si="16">AVERAGE(C31,C35,C43,C55,C60,C62,C66,C78,C87)</f>
        <v>1.0055555555555555</v>
      </c>
      <c r="DP5" s="1">
        <f t="shared" si="16"/>
        <v>1.1287499999999999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3101">
        <f>_xlfn.AGGREGATE(1,6,CJ5:CO5)</f>
        <v>1.085</v>
      </c>
      <c r="CK6" s="3101"/>
      <c r="CL6" s="3101"/>
      <c r="CM6" s="3101"/>
      <c r="CN6" s="3101"/>
      <c r="CO6" s="3101"/>
      <c r="CP6" s="3101" t="e">
        <f t="shared" ref="CP6" si="17">_xlfn.AGGREGATE(1,6,CP5:CU5)</f>
        <v>#DIV/0!</v>
      </c>
      <c r="CQ6" s="3101"/>
      <c r="CR6" s="3101"/>
      <c r="CS6" s="3101"/>
      <c r="CT6" s="3101"/>
      <c r="CU6" s="3101"/>
      <c r="CV6" s="3101" t="e">
        <f t="shared" ref="CV6" si="18">_xlfn.AGGREGATE(1,6,CV5:DA5)</f>
        <v>#DIV/0!</v>
      </c>
      <c r="CW6" s="3101"/>
      <c r="CX6" s="3101"/>
      <c r="CY6" s="3101"/>
      <c r="CZ6" s="3101"/>
      <c r="DA6" s="3101"/>
      <c r="DB6" s="3101">
        <f t="shared" ref="DB6" si="19">_xlfn.AGGREGATE(1,6,DB5:DG5)</f>
        <v>1.0416666666666667</v>
      </c>
      <c r="DC6" s="3101"/>
      <c r="DD6" s="3101"/>
      <c r="DE6" s="3101"/>
      <c r="DF6" s="3101"/>
      <c r="DG6" s="3101"/>
      <c r="DH6" s="3101" t="e">
        <f t="shared" ref="DH6" si="20">_xlfn.AGGREGATE(1,6,DH5:DM5)</f>
        <v>#DIV/0!</v>
      </c>
      <c r="DI6" s="3101"/>
      <c r="DJ6" s="3101"/>
      <c r="DK6" s="3101"/>
      <c r="DL6" s="3101"/>
      <c r="DM6" s="3101"/>
      <c r="DN6" s="3101">
        <f t="shared" ref="DN6" si="21">_xlfn.AGGREGATE(1,6,DN5:DS5)</f>
        <v>1.0547685185185187</v>
      </c>
      <c r="DO6" s="3101"/>
      <c r="DP6" s="3101"/>
      <c r="DQ6" s="3101"/>
      <c r="DR6" s="3101"/>
      <c r="DS6" s="3101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1067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1068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1069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1070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1071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1099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1082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1107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1127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1128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1129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1140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1152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1153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1155</v>
      </c>
    </row>
    <row r="70" spans="1:84" x14ac:dyDescent="0.25">
      <c r="A70" s="1986" t="s">
        <v>1154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1157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1166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1167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1168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1169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1171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1186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1177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1187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1188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1179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1189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1190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1195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1197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1193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1198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1199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1200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1201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1208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1211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105" x14ac:dyDescent="0.25">
      <c r="A97" s="2768" t="s">
        <v>1212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105" x14ac:dyDescent="0.25">
      <c r="A98" s="2781" t="s">
        <v>1213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105" x14ac:dyDescent="0.25">
      <c r="A99" s="40" t="s">
        <v>1216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105" x14ac:dyDescent="0.25">
      <c r="A100" s="2806" t="s">
        <v>1217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105" x14ac:dyDescent="0.25">
      <c r="A101" s="2819" t="s">
        <v>1218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105" x14ac:dyDescent="0.25">
      <c r="A102" s="2832" t="s">
        <v>1219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105" x14ac:dyDescent="0.25">
      <c r="A103" s="2845" t="s">
        <v>1220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105" x14ac:dyDescent="0.25">
      <c r="A104" s="2858" t="s">
        <v>1222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105" x14ac:dyDescent="0.25">
      <c r="A105" s="44" t="s">
        <v>1227</v>
      </c>
      <c r="B105" s="44"/>
      <c r="C105" s="44"/>
      <c r="D105" s="44"/>
      <c r="E105" s="44"/>
      <c r="F105" s="2960"/>
      <c r="N105" s="2961"/>
      <c r="S105" s="2962"/>
      <c r="AA105" s="2963"/>
      <c r="AF105" s="2964"/>
      <c r="AN105" s="2965"/>
      <c r="AS105" s="2966"/>
      <c r="BA105" s="2967"/>
      <c r="BF105" s="2968"/>
      <c r="BN105" s="2969"/>
      <c r="BS105" s="2970"/>
      <c r="CA105" s="2971"/>
    </row>
    <row r="106" spans="1:105" x14ac:dyDescent="0.25">
      <c r="A106" s="2972" t="s">
        <v>1231</v>
      </c>
      <c r="B106">
        <v>1.45</v>
      </c>
      <c r="C106">
        <v>1.18</v>
      </c>
      <c r="D106">
        <v>1.3</v>
      </c>
      <c r="F106" s="2973">
        <v>2</v>
      </c>
      <c r="G106">
        <v>5</v>
      </c>
      <c r="H106">
        <v>0</v>
      </c>
      <c r="I106">
        <v>0</v>
      </c>
      <c r="J106">
        <v>0</v>
      </c>
      <c r="K106">
        <v>0</v>
      </c>
      <c r="L106">
        <v>4</v>
      </c>
      <c r="M106">
        <v>0</v>
      </c>
      <c r="N106" s="2974">
        <v>0</v>
      </c>
      <c r="O106">
        <v>0</v>
      </c>
      <c r="P106">
        <v>0</v>
      </c>
      <c r="Q106">
        <v>0</v>
      </c>
      <c r="R106">
        <v>0</v>
      </c>
      <c r="S106" s="2975">
        <v>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</v>
      </c>
      <c r="Z106">
        <v>0</v>
      </c>
      <c r="AA106" s="2976">
        <v>0</v>
      </c>
      <c r="AB106">
        <v>0</v>
      </c>
      <c r="AC106">
        <v>0</v>
      </c>
      <c r="AD106">
        <v>0</v>
      </c>
      <c r="AE106">
        <v>0</v>
      </c>
      <c r="AF106" s="2977">
        <v>1</v>
      </c>
      <c r="AG106">
        <v>4</v>
      </c>
      <c r="AH106">
        <v>1</v>
      </c>
      <c r="AI106">
        <v>1</v>
      </c>
      <c r="AJ106">
        <v>0</v>
      </c>
      <c r="AK106">
        <v>0</v>
      </c>
      <c r="AL106">
        <v>3</v>
      </c>
      <c r="AM106">
        <v>0</v>
      </c>
      <c r="AN106" s="2978">
        <v>0</v>
      </c>
      <c r="AO106">
        <v>0</v>
      </c>
      <c r="AP106">
        <v>0</v>
      </c>
      <c r="AQ106">
        <v>0</v>
      </c>
      <c r="AR106">
        <v>0</v>
      </c>
      <c r="AS106" s="2979"/>
      <c r="BA106" s="2980"/>
      <c r="BF106" s="2981"/>
      <c r="BN106" s="2982"/>
      <c r="BS106" s="2983"/>
      <c r="CA106" s="2984"/>
    </row>
    <row r="107" spans="1:105" x14ac:dyDescent="0.25">
      <c r="B107" s="1">
        <f>AVERAGE(B3:B106)</f>
        <v>1.1589873417721519</v>
      </c>
      <c r="C107" s="1">
        <f t="shared" ref="C107:E107" si="22">AVERAGE(C3:C106)</f>
        <v>1.0694936708860765</v>
      </c>
      <c r="D107" s="1">
        <f>AVERAGE(D3:D106)</f>
        <v>1.0201785714285714</v>
      </c>
      <c r="E107" s="1" t="e">
        <f t="shared" si="22"/>
        <v>#DIV/0!</v>
      </c>
      <c r="F107" s="2">
        <f>AVERAGE(F3:F106)</f>
        <v>0.64556962025316456</v>
      </c>
      <c r="G107" s="2">
        <f>AVERAGE(G3:G106)</f>
        <v>2.6708860759493671</v>
      </c>
      <c r="H107" s="2">
        <f t="shared" ref="H107:AP107" si="23">AVERAGE(H3:H106)</f>
        <v>0.98734177215189878</v>
      </c>
      <c r="I107" s="2">
        <f t="shared" si="23"/>
        <v>0.13924050632911392</v>
      </c>
      <c r="J107" s="2">
        <f t="shared" si="23"/>
        <v>2.5316455696202531E-2</v>
      </c>
      <c r="K107" s="2">
        <f t="shared" si="23"/>
        <v>0.12658227848101267</v>
      </c>
      <c r="L107" s="2">
        <f t="shared" si="23"/>
        <v>2.3670886075949369</v>
      </c>
      <c r="M107" s="2">
        <f t="shared" si="23"/>
        <v>0.58227848101265822</v>
      </c>
      <c r="N107" s="2">
        <f t="shared" si="23"/>
        <v>0.26582278481012656</v>
      </c>
      <c r="O107" s="2">
        <f t="shared" si="23"/>
        <v>3.7974683544303799E-2</v>
      </c>
      <c r="P107" s="2">
        <f t="shared" si="23"/>
        <v>2.5316455696202531E-2</v>
      </c>
      <c r="Q107" s="2">
        <f t="shared" si="23"/>
        <v>0</v>
      </c>
      <c r="R107" s="2">
        <f t="shared" si="23"/>
        <v>0</v>
      </c>
      <c r="S107" s="2">
        <f t="shared" si="23"/>
        <v>0.41772151898734178</v>
      </c>
      <c r="T107" s="2">
        <f t="shared" si="23"/>
        <v>0.91139240506329111</v>
      </c>
      <c r="U107" s="2">
        <f t="shared" si="23"/>
        <v>0.67088607594936711</v>
      </c>
      <c r="V107" s="2">
        <f t="shared" si="23"/>
        <v>0.13924050632911392</v>
      </c>
      <c r="W107" s="2">
        <f t="shared" si="23"/>
        <v>5.0632911392405063E-2</v>
      </c>
      <c r="X107" s="2">
        <f t="shared" si="23"/>
        <v>0.26582278481012656</v>
      </c>
      <c r="Y107" s="2">
        <f t="shared" si="23"/>
        <v>3.1898734177215191</v>
      </c>
      <c r="Z107" s="2">
        <f t="shared" si="23"/>
        <v>0.50632911392405067</v>
      </c>
      <c r="AA107" s="2">
        <f t="shared" si="23"/>
        <v>0.27848101265822783</v>
      </c>
      <c r="AB107" s="2">
        <f t="shared" si="23"/>
        <v>0.189873417721519</v>
      </c>
      <c r="AC107" s="2">
        <f t="shared" si="23"/>
        <v>7.5949367088607597E-2</v>
      </c>
      <c r="AD107" s="2">
        <f t="shared" si="23"/>
        <v>1.2658227848101266E-2</v>
      </c>
      <c r="AE107" s="2">
        <f t="shared" si="23"/>
        <v>0</v>
      </c>
      <c r="AF107" s="2">
        <f t="shared" si="23"/>
        <v>1.0892857142857142</v>
      </c>
      <c r="AG107" s="2">
        <f t="shared" si="23"/>
        <v>1.6071428571428572</v>
      </c>
      <c r="AH107" s="2">
        <f t="shared" si="23"/>
        <v>0.6071428571428571</v>
      </c>
      <c r="AI107" s="2">
        <f t="shared" si="23"/>
        <v>0.17857142857142858</v>
      </c>
      <c r="AJ107" s="2">
        <f t="shared" si="23"/>
        <v>1.7857142857142856E-2</v>
      </c>
      <c r="AK107" s="2">
        <f t="shared" si="23"/>
        <v>0.2857142857142857</v>
      </c>
      <c r="AL107" s="2">
        <f t="shared" si="23"/>
        <v>2.5714285714285716</v>
      </c>
      <c r="AM107" s="2">
        <f t="shared" si="23"/>
        <v>0.4107142857142857</v>
      </c>
      <c r="AN107" s="2">
        <f t="shared" si="23"/>
        <v>0.39285714285714285</v>
      </c>
      <c r="AO107" s="2">
        <f t="shared" si="23"/>
        <v>0.14285714285714285</v>
      </c>
      <c r="AP107" s="2">
        <f t="shared" si="23"/>
        <v>5.3571428571428568E-2</v>
      </c>
      <c r="AQ107" s="47"/>
      <c r="AR107" s="47"/>
      <c r="AS107" s="47"/>
      <c r="AT107" s="47"/>
      <c r="AU107" s="47"/>
      <c r="AV107" s="47"/>
      <c r="AW107" s="47"/>
      <c r="AX107" s="47"/>
      <c r="AY107" s="47"/>
      <c r="AZ107" s="47"/>
      <c r="BA107" s="47"/>
      <c r="BB107" s="47"/>
      <c r="BC107" s="47"/>
      <c r="BD107" s="47"/>
      <c r="BE107" s="47"/>
      <c r="BF107" s="47"/>
      <c r="BG107" s="47"/>
      <c r="BH107" s="47"/>
      <c r="BI107" s="47"/>
      <c r="BJ107" s="47"/>
      <c r="BK107" s="47"/>
      <c r="BL107" s="47"/>
      <c r="BM107" s="47"/>
      <c r="BN107" s="47"/>
      <c r="BO107" s="47"/>
      <c r="BP107" s="47"/>
      <c r="BQ107" s="47"/>
      <c r="BR107" s="47"/>
      <c r="BS107" s="47"/>
      <c r="BT107" s="47"/>
      <c r="BU107" s="47"/>
      <c r="BV107" s="47"/>
      <c r="BW107" s="47"/>
      <c r="BX107" s="47"/>
      <c r="BY107" s="47"/>
      <c r="BZ107" s="47"/>
      <c r="CA107" s="47"/>
      <c r="CB107" s="47"/>
      <c r="CC107" s="47"/>
      <c r="CF107" s="344"/>
      <c r="CG107" s="344"/>
      <c r="CH107" s="344"/>
      <c r="CI107" s="344"/>
      <c r="CJ107" s="344"/>
      <c r="CK107" s="344"/>
      <c r="CL107" s="344"/>
      <c r="CM107" s="344"/>
      <c r="CN107" s="344"/>
      <c r="CO107" s="344"/>
      <c r="CP107" s="344"/>
      <c r="CQ107" s="344"/>
      <c r="CR107" s="344"/>
      <c r="CS107" s="344"/>
      <c r="CT107" s="344"/>
      <c r="CU107" s="344"/>
      <c r="CV107" s="344"/>
      <c r="CW107" s="344"/>
      <c r="CX107" s="344"/>
      <c r="CY107" s="344"/>
      <c r="CZ107" s="344"/>
      <c r="DA107" s="344"/>
    </row>
  </sheetData>
  <mergeCells count="24"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277"/>
  <sheetViews>
    <sheetView tabSelected="1" topLeftCell="DM1" workbookViewId="0">
      <pane ySplit="1" topLeftCell="A2" activePane="bottomLeft" state="frozen"/>
      <selection pane="bottomLeft" activeCell="EI5" sqref="EI5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3133" t="s">
        <v>1259</v>
      </c>
      <c r="CK1" s="3134"/>
      <c r="CL1" s="3134"/>
      <c r="CM1" s="3134"/>
      <c r="CN1" s="3134"/>
      <c r="CO1" s="3135"/>
      <c r="CP1" s="3130" t="s">
        <v>1261</v>
      </c>
      <c r="CQ1" s="3131"/>
      <c r="CR1" s="3131"/>
      <c r="CS1" s="3131"/>
      <c r="CT1" s="3131"/>
      <c r="CU1" s="3132"/>
      <c r="CV1" s="3133" t="s">
        <v>1148</v>
      </c>
      <c r="CW1" s="3134"/>
      <c r="CX1" s="3134"/>
      <c r="CY1" s="3134"/>
      <c r="CZ1" s="3134"/>
      <c r="DA1" s="3135"/>
      <c r="DB1" s="3137" t="s">
        <v>1255</v>
      </c>
      <c r="DC1" s="3134"/>
      <c r="DD1" s="3134"/>
      <c r="DE1" s="3134"/>
      <c r="DF1" s="3134"/>
      <c r="DG1" s="3135"/>
      <c r="DH1" s="3138" t="s">
        <v>1257</v>
      </c>
      <c r="DI1" s="3139"/>
      <c r="DJ1" s="3139"/>
      <c r="DK1" s="3139"/>
      <c r="DL1" s="3139"/>
      <c r="DM1" s="3140"/>
      <c r="DN1" s="3130" t="s">
        <v>991</v>
      </c>
      <c r="DO1" s="3131"/>
      <c r="DP1" s="3131"/>
      <c r="DQ1" s="3131"/>
      <c r="DR1" s="3131"/>
      <c r="DS1" s="3132"/>
      <c r="DT1" s="3130" t="s">
        <v>992</v>
      </c>
      <c r="DU1" s="3131"/>
      <c r="DV1" s="3131"/>
      <c r="DW1" s="3131"/>
      <c r="DX1" s="3131"/>
      <c r="DY1" s="3132"/>
      <c r="DZ1" s="3127" t="s">
        <v>1123</v>
      </c>
      <c r="EA1" s="3128"/>
      <c r="EB1" s="3128"/>
      <c r="EC1" s="3128"/>
      <c r="ED1" s="3128"/>
      <c r="EE1" s="3129"/>
      <c r="EF1" s="3127" t="s">
        <v>1183</v>
      </c>
      <c r="EG1" s="3128"/>
      <c r="EH1" s="3128"/>
      <c r="EI1" s="3128"/>
      <c r="EJ1" s="3128"/>
      <c r="EK1" s="3129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AVERAGE(B3,B11,B19,B26,B42,B44,B52,B55,B61,B69,B76,B84,B85,B88,B94,B109,B118,B125,B129,B149,B151,B145,B157,B175,B179,B195,B204,B212,B218,B224,B229,B238,B244,B264,B267,B274)</f>
        <v>1.1342857142857141</v>
      </c>
      <c r="CK2" s="1">
        <f>AVERAGE(C3,C11,C19,C26,C42,C44,C52,C55,C61,C69,C76,C84,C85,C88,C94,C109,C118,C125,C129,C149,C151,C145,C157,C175,C179,C195,C204,C212,C218,C224,C229,C238,C244,C264,C267,C274)</f>
        <v>1.190625</v>
      </c>
      <c r="CL2" s="1">
        <f>AVERAGE(D3,D11,D19,D26,D42,D44,D52,D55,D61,D69,D76,D84,D85,D88,D94,D109,D118,D125,D129,D149,D151,D145,D157,D175,D179,D195,D204,D212,D218,D224,D229,D238,D244,D264,D267)</f>
        <v>1.2495238095238095</v>
      </c>
      <c r="CM2" s="1">
        <f>AVERAGE(E3,E11,E19,E26,E42,E44,E52,E55,E61,E69,E76,E84,E85,E88,E94,E109,E118,E125,E129,E149,E151,E145,E157,E175,E179,E195,E204,E212,E218,E224,E229,E238,E244,E264,E267)</f>
        <v>0.48000000000000004</v>
      </c>
      <c r="CN2" s="1">
        <f>AVERAGE(F3,F11,F19,F26,F42,F44,F52,F55,F61,F69,F76,F84,F85,F88,F94,F109,F118,F125,F129,F149,F151,F145,F157,F175,F179,F195,F204,F212,F218,F224,F229,F238,F244,F264,F267)</f>
        <v>1.58</v>
      </c>
      <c r="CO2" s="1">
        <f>AVERAGE(G3,G11,G19,G26,G42,G44,G52,G55,G61,G69,G76,G84,G85,G88,G94,G109,G118,G125,G129,G149,G151,G145,G157,G175,G179,G195,G204,G212,G218,G224,G229,G238,G244,G264,G267)</f>
        <v>0.87000000000000011</v>
      </c>
      <c r="CP2" s="1">
        <f>AVERAGE(B10,B17,B28,B33,B40,B50,B53,B64,B70,B77,B86,B90,B96,B102,B105,B111,B115,B123,B130,B140,B148,B167,B184,B192,B199,B217,B232,B275)</f>
        <v>1.1522222222222225</v>
      </c>
      <c r="CQ2" s="1">
        <f t="shared" ref="CQ2:CU2" si="0">AVERAGE(C10,C17,C28,C33,C40,C50,C53,C64,C70,C77,C86,C90,C96,C102,C105,C111,C115,C123,C130,C140,C148,C167,C184,C192,C199,C217,C232,C275)</f>
        <v>1.0723076923076922</v>
      </c>
      <c r="CR2" s="1">
        <f t="shared" si="0"/>
        <v>1.2266666666666668</v>
      </c>
      <c r="CS2" s="1">
        <f t="shared" si="0"/>
        <v>0.85000000000000009</v>
      </c>
      <c r="CT2" s="1">
        <f t="shared" si="0"/>
        <v>1.145</v>
      </c>
      <c r="CU2" s="1">
        <f t="shared" si="0"/>
        <v>1.115</v>
      </c>
      <c r="CV2" s="1">
        <f>AVERAGE(B14,B22,B48,B63,B95,B100,B104,B144,B182,B223)</f>
        <v>1.1500000000000001</v>
      </c>
      <c r="CW2" s="1">
        <f t="shared" ref="CW2:DA2" si="1">AVERAGE(C14,C22,C48,C63,C95,C100,C104,C144,C182,C223)</f>
        <v>1.2309999999999999</v>
      </c>
      <c r="CX2" s="1">
        <f t="shared" si="1"/>
        <v>0.87888888888888894</v>
      </c>
      <c r="CY2" s="1" t="e">
        <f t="shared" si="1"/>
        <v>#DIV/0!</v>
      </c>
      <c r="CZ2" s="1" t="e">
        <f t="shared" si="1"/>
        <v>#DIV/0!</v>
      </c>
      <c r="DA2" s="1" t="e">
        <f t="shared" si="1"/>
        <v>#DIV/0!</v>
      </c>
      <c r="DB2" s="1">
        <f>AVERAGE(B12,B16,B62,B81,B120,B137,B155,B170,B180,B190,B191,B194,B196,B269,B272)</f>
        <v>1.063076923076923</v>
      </c>
      <c r="DC2" s="1">
        <f t="shared" ref="DC2:DG2" si="2">AVERAGE(C12,C16,C62,C81,C120,C137,C155,C170,C180,C190,C191,C194,C196,C269,C272)</f>
        <v>1.24</v>
      </c>
      <c r="DD2" s="1">
        <f t="shared" si="2"/>
        <v>1.2650000000000001</v>
      </c>
      <c r="DE2" s="1" t="e">
        <f t="shared" si="2"/>
        <v>#DIV/0!</v>
      </c>
      <c r="DF2" s="1">
        <f t="shared" si="2"/>
        <v>1.63</v>
      </c>
      <c r="DG2" s="1" t="e">
        <f t="shared" si="2"/>
        <v>#DIV/0!</v>
      </c>
      <c r="DH2" s="1">
        <f>AVERAGE(B18,B27,B35,B41,B46,B99,B107,B114,B147,B185,B234,B248,B253,B273)</f>
        <v>1.1915384615384617</v>
      </c>
      <c r="DI2" s="1">
        <f t="shared" ref="DI2:DM2" si="3">AVERAGE(C18,C27,C35,C41,C46,C99,C107,C114,C147,C185,C234,C248,C253,C273)</f>
        <v>1.0115384615384615</v>
      </c>
      <c r="DJ2" s="1">
        <f t="shared" si="3"/>
        <v>1.0033333333333332</v>
      </c>
      <c r="DK2" s="1" t="e">
        <f t="shared" si="3"/>
        <v>#DIV/0!</v>
      </c>
      <c r="DL2" s="1" t="e">
        <f t="shared" si="3"/>
        <v>#DIV/0!</v>
      </c>
      <c r="DM2" s="1">
        <f t="shared" si="3"/>
        <v>0.46</v>
      </c>
      <c r="DN2" s="1">
        <f>AVERAGE(B32,B45,B60,B116,B150)</f>
        <v>1.3260000000000001</v>
      </c>
      <c r="DO2" s="1">
        <f t="shared" ref="DO2:DS2" si="4">AVERAGE(C32,C45,C60,C116,C150)</f>
        <v>1.1080000000000001</v>
      </c>
      <c r="DP2" s="1">
        <f t="shared" si="4"/>
        <v>1.2066666666666668</v>
      </c>
      <c r="DQ2" s="1" t="e">
        <f t="shared" si="4"/>
        <v>#DIV/0!</v>
      </c>
      <c r="DR2" s="1" t="e">
        <f t="shared" si="4"/>
        <v>#DIV/0!</v>
      </c>
      <c r="DS2" s="1" t="e">
        <f t="shared" si="4"/>
        <v>#DIV/0!</v>
      </c>
      <c r="DT2" s="1">
        <f>AVERAGE(B74)</f>
        <v>1.6</v>
      </c>
      <c r="DU2" s="1">
        <f t="shared" ref="DU2:DY2" si="5">AVERAGE(C74)</f>
        <v>1.1100000000000001</v>
      </c>
      <c r="DV2" s="1" t="e">
        <f t="shared" si="5"/>
        <v>#DIV/0!</v>
      </c>
      <c r="DW2" s="1" t="e">
        <f t="shared" si="5"/>
        <v>#DIV/0!</v>
      </c>
      <c r="DX2" s="1" t="e">
        <f t="shared" si="5"/>
        <v>#DIV/0!</v>
      </c>
      <c r="DY2" s="1" t="e">
        <f t="shared" si="5"/>
        <v>#DIV/0!</v>
      </c>
      <c r="DZ2" s="1">
        <f>AVERAGE(B160,B173,B174,B177,B215)</f>
        <v>0.96000000000000019</v>
      </c>
      <c r="EA2" s="1">
        <f t="shared" ref="EA2:EE2" si="6">AVERAGE(C160,C173,C174,C177,C215)</f>
        <v>1.4159999999999999</v>
      </c>
      <c r="EB2" s="1">
        <f t="shared" si="6"/>
        <v>0.84250000000000003</v>
      </c>
      <c r="EC2" s="1" t="e">
        <f t="shared" si="6"/>
        <v>#DIV/0!</v>
      </c>
      <c r="ED2" s="1" t="e">
        <f t="shared" si="6"/>
        <v>#DIV/0!</v>
      </c>
      <c r="EE2" s="1" t="e">
        <f t="shared" si="6"/>
        <v>#DIV/0!</v>
      </c>
      <c r="EF2" s="1">
        <f>AVERAGE(B246)</f>
        <v>0.64</v>
      </c>
      <c r="EG2" s="1">
        <f t="shared" ref="EG2:EK2" si="7">AVERAGE(C246)</f>
        <v>0.99</v>
      </c>
      <c r="EH2" s="1">
        <f t="shared" si="7"/>
        <v>1.21</v>
      </c>
      <c r="EI2" s="1" t="e">
        <f t="shared" si="7"/>
        <v>#DIV/0!</v>
      </c>
      <c r="EJ2" s="1" t="e">
        <f t="shared" si="7"/>
        <v>#DIV/0!</v>
      </c>
      <c r="EK2" s="1" t="e">
        <f t="shared" si="7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3101">
        <f>_xlfn.AGGREGATE(1,3,CJ2:CL2)</f>
        <v>1.1914781746031746</v>
      </c>
      <c r="CK3" s="3102"/>
      <c r="CL3" s="3102"/>
      <c r="CM3" s="3102"/>
      <c r="CN3" s="3102"/>
      <c r="CO3" s="3102"/>
      <c r="CP3" s="3101">
        <f>_xlfn.AGGREGATE(1,3,CP2:CR2)</f>
        <v>1.1503988603988604</v>
      </c>
      <c r="CQ3" s="3102"/>
      <c r="CR3" s="3102"/>
      <c r="CS3" s="3102"/>
      <c r="CT3" s="3102"/>
      <c r="CU3" s="3102"/>
      <c r="CV3" s="3101">
        <f>_xlfn.AGGREGATE(1,3,CV2:CX2)</f>
        <v>1.0866296296296298</v>
      </c>
      <c r="CW3" s="3102"/>
      <c r="CX3" s="3102"/>
      <c r="CY3" s="3102"/>
      <c r="CZ3" s="3102"/>
      <c r="DA3" s="3102"/>
      <c r="DB3" s="3101">
        <f>_xlfn.AGGREGATE(1,3,DB2:DD2)</f>
        <v>1.1893589743589745</v>
      </c>
      <c r="DC3" s="3102"/>
      <c r="DD3" s="3102"/>
      <c r="DE3" s="3102"/>
      <c r="DF3" s="3102"/>
      <c r="DG3" s="3102"/>
      <c r="DH3" s="3101">
        <f>_xlfn.AGGREGATE(1,3,DH2:DJ2)</f>
        <v>1.0688034188034188</v>
      </c>
      <c r="DI3" s="3102"/>
      <c r="DJ3" s="3102"/>
      <c r="DK3" s="3102"/>
      <c r="DL3" s="3102"/>
      <c r="DM3" s="3102"/>
      <c r="DN3" s="3101">
        <f t="shared" ref="DN3" si="8">_xlfn.AGGREGATE(1,6,DN2:DS2)</f>
        <v>1.2135555555555557</v>
      </c>
      <c r="DO3" s="3102"/>
      <c r="DP3" s="3102"/>
      <c r="DQ3" s="3102"/>
      <c r="DR3" s="3102"/>
      <c r="DS3" s="3102"/>
      <c r="DT3" s="3101">
        <f>_xlfn.AGGREGATE(1,3,DT2:DV2)</f>
        <v>1.355</v>
      </c>
      <c r="DU3" s="3102"/>
      <c r="DV3" s="3102"/>
      <c r="DW3" s="3102"/>
      <c r="DX3" s="3102"/>
      <c r="DY3" s="3102"/>
      <c r="DZ3" s="3101">
        <f>_xlfn.AGGREGATE(1,3,DZ2:EB2)</f>
        <v>1.0728333333333335</v>
      </c>
      <c r="EA3" s="3102"/>
      <c r="EB3" s="3102"/>
      <c r="EC3" s="3102"/>
      <c r="ED3" s="3102"/>
      <c r="EE3" s="3102"/>
      <c r="EF3" s="3101">
        <f>_xlfn.AGGREGATE(1,3,EF2:EH2)</f>
        <v>0.94666666666666666</v>
      </c>
      <c r="EG3" s="3102"/>
      <c r="EH3" s="3102"/>
      <c r="EI3" s="3102"/>
      <c r="EJ3" s="3102"/>
      <c r="EK3" s="3102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3130" t="s">
        <v>1253</v>
      </c>
      <c r="CK4" s="3131"/>
      <c r="CL4" s="3131"/>
      <c r="CM4" s="3131"/>
      <c r="CN4" s="3131"/>
      <c r="CO4" s="3132"/>
      <c r="CP4" s="3133" t="s">
        <v>1230</v>
      </c>
      <c r="CQ4" s="3134"/>
      <c r="CR4" s="3134"/>
      <c r="CS4" s="3134"/>
      <c r="CT4" s="3134"/>
      <c r="CU4" s="3135"/>
      <c r="CV4" s="3136" t="s">
        <v>1229</v>
      </c>
      <c r="CW4" s="3131"/>
      <c r="CX4" s="3131"/>
      <c r="CY4" s="3131"/>
      <c r="CZ4" s="3131"/>
      <c r="DA4" s="3132"/>
      <c r="DB4" s="3133" t="s">
        <v>1263</v>
      </c>
      <c r="DC4" s="3134"/>
      <c r="DD4" s="3134"/>
      <c r="DE4" s="3134"/>
      <c r="DF4" s="3134"/>
      <c r="DG4" s="3135"/>
      <c r="DH4" s="3130" t="s">
        <v>946</v>
      </c>
      <c r="DI4" s="3131"/>
      <c r="DJ4" s="3131"/>
      <c r="DK4" s="3131"/>
      <c r="DL4" s="3131"/>
      <c r="DM4" s="3132"/>
      <c r="DN4" s="3127" t="s">
        <v>1116</v>
      </c>
      <c r="DO4" s="3128"/>
      <c r="DP4" s="3128"/>
      <c r="DQ4" s="3128"/>
      <c r="DR4" s="3128"/>
      <c r="DS4" s="3129"/>
      <c r="DT4" s="3130" t="s">
        <v>1165</v>
      </c>
      <c r="DU4" s="3131"/>
      <c r="DV4" s="3131"/>
      <c r="DW4" s="3131"/>
      <c r="DX4" s="3131"/>
      <c r="DY4" s="3132"/>
      <c r="DZ4" s="3127" t="s">
        <v>1210</v>
      </c>
      <c r="EA4" s="3128"/>
      <c r="EB4" s="3128"/>
      <c r="EC4" s="3128"/>
      <c r="ED4" s="3128"/>
      <c r="EE4" s="3129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AVERAGE(B4,B13,B21,B38,B58,B72,B78,B134,B138,B153,B164,B169,B181,B271)</f>
        <v>1.2285714285714289</v>
      </c>
      <c r="CK5" s="1">
        <f t="shared" ref="CK5:CO5" si="9">AVERAGE(C4,C13,C21,C38,C58,C72,C78,C134,C138,C153,C164,C169,C181,C271)</f>
        <v>1.1183333333333334</v>
      </c>
      <c r="CL5" s="1">
        <f t="shared" si="9"/>
        <v>1.1400000000000001</v>
      </c>
      <c r="CM5" s="1" t="e">
        <f t="shared" si="9"/>
        <v>#DIV/0!</v>
      </c>
      <c r="CN5" s="1">
        <f t="shared" si="9"/>
        <v>0.53</v>
      </c>
      <c r="CO5" s="1" t="e">
        <f t="shared" si="9"/>
        <v>#DIV/0!</v>
      </c>
      <c r="CP5" s="1">
        <f t="shared" ref="CP5:CU5" si="10">AVERAGE(B5,B8,B23,B29,B34,B47,B57,B65,B67,B93,B101,B108,B119,B127,B131,B154,B176,B187,B189,B201,B202,B216,B220,B221,B222,B230,B237,B239,B240,B242,B245,B247,B250,B251,B254,B255,B258,B259,B268)</f>
        <v>1.2343589743589745</v>
      </c>
      <c r="CQ5" s="1">
        <f t="shared" si="10"/>
        <v>1.2142105263157892</v>
      </c>
      <c r="CR5" s="1">
        <f t="shared" si="10"/>
        <v>1.1917647058823528</v>
      </c>
      <c r="CS5" s="1" t="e">
        <f t="shared" si="10"/>
        <v>#DIV/0!</v>
      </c>
      <c r="CT5" s="1">
        <f t="shared" si="10"/>
        <v>1.105</v>
      </c>
      <c r="CU5" s="1">
        <f t="shared" si="10"/>
        <v>0.98</v>
      </c>
      <c r="CV5" s="1">
        <f>AVERAGE(B6,B9,B37,B82,B92,B97,B124,B128,B139,B152,B183,B226,B231,B257,B266)</f>
        <v>1.2166666666666663</v>
      </c>
      <c r="CW5" s="1">
        <f t="shared" ref="CW5:DA5" si="11">AVERAGE(C6,C9,C37,C82,C92,C97,C124,C128,C139,C152,C183,C226,C231,C257,C266)</f>
        <v>1.1421428571428571</v>
      </c>
      <c r="CX5" s="1">
        <f t="shared" si="11"/>
        <v>1.1216666666666666</v>
      </c>
      <c r="CY5" s="1" t="e">
        <f t="shared" si="11"/>
        <v>#DIV/0!</v>
      </c>
      <c r="CZ5" s="1">
        <f t="shared" si="11"/>
        <v>1.57</v>
      </c>
      <c r="DA5" s="1" t="e">
        <f t="shared" si="11"/>
        <v>#DIV/0!</v>
      </c>
      <c r="DB5" s="1">
        <f>AVERAGE(B24,B30,B39,B71,B75,B80,B106,B117,B165,B168,B171,B186,B197,B203,B211,B214,B233,B256,B263,B276)</f>
        <v>1.1331578947368421</v>
      </c>
      <c r="DC5" s="1">
        <f t="shared" ref="DC5:DG5" si="12">AVERAGE(C24,C30,C39,C71,C75,C80,C106,C117,C165,C168,C171,C186,C197,C203,C211,C214,C233,C256,C263,C276)</f>
        <v>1.3676470588235294</v>
      </c>
      <c r="DD5" s="1">
        <f t="shared" si="12"/>
        <v>1.1260000000000001</v>
      </c>
      <c r="DE5" s="1" t="e">
        <f t="shared" si="12"/>
        <v>#DIV/0!</v>
      </c>
      <c r="DF5" s="1">
        <f t="shared" si="12"/>
        <v>1.4649999999999999</v>
      </c>
      <c r="DG5" s="1" t="e">
        <f t="shared" si="12"/>
        <v>#DIV/0!</v>
      </c>
      <c r="DH5" s="1">
        <f>AVERAGE(B20,B136)</f>
        <v>1.1399999999999999</v>
      </c>
      <c r="DI5" s="1">
        <f t="shared" ref="DI5:DM5" si="13">AVERAGE(C20,C136)</f>
        <v>1.26</v>
      </c>
      <c r="DJ5" s="1">
        <f t="shared" si="13"/>
        <v>0.93</v>
      </c>
      <c r="DK5" s="1" t="e">
        <f t="shared" si="13"/>
        <v>#DIV/0!</v>
      </c>
      <c r="DL5" s="1" t="e">
        <f t="shared" si="13"/>
        <v>#DIV/0!</v>
      </c>
      <c r="DM5" s="1" t="e">
        <f t="shared" si="13"/>
        <v>#DIV/0!</v>
      </c>
      <c r="DN5" s="1">
        <f>AVERAGE(B68,B121,B193,B206,B207,B208,B209)</f>
        <v>1.1414285714285715</v>
      </c>
      <c r="DO5" s="1">
        <f t="shared" ref="DO5:DS5" si="14">AVERAGE(C68,C121,C193,C206,C207,C208,C209)</f>
        <v>0.95857142857142852</v>
      </c>
      <c r="DP5" s="1">
        <f t="shared" si="14"/>
        <v>1.0419999999999998</v>
      </c>
      <c r="DQ5" s="1" t="e">
        <f t="shared" si="14"/>
        <v>#DIV/0!</v>
      </c>
      <c r="DR5" s="1" t="e">
        <f t="shared" si="14"/>
        <v>#DIV/0!</v>
      </c>
      <c r="DS5" s="1" t="e">
        <f t="shared" si="14"/>
        <v>#DIV/0!</v>
      </c>
      <c r="DT5" s="1">
        <f>AVERAGE(B158,B159,B161,B162,B200,B235)</f>
        <v>1.2483333333333333</v>
      </c>
      <c r="DU5" s="1">
        <f t="shared" ref="DU5:DY5" si="15">AVERAGE(C158,C159,C161,C162,C200,C235)</f>
        <v>1.1433333333333335</v>
      </c>
      <c r="DV5" s="1">
        <f t="shared" si="15"/>
        <v>1.2250000000000001</v>
      </c>
      <c r="DW5" s="1" t="e">
        <f t="shared" si="15"/>
        <v>#DIV/0!</v>
      </c>
      <c r="DX5" s="1" t="e">
        <f t="shared" si="15"/>
        <v>#DIV/0!</v>
      </c>
      <c r="DY5" s="1" t="e">
        <f t="shared" si="15"/>
        <v>#DIV/0!</v>
      </c>
      <c r="DZ5" s="1">
        <f>AVERAGE(B227,B261)</f>
        <v>1.095</v>
      </c>
      <c r="EA5" s="1">
        <f t="shared" ref="EA5:EE5" si="16">AVERAGE(C227,C261)</f>
        <v>0.94</v>
      </c>
      <c r="EB5" s="1">
        <f t="shared" si="16"/>
        <v>0.70500000000000007</v>
      </c>
      <c r="EC5" s="1" t="e">
        <f t="shared" si="16"/>
        <v>#DIV/0!</v>
      </c>
      <c r="ED5" s="1" t="e">
        <f t="shared" si="16"/>
        <v>#DIV/0!</v>
      </c>
      <c r="EE5" s="1" t="e">
        <f t="shared" si="16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3101">
        <f>_xlfn.AGGREGATE(1,3,CJ5:CL5)</f>
        <v>1.1623015873015874</v>
      </c>
      <c r="CK6" s="3102"/>
      <c r="CL6" s="3102"/>
      <c r="CM6" s="3102"/>
      <c r="CN6" s="3102"/>
      <c r="CO6" s="3102"/>
      <c r="CP6" s="3101">
        <f>_xlfn.AGGREGATE(1,3,CP5:CR5)</f>
        <v>1.2134447355190388</v>
      </c>
      <c r="CQ6" s="3102"/>
      <c r="CR6" s="3102"/>
      <c r="CS6" s="3102"/>
      <c r="CT6" s="3102"/>
      <c r="CU6" s="3102"/>
      <c r="CV6" s="3101">
        <f>_xlfn.AGGREGATE(1,3,CV5:CX5)</f>
        <v>1.1601587301587302</v>
      </c>
      <c r="CW6" s="3102"/>
      <c r="CX6" s="3102"/>
      <c r="CY6" s="3102"/>
      <c r="CZ6" s="3102"/>
      <c r="DA6" s="3102"/>
      <c r="DB6" s="3101">
        <f>_xlfn.AGGREGATE(1,3,DB5:DD5)</f>
        <v>1.208934984520124</v>
      </c>
      <c r="DC6" s="3102"/>
      <c r="DD6" s="3102"/>
      <c r="DE6" s="3102"/>
      <c r="DF6" s="3102"/>
      <c r="DG6" s="3102"/>
      <c r="DH6" s="3101">
        <f>_xlfn.AGGREGATE(1,3,DH5:DJ5)</f>
        <v>1.1100000000000001</v>
      </c>
      <c r="DI6" s="3102"/>
      <c r="DJ6" s="3102"/>
      <c r="DK6" s="3102"/>
      <c r="DL6" s="3102"/>
      <c r="DM6" s="3102"/>
      <c r="DN6" s="3101">
        <f>_xlfn.AGGREGATE(1,3,DN5:DP5)</f>
        <v>1.0473333333333332</v>
      </c>
      <c r="DO6" s="3102"/>
      <c r="DP6" s="3102"/>
      <c r="DQ6" s="3102"/>
      <c r="DR6" s="3102"/>
      <c r="DS6" s="3102"/>
      <c r="DT6" s="3101">
        <f>_xlfn.AGGREGATE(1,3,DT5:DV5)</f>
        <v>1.2055555555555555</v>
      </c>
      <c r="DU6" s="3102"/>
      <c r="DV6" s="3102"/>
      <c r="DW6" s="3102"/>
      <c r="DX6" s="3102"/>
      <c r="DY6" s="3102"/>
      <c r="DZ6" s="3101">
        <f>_xlfn.AGGREGATE(1,3,DZ5:EB5)</f>
        <v>0.91333333333333344</v>
      </c>
      <c r="EA6" s="3102"/>
      <c r="EB6" s="3102"/>
      <c r="EC6" s="3102"/>
      <c r="ED6" s="3102"/>
      <c r="EE6" s="3102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1072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1073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1074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1075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1076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1077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1078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1079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1084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1085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1086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1087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1088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1089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1090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1091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1092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1082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1093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1094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1095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1096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1097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1098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1113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1114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1115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1117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1118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1119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1120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1121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1122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1124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1125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1126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1143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1144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1145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1156</v>
      </c>
    </row>
    <row r="222" spans="1:87" x14ac:dyDescent="0.25">
      <c r="A222" s="1871" t="s">
        <v>1146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1147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1149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1140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1150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1151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1157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1158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1159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1160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1161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1162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1163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1164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1171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1173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1174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1175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1176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1177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1178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1179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1180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1181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1182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1184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1185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1190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1191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1192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1193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1194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1202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1203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1204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87" x14ac:dyDescent="0.25">
      <c r="A257" s="2666" t="s">
        <v>1205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87" x14ac:dyDescent="0.25">
      <c r="A258" s="2679" t="s">
        <v>1206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87" x14ac:dyDescent="0.25">
      <c r="A259" s="2692" t="s">
        <v>1207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87" x14ac:dyDescent="0.25">
      <c r="A260" s="44" t="s">
        <v>1208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87" x14ac:dyDescent="0.25">
      <c r="A261" s="2730" t="s">
        <v>1209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1215</v>
      </c>
    </row>
    <row r="262" spans="1:87" x14ac:dyDescent="0.25">
      <c r="A262" s="40" t="s">
        <v>1224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87" x14ac:dyDescent="0.25">
      <c r="A263" s="2883" t="s">
        <v>1225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87" x14ac:dyDescent="0.25">
      <c r="A264" s="2896" t="s">
        <v>1226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87" x14ac:dyDescent="0.25">
      <c r="A265" s="40" t="s">
        <v>1227</v>
      </c>
      <c r="B265" s="40"/>
      <c r="C265" s="40"/>
      <c r="D265" s="40"/>
      <c r="E265" s="40"/>
      <c r="F265" s="40"/>
      <c r="G265" s="40"/>
      <c r="H265" s="2909"/>
      <c r="P265" s="2910"/>
      <c r="U265" s="2911"/>
      <c r="AC265" s="2912"/>
      <c r="AH265" s="2913"/>
      <c r="AP265" s="2914"/>
      <c r="AU265" s="2915"/>
      <c r="BC265" s="2916"/>
      <c r="BH265" s="2917"/>
      <c r="BP265" s="2918"/>
      <c r="BU265" s="2919"/>
      <c r="CC265" s="2920"/>
    </row>
    <row r="266" spans="1:87" x14ac:dyDescent="0.25">
      <c r="A266" s="2921" t="s">
        <v>1228</v>
      </c>
      <c r="B266">
        <v>0.95</v>
      </c>
      <c r="C266">
        <v>1.31</v>
      </c>
      <c r="D266">
        <v>0.52</v>
      </c>
      <c r="H266" s="2922">
        <v>1</v>
      </c>
      <c r="I266">
        <v>3</v>
      </c>
      <c r="J266">
        <v>1</v>
      </c>
      <c r="K266">
        <v>0</v>
      </c>
      <c r="L266">
        <v>0</v>
      </c>
      <c r="M266">
        <v>0</v>
      </c>
      <c r="N266">
        <v>2</v>
      </c>
      <c r="O266">
        <v>1</v>
      </c>
      <c r="P266" s="2923">
        <v>0</v>
      </c>
      <c r="Q266">
        <v>0</v>
      </c>
      <c r="R266">
        <v>0</v>
      </c>
      <c r="S266">
        <v>0</v>
      </c>
      <c r="T266">
        <v>0</v>
      </c>
      <c r="U266" s="2924">
        <v>1</v>
      </c>
      <c r="V266">
        <v>2</v>
      </c>
      <c r="W266">
        <v>1</v>
      </c>
      <c r="X266">
        <v>1</v>
      </c>
      <c r="Y266">
        <v>0</v>
      </c>
      <c r="Z266">
        <v>1</v>
      </c>
      <c r="AA266">
        <v>6</v>
      </c>
      <c r="AB266">
        <v>1</v>
      </c>
      <c r="AC266" s="2925">
        <v>1</v>
      </c>
      <c r="AD266">
        <v>0</v>
      </c>
      <c r="AE266">
        <v>1</v>
      </c>
      <c r="AF266">
        <v>0</v>
      </c>
      <c r="AG266">
        <v>0</v>
      </c>
      <c r="AH266" s="2926">
        <v>0</v>
      </c>
      <c r="AI266">
        <v>2</v>
      </c>
      <c r="AJ266">
        <v>0</v>
      </c>
      <c r="AK266">
        <v>0</v>
      </c>
      <c r="AL266">
        <v>0</v>
      </c>
      <c r="AM266">
        <v>0</v>
      </c>
      <c r="AN266">
        <v>2</v>
      </c>
      <c r="AO266">
        <v>0</v>
      </c>
      <c r="AP266" s="2927">
        <v>1</v>
      </c>
      <c r="AQ266">
        <v>0</v>
      </c>
      <c r="AR266">
        <v>0</v>
      </c>
      <c r="AS266">
        <v>0</v>
      </c>
      <c r="AT266">
        <v>0</v>
      </c>
      <c r="AU266" s="2928"/>
      <c r="BC266" s="2929"/>
      <c r="BH266" s="2930"/>
      <c r="BP266" s="2931"/>
      <c r="BU266" s="2932"/>
      <c r="CC266" s="2933"/>
      <c r="CI266" t="s">
        <v>1235</v>
      </c>
    </row>
    <row r="267" spans="1:87" x14ac:dyDescent="0.25">
      <c r="A267" s="2934" t="s">
        <v>1233</v>
      </c>
      <c r="B267">
        <v>0.77</v>
      </c>
      <c r="C267">
        <v>0.96</v>
      </c>
      <c r="D267">
        <v>0.73</v>
      </c>
      <c r="H267" s="2935">
        <v>0</v>
      </c>
      <c r="I267">
        <v>3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 s="2936">
        <v>1</v>
      </c>
      <c r="Q267">
        <v>0</v>
      </c>
      <c r="R267">
        <v>0</v>
      </c>
      <c r="S267">
        <v>0</v>
      </c>
      <c r="T267">
        <v>0</v>
      </c>
      <c r="U267" s="2937">
        <v>1</v>
      </c>
      <c r="V267">
        <v>2</v>
      </c>
      <c r="W267">
        <v>1</v>
      </c>
      <c r="X267">
        <v>0</v>
      </c>
      <c r="Y267">
        <v>0</v>
      </c>
      <c r="Z267">
        <v>0</v>
      </c>
      <c r="AA267">
        <v>2</v>
      </c>
      <c r="AB267">
        <v>1</v>
      </c>
      <c r="AC267" s="2938">
        <v>0</v>
      </c>
      <c r="AD267">
        <v>2</v>
      </c>
      <c r="AE267">
        <v>0</v>
      </c>
      <c r="AF267">
        <v>0</v>
      </c>
      <c r="AG267">
        <v>0</v>
      </c>
      <c r="AH267" s="2939">
        <v>0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 s="2940">
        <v>0</v>
      </c>
      <c r="AQ267">
        <v>0</v>
      </c>
      <c r="AR267">
        <v>0</v>
      </c>
      <c r="AS267">
        <v>0</v>
      </c>
      <c r="AT267">
        <v>0</v>
      </c>
      <c r="AU267" s="2941"/>
      <c r="BC267" s="2942"/>
      <c r="BH267" s="2943"/>
      <c r="BP267" s="2944"/>
      <c r="BU267" s="2945"/>
      <c r="CC267" s="2946"/>
      <c r="CI267" t="s">
        <v>1236</v>
      </c>
    </row>
    <row r="268" spans="1:87" x14ac:dyDescent="0.25">
      <c r="A268" s="2947" t="s">
        <v>1234</v>
      </c>
      <c r="B268">
        <v>1.07</v>
      </c>
      <c r="C268">
        <v>1.08</v>
      </c>
      <c r="D268">
        <v>1.52</v>
      </c>
      <c r="H268" s="2948">
        <v>2</v>
      </c>
      <c r="I268">
        <v>5</v>
      </c>
      <c r="J268">
        <v>1</v>
      </c>
      <c r="K268">
        <v>0</v>
      </c>
      <c r="L268">
        <v>0</v>
      </c>
      <c r="M268">
        <v>0</v>
      </c>
      <c r="N268">
        <v>1</v>
      </c>
      <c r="O268">
        <v>1</v>
      </c>
      <c r="P268" s="2949">
        <v>0</v>
      </c>
      <c r="Q268">
        <v>0</v>
      </c>
      <c r="R268">
        <v>0</v>
      </c>
      <c r="S268">
        <v>0</v>
      </c>
      <c r="T268">
        <v>0</v>
      </c>
      <c r="U268" s="2950">
        <v>1</v>
      </c>
      <c r="V268">
        <v>2</v>
      </c>
      <c r="W268">
        <v>0</v>
      </c>
      <c r="X268">
        <v>0</v>
      </c>
      <c r="Y268">
        <v>0</v>
      </c>
      <c r="Z268">
        <v>0</v>
      </c>
      <c r="AA268">
        <v>4</v>
      </c>
      <c r="AB268">
        <v>2</v>
      </c>
      <c r="AC268" s="2951">
        <v>0</v>
      </c>
      <c r="AD268">
        <v>0</v>
      </c>
      <c r="AE268">
        <v>0</v>
      </c>
      <c r="AF268">
        <v>0</v>
      </c>
      <c r="AG268">
        <v>0</v>
      </c>
      <c r="AH268" s="2952">
        <v>4</v>
      </c>
      <c r="AI268">
        <v>2</v>
      </c>
      <c r="AJ268">
        <v>2</v>
      </c>
      <c r="AK268">
        <v>0</v>
      </c>
      <c r="AL268">
        <v>0</v>
      </c>
      <c r="AM268">
        <v>1</v>
      </c>
      <c r="AN268">
        <v>5</v>
      </c>
      <c r="AO268">
        <v>2</v>
      </c>
      <c r="AP268" s="2953">
        <v>0</v>
      </c>
      <c r="AQ268">
        <v>0</v>
      </c>
      <c r="AR268">
        <v>0</v>
      </c>
      <c r="AS268">
        <v>0</v>
      </c>
      <c r="AT268">
        <v>0</v>
      </c>
      <c r="AU268" s="2954"/>
      <c r="BC268" s="2955"/>
      <c r="BH268" s="2956"/>
      <c r="BP268" s="2957"/>
      <c r="BU268" s="2958"/>
      <c r="CC268" s="2959"/>
    </row>
    <row r="269" spans="1:87" x14ac:dyDescent="0.25">
      <c r="A269" s="2994" t="s">
        <v>1251</v>
      </c>
      <c r="B269">
        <v>2.06</v>
      </c>
      <c r="C269">
        <v>1.01</v>
      </c>
      <c r="D269">
        <v>0.75</v>
      </c>
      <c r="H269" s="2995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 s="2996">
        <v>0</v>
      </c>
      <c r="Q269">
        <v>0</v>
      </c>
      <c r="R269">
        <v>0</v>
      </c>
      <c r="S269">
        <v>0</v>
      </c>
      <c r="T269">
        <v>0</v>
      </c>
      <c r="U269" s="2997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 s="2998">
        <v>0</v>
      </c>
      <c r="AD269">
        <v>0</v>
      </c>
      <c r="AE269">
        <v>0</v>
      </c>
      <c r="AF269">
        <v>0</v>
      </c>
      <c r="AG269">
        <v>0</v>
      </c>
      <c r="AH269" s="299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 s="3000">
        <v>0</v>
      </c>
      <c r="AQ269">
        <v>0</v>
      </c>
      <c r="AR269">
        <v>0</v>
      </c>
      <c r="AS269">
        <v>0</v>
      </c>
      <c r="AT269">
        <v>0</v>
      </c>
      <c r="AU269" s="3001"/>
      <c r="BC269" s="3002"/>
      <c r="BH269" s="3003"/>
      <c r="BP269" s="3004"/>
      <c r="BU269" s="3005"/>
      <c r="CC269" s="3006"/>
    </row>
    <row r="270" spans="1:87" x14ac:dyDescent="0.25">
      <c r="A270" s="40" t="s">
        <v>1246</v>
      </c>
      <c r="B270" s="40"/>
      <c r="C270" s="40"/>
      <c r="D270" s="40"/>
      <c r="E270" s="40"/>
      <c r="F270" s="40"/>
      <c r="G270" s="40"/>
      <c r="H270" s="3007"/>
      <c r="P270" s="3008"/>
      <c r="U270" s="3009"/>
      <c r="AC270" s="3010"/>
      <c r="AH270" s="3011"/>
      <c r="AP270" s="3012"/>
      <c r="AU270" s="3013"/>
      <c r="BC270" s="3014"/>
      <c r="BH270" s="3015"/>
      <c r="BP270" s="3016"/>
      <c r="BU270" s="3017"/>
      <c r="CC270" s="3018"/>
    </row>
    <row r="271" spans="1:87" x14ac:dyDescent="0.25">
      <c r="A271" s="3019" t="s">
        <v>1252</v>
      </c>
      <c r="B271">
        <v>1.23</v>
      </c>
      <c r="C271">
        <v>1.05</v>
      </c>
      <c r="H271" s="3020">
        <v>0</v>
      </c>
      <c r="I271">
        <v>5</v>
      </c>
      <c r="J271">
        <v>2</v>
      </c>
      <c r="K271">
        <v>1</v>
      </c>
      <c r="L271">
        <v>0</v>
      </c>
      <c r="M271">
        <v>0</v>
      </c>
      <c r="N271">
        <v>1</v>
      </c>
      <c r="O271">
        <v>1</v>
      </c>
      <c r="P271" s="3021">
        <v>0</v>
      </c>
      <c r="Q271">
        <v>0</v>
      </c>
      <c r="R271">
        <v>1</v>
      </c>
      <c r="S271">
        <v>0</v>
      </c>
      <c r="T271">
        <v>0</v>
      </c>
      <c r="U271" s="3022">
        <v>1</v>
      </c>
      <c r="V271">
        <v>1</v>
      </c>
      <c r="W271">
        <v>0</v>
      </c>
      <c r="X271">
        <v>0</v>
      </c>
      <c r="Y271">
        <v>0</v>
      </c>
      <c r="Z271">
        <v>0</v>
      </c>
      <c r="AA271">
        <v>7</v>
      </c>
      <c r="AB271">
        <v>0</v>
      </c>
      <c r="AC271" s="3023">
        <v>1</v>
      </c>
      <c r="AD271">
        <v>0</v>
      </c>
      <c r="AE271">
        <v>0</v>
      </c>
      <c r="AF271">
        <v>0</v>
      </c>
      <c r="AG271">
        <v>0</v>
      </c>
      <c r="AH271" s="3024"/>
      <c r="AP271" s="3025"/>
      <c r="AU271" s="3026"/>
      <c r="BC271" s="3027"/>
      <c r="BH271" s="3028"/>
      <c r="BP271" s="3029"/>
      <c r="BU271" s="3030"/>
      <c r="CC271" s="3031"/>
    </row>
    <row r="272" spans="1:87" x14ac:dyDescent="0.25">
      <c r="A272" s="3032" t="s">
        <v>1254</v>
      </c>
      <c r="B272">
        <v>1.1399999999999999</v>
      </c>
      <c r="C272">
        <v>1.1399999999999999</v>
      </c>
      <c r="H272" s="3033">
        <v>0</v>
      </c>
      <c r="I272">
        <v>3</v>
      </c>
      <c r="J272">
        <v>1</v>
      </c>
      <c r="K272">
        <v>0</v>
      </c>
      <c r="L272">
        <v>0</v>
      </c>
      <c r="M272">
        <v>0</v>
      </c>
      <c r="N272">
        <v>4</v>
      </c>
      <c r="O272">
        <v>0</v>
      </c>
      <c r="P272" s="3034">
        <v>0</v>
      </c>
      <c r="Q272">
        <v>0</v>
      </c>
      <c r="R272">
        <v>0</v>
      </c>
      <c r="S272">
        <v>0</v>
      </c>
      <c r="T272">
        <v>0</v>
      </c>
      <c r="U272" s="3035">
        <v>0</v>
      </c>
      <c r="V272">
        <v>2</v>
      </c>
      <c r="W272">
        <v>1</v>
      </c>
      <c r="X272">
        <v>0</v>
      </c>
      <c r="Y272">
        <v>0</v>
      </c>
      <c r="Z272">
        <v>0</v>
      </c>
      <c r="AA272">
        <v>3</v>
      </c>
      <c r="AB272">
        <v>0</v>
      </c>
      <c r="AC272" s="3036">
        <v>0</v>
      </c>
      <c r="AD272">
        <v>1</v>
      </c>
      <c r="AE272">
        <v>0</v>
      </c>
      <c r="AF272">
        <v>0</v>
      </c>
      <c r="AG272">
        <v>0</v>
      </c>
      <c r="AH272" s="3037"/>
      <c r="AP272" s="3038"/>
      <c r="AU272" s="3039"/>
      <c r="BC272" s="3040"/>
      <c r="BH272" s="3041"/>
      <c r="BP272" s="3042"/>
      <c r="BU272" s="3043"/>
      <c r="CC272" s="3044"/>
    </row>
    <row r="273" spans="1:123" x14ac:dyDescent="0.25">
      <c r="A273" s="3045" t="s">
        <v>1256</v>
      </c>
      <c r="B273">
        <v>1.67</v>
      </c>
      <c r="C273">
        <v>1.56</v>
      </c>
      <c r="H273" s="3046">
        <v>0</v>
      </c>
      <c r="I273">
        <v>2</v>
      </c>
      <c r="J273">
        <v>0</v>
      </c>
      <c r="K273">
        <v>0</v>
      </c>
      <c r="L273">
        <v>0</v>
      </c>
      <c r="M273">
        <v>0</v>
      </c>
      <c r="N273">
        <v>3</v>
      </c>
      <c r="O273">
        <v>1</v>
      </c>
      <c r="P273" s="3047">
        <v>0</v>
      </c>
      <c r="Q273">
        <v>0</v>
      </c>
      <c r="R273">
        <v>0</v>
      </c>
      <c r="S273">
        <v>0</v>
      </c>
      <c r="T273">
        <v>0</v>
      </c>
      <c r="U273" s="3048">
        <v>1</v>
      </c>
      <c r="V273">
        <v>1</v>
      </c>
      <c r="W273">
        <v>1</v>
      </c>
      <c r="X273">
        <v>0</v>
      </c>
      <c r="Y273">
        <v>0</v>
      </c>
      <c r="Z273">
        <v>0</v>
      </c>
      <c r="AA273">
        <v>2</v>
      </c>
      <c r="AB273">
        <v>1</v>
      </c>
      <c r="AC273" s="3049">
        <v>0</v>
      </c>
      <c r="AD273">
        <v>0</v>
      </c>
      <c r="AE273">
        <v>0</v>
      </c>
      <c r="AF273">
        <v>0</v>
      </c>
      <c r="AG273">
        <v>0</v>
      </c>
      <c r="AH273" s="3050"/>
      <c r="AP273" s="3051"/>
      <c r="AU273" s="3052"/>
      <c r="BC273" s="3053"/>
      <c r="BH273" s="3054"/>
      <c r="BP273" s="3055"/>
      <c r="BU273" s="3056"/>
      <c r="CC273" s="3057"/>
    </row>
    <row r="274" spans="1:123" x14ac:dyDescent="0.25">
      <c r="A274" s="3058" t="s">
        <v>1258</v>
      </c>
      <c r="B274">
        <v>1.99</v>
      </c>
      <c r="C274">
        <v>1.77</v>
      </c>
      <c r="H274" s="3059">
        <v>0</v>
      </c>
      <c r="I274">
        <v>2</v>
      </c>
      <c r="J274">
        <v>3</v>
      </c>
      <c r="K274">
        <v>0</v>
      </c>
      <c r="L274">
        <v>0</v>
      </c>
      <c r="M274">
        <v>0</v>
      </c>
      <c r="N274">
        <v>1</v>
      </c>
      <c r="O274">
        <v>0</v>
      </c>
      <c r="P274" s="3060">
        <v>0</v>
      </c>
      <c r="Q274">
        <v>0</v>
      </c>
      <c r="R274">
        <v>0</v>
      </c>
      <c r="S274">
        <v>0</v>
      </c>
      <c r="T274">
        <v>0</v>
      </c>
      <c r="U274" s="3061">
        <v>1</v>
      </c>
      <c r="V274">
        <v>0</v>
      </c>
      <c r="W274">
        <v>1</v>
      </c>
      <c r="X274">
        <v>1</v>
      </c>
      <c r="Y274">
        <v>0</v>
      </c>
      <c r="Z274">
        <v>0</v>
      </c>
      <c r="AA274">
        <v>2</v>
      </c>
      <c r="AB274">
        <v>1</v>
      </c>
      <c r="AC274" s="3062">
        <v>1</v>
      </c>
      <c r="AD274">
        <v>0</v>
      </c>
      <c r="AE274">
        <v>0</v>
      </c>
      <c r="AF274">
        <v>0</v>
      </c>
      <c r="AG274">
        <v>0</v>
      </c>
      <c r="AH274" s="3063"/>
      <c r="AP274" s="3064"/>
      <c r="AU274" s="3065"/>
      <c r="BC274" s="3066"/>
      <c r="BH274" s="3067"/>
      <c r="BP274" s="3068"/>
      <c r="BU274" s="3069"/>
      <c r="CC274" s="3070"/>
    </row>
    <row r="275" spans="1:123" x14ac:dyDescent="0.25">
      <c r="A275" s="3071" t="s">
        <v>1260</v>
      </c>
      <c r="B275">
        <v>0.54</v>
      </c>
      <c r="C275">
        <v>1.05</v>
      </c>
      <c r="H275" s="3072">
        <v>0</v>
      </c>
      <c r="I275">
        <v>1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1</v>
      </c>
      <c r="P275" s="3073">
        <v>0</v>
      </c>
      <c r="Q275">
        <v>0</v>
      </c>
      <c r="R275">
        <v>0</v>
      </c>
      <c r="S275">
        <v>0</v>
      </c>
      <c r="T275">
        <v>0</v>
      </c>
      <c r="U275" s="3074">
        <v>0</v>
      </c>
      <c r="V275">
        <v>2</v>
      </c>
      <c r="W275">
        <v>0</v>
      </c>
      <c r="X275">
        <v>0</v>
      </c>
      <c r="Y275">
        <v>0</v>
      </c>
      <c r="Z275">
        <v>0</v>
      </c>
      <c r="AA275">
        <v>2</v>
      </c>
      <c r="AB275">
        <v>0</v>
      </c>
      <c r="AC275" s="3075">
        <v>0</v>
      </c>
      <c r="AD275">
        <v>0</v>
      </c>
      <c r="AE275">
        <v>0</v>
      </c>
      <c r="AF275">
        <v>0</v>
      </c>
      <c r="AG275">
        <v>0</v>
      </c>
      <c r="AH275" s="3076"/>
      <c r="AP275" s="3077"/>
      <c r="AU275" s="3078"/>
      <c r="BC275" s="3079"/>
      <c r="BH275" s="3080"/>
      <c r="BP275" s="3081"/>
      <c r="BU275" s="3082"/>
      <c r="CC275" s="3083"/>
    </row>
    <row r="276" spans="1:123" x14ac:dyDescent="0.25">
      <c r="A276" s="3084" t="s">
        <v>1262</v>
      </c>
      <c r="B276">
        <v>1.1499999999999999</v>
      </c>
      <c r="C276">
        <v>1.1499999999999999</v>
      </c>
      <c r="H276" s="3085">
        <v>0</v>
      </c>
      <c r="I276">
        <v>2</v>
      </c>
      <c r="J276">
        <v>1</v>
      </c>
      <c r="K276">
        <v>0</v>
      </c>
      <c r="L276">
        <v>0</v>
      </c>
      <c r="M276">
        <v>0</v>
      </c>
      <c r="N276">
        <v>4</v>
      </c>
      <c r="O276">
        <v>1</v>
      </c>
      <c r="P276" s="3086">
        <v>1</v>
      </c>
      <c r="Q276">
        <v>0</v>
      </c>
      <c r="R276">
        <v>0</v>
      </c>
      <c r="S276">
        <v>0</v>
      </c>
      <c r="T276">
        <v>0</v>
      </c>
      <c r="U276" s="3087">
        <v>0</v>
      </c>
      <c r="V276">
        <v>1</v>
      </c>
      <c r="W276">
        <v>0</v>
      </c>
      <c r="X276">
        <v>0</v>
      </c>
      <c r="Y276">
        <v>0</v>
      </c>
      <c r="Z276">
        <v>0</v>
      </c>
      <c r="AA276">
        <v>2</v>
      </c>
      <c r="AB276">
        <v>0</v>
      </c>
      <c r="AC276" s="3088">
        <v>0</v>
      </c>
      <c r="AD276">
        <v>0</v>
      </c>
      <c r="AE276">
        <v>0</v>
      </c>
      <c r="AF276">
        <v>0</v>
      </c>
      <c r="AG276">
        <v>0</v>
      </c>
      <c r="AH276" s="3089"/>
      <c r="AP276" s="3090"/>
      <c r="AU276" s="3091"/>
      <c r="BC276" s="3092"/>
      <c r="BH276" s="3093"/>
      <c r="BP276" s="3094"/>
      <c r="BU276" s="3095"/>
      <c r="CC276" s="3096"/>
    </row>
    <row r="277" spans="1:123" ht="15.75" customHeight="1" x14ac:dyDescent="0.25">
      <c r="A277" s="35"/>
      <c r="B277" s="36">
        <f t="shared" ref="B277:AG277" si="17">AVERAGE(B3:B276)</f>
        <v>1.1801777777777778</v>
      </c>
      <c r="C277" s="36">
        <f t="shared" si="17"/>
        <v>1.174232558139535</v>
      </c>
      <c r="D277" s="36">
        <f t="shared" si="17"/>
        <v>1.143827160493827</v>
      </c>
      <c r="E277" s="36">
        <f t="shared" si="17"/>
        <v>0.66500000000000004</v>
      </c>
      <c r="F277" s="36">
        <f t="shared" si="17"/>
        <v>1.3018181818181818</v>
      </c>
      <c r="G277" s="36">
        <f t="shared" si="17"/>
        <v>0.90166666666666673</v>
      </c>
      <c r="H277" s="47">
        <f t="shared" si="17"/>
        <v>0.65596330275229353</v>
      </c>
      <c r="I277" s="36">
        <f t="shared" si="17"/>
        <v>2.5871559633027523</v>
      </c>
      <c r="J277" s="36">
        <f t="shared" si="17"/>
        <v>0.91284403669724767</v>
      </c>
      <c r="K277" s="36">
        <f t="shared" si="17"/>
        <v>0.11467889908256881</v>
      </c>
      <c r="L277" s="36">
        <f t="shared" si="17"/>
        <v>2.2935779816513763E-2</v>
      </c>
      <c r="M277" s="36">
        <f t="shared" si="17"/>
        <v>0.11926605504587157</v>
      </c>
      <c r="N277" s="36">
        <f t="shared" si="17"/>
        <v>1.9357798165137614</v>
      </c>
      <c r="O277" s="36">
        <f t="shared" si="17"/>
        <v>0.43577981651376146</v>
      </c>
      <c r="P277" s="67">
        <f t="shared" si="17"/>
        <v>0.17889908256880735</v>
      </c>
      <c r="Q277" s="36">
        <f t="shared" si="17"/>
        <v>0.11467889908256881</v>
      </c>
      <c r="R277" s="36">
        <f t="shared" si="17"/>
        <v>5.0458715596330278E-2</v>
      </c>
      <c r="S277" s="36">
        <f t="shared" si="17"/>
        <v>0</v>
      </c>
      <c r="T277" s="36">
        <f t="shared" si="17"/>
        <v>0</v>
      </c>
      <c r="U277" s="53">
        <f t="shared" si="17"/>
        <v>0.40865384615384615</v>
      </c>
      <c r="V277" s="36">
        <f t="shared" si="17"/>
        <v>0.83653846153846156</v>
      </c>
      <c r="W277" s="36">
        <f t="shared" si="17"/>
        <v>0.79227053140096615</v>
      </c>
      <c r="X277" s="36">
        <f t="shared" si="17"/>
        <v>0.18269230769230768</v>
      </c>
      <c r="Y277" s="36">
        <f t="shared" si="17"/>
        <v>9.6153846153846159E-3</v>
      </c>
      <c r="Z277" s="36">
        <f t="shared" si="17"/>
        <v>0.18269230769230768</v>
      </c>
      <c r="AA277" s="36">
        <f t="shared" si="17"/>
        <v>3.2019230769230771</v>
      </c>
      <c r="AB277" s="36">
        <f t="shared" si="17"/>
        <v>0.44711538461538464</v>
      </c>
      <c r="AC277" s="52">
        <f t="shared" si="17"/>
        <v>0.35576923076923078</v>
      </c>
      <c r="AD277" s="36">
        <f t="shared" si="17"/>
        <v>0.23076923076923078</v>
      </c>
      <c r="AE277" s="36">
        <f t="shared" si="17"/>
        <v>0.10096153846153846</v>
      </c>
      <c r="AF277" s="36">
        <f t="shared" si="17"/>
        <v>4.807692307692308E-3</v>
      </c>
      <c r="AG277" s="36">
        <f t="shared" si="17"/>
        <v>0</v>
      </c>
      <c r="AH277" s="57">
        <f t="shared" ref="AH277:BM277" si="18">AVERAGE(AH3:AH276)</f>
        <v>0.92546583850931674</v>
      </c>
      <c r="AI277" s="36">
        <f t="shared" si="18"/>
        <v>1.8757763975155279</v>
      </c>
      <c r="AJ277" s="36">
        <f t="shared" si="18"/>
        <v>0.91304347826086951</v>
      </c>
      <c r="AK277" s="36">
        <f t="shared" si="18"/>
        <v>0.14906832298136646</v>
      </c>
      <c r="AL277" s="36">
        <f t="shared" si="18"/>
        <v>2.4844720496894408E-2</v>
      </c>
      <c r="AM277" s="36">
        <f t="shared" si="18"/>
        <v>0.21739130434782608</v>
      </c>
      <c r="AN277" s="36">
        <f t="shared" si="18"/>
        <v>2.5900621118012421</v>
      </c>
      <c r="AO277" s="36">
        <f t="shared" si="18"/>
        <v>0.47826086956521741</v>
      </c>
      <c r="AP277" s="60">
        <f t="shared" si="18"/>
        <v>0.27329192546583853</v>
      </c>
      <c r="AQ277" s="36">
        <f t="shared" si="18"/>
        <v>0.11180124223602485</v>
      </c>
      <c r="AR277" s="36">
        <f t="shared" si="18"/>
        <v>6.2111801242236024E-2</v>
      </c>
      <c r="AS277" s="36">
        <f t="shared" si="18"/>
        <v>6.2111801242236021E-3</v>
      </c>
      <c r="AT277" s="36">
        <f t="shared" si="18"/>
        <v>0</v>
      </c>
      <c r="AU277" s="6">
        <f t="shared" si="18"/>
        <v>0</v>
      </c>
      <c r="AV277" s="36">
        <f t="shared" si="18"/>
        <v>0.75</v>
      </c>
      <c r="AW277" s="36">
        <f t="shared" si="18"/>
        <v>0.25</v>
      </c>
      <c r="AX277" s="36">
        <f t="shared" si="18"/>
        <v>0.25</v>
      </c>
      <c r="AY277" s="36">
        <f t="shared" si="18"/>
        <v>0</v>
      </c>
      <c r="AZ277" s="36">
        <f t="shared" si="18"/>
        <v>0</v>
      </c>
      <c r="BA277" s="36">
        <f t="shared" si="18"/>
        <v>1</v>
      </c>
      <c r="BB277" s="36">
        <f t="shared" si="18"/>
        <v>0</v>
      </c>
      <c r="BC277" s="13">
        <f t="shared" si="18"/>
        <v>0</v>
      </c>
      <c r="BD277" s="36">
        <f t="shared" si="18"/>
        <v>0</v>
      </c>
      <c r="BE277" s="36">
        <f t="shared" si="18"/>
        <v>0</v>
      </c>
      <c r="BF277" s="36">
        <f t="shared" si="18"/>
        <v>0</v>
      </c>
      <c r="BG277" s="36">
        <f t="shared" si="18"/>
        <v>0</v>
      </c>
      <c r="BH277" s="59">
        <f t="shared" si="18"/>
        <v>0.81818181818181823</v>
      </c>
      <c r="BI277" s="36">
        <f t="shared" si="18"/>
        <v>2.1818181818181817</v>
      </c>
      <c r="BJ277" s="36">
        <f t="shared" si="18"/>
        <v>1.2727272727272727</v>
      </c>
      <c r="BK277" s="36">
        <f t="shared" si="18"/>
        <v>0.27272727272727271</v>
      </c>
      <c r="BL277" s="36">
        <f t="shared" si="18"/>
        <v>0</v>
      </c>
      <c r="BM277" s="36">
        <f t="shared" si="18"/>
        <v>0.81818181818181823</v>
      </c>
      <c r="BN277" s="36">
        <f t="shared" ref="BN277:CG277" si="19">AVERAGE(BN3:BN276)</f>
        <v>2.3636363636363638</v>
      </c>
      <c r="BO277" s="36">
        <f t="shared" si="19"/>
        <v>0.36363636363636365</v>
      </c>
      <c r="BP277" s="60">
        <f t="shared" si="19"/>
        <v>9.0909090909090912E-2</v>
      </c>
      <c r="BQ277" s="36">
        <f t="shared" si="19"/>
        <v>0.18181818181818182</v>
      </c>
      <c r="BR277" s="36">
        <f t="shared" si="19"/>
        <v>0</v>
      </c>
      <c r="BS277" s="36">
        <f t="shared" si="19"/>
        <v>0</v>
      </c>
      <c r="BT277" s="36">
        <f t="shared" si="19"/>
        <v>0</v>
      </c>
      <c r="BU277" s="48">
        <f t="shared" si="19"/>
        <v>0.16666666666666666</v>
      </c>
      <c r="BV277" s="48">
        <f t="shared" si="19"/>
        <v>1.6666666666666667</v>
      </c>
      <c r="BW277" s="48">
        <f t="shared" si="19"/>
        <v>0.66666666666666663</v>
      </c>
      <c r="BX277" s="48">
        <f t="shared" si="19"/>
        <v>0</v>
      </c>
      <c r="BY277" s="48">
        <f t="shared" si="19"/>
        <v>0</v>
      </c>
      <c r="BZ277" s="48">
        <f t="shared" si="19"/>
        <v>0</v>
      </c>
      <c r="CA277" s="48">
        <f t="shared" si="19"/>
        <v>2</v>
      </c>
      <c r="CB277" s="48">
        <f t="shared" si="19"/>
        <v>0.16666666666666666</v>
      </c>
      <c r="CC277" s="13">
        <f t="shared" si="19"/>
        <v>0.33333333333333331</v>
      </c>
      <c r="CD277" s="48">
        <f t="shared" si="19"/>
        <v>0</v>
      </c>
      <c r="CE277" s="48">
        <f t="shared" si="19"/>
        <v>0</v>
      </c>
      <c r="CF277" s="48">
        <f t="shared" si="19"/>
        <v>0</v>
      </c>
      <c r="CG277" s="48">
        <f t="shared" si="19"/>
        <v>0</v>
      </c>
      <c r="CH277" s="35"/>
      <c r="CI277" s="35"/>
      <c r="CJ277" s="35"/>
      <c r="CK277" s="35"/>
      <c r="CL277" s="35"/>
      <c r="CM277" s="35"/>
      <c r="CN277" s="35"/>
      <c r="CO277" s="35"/>
      <c r="CP277" s="35"/>
      <c r="CQ277" s="35"/>
      <c r="CR277" s="35"/>
      <c r="CS277" s="35"/>
      <c r="CT277" s="35"/>
      <c r="CU277" s="35"/>
      <c r="CV277" s="35"/>
      <c r="CW277" s="35"/>
      <c r="CX277" s="35"/>
      <c r="CY277" s="35"/>
      <c r="CZ277" s="35"/>
      <c r="DA277" s="35"/>
      <c r="DB277" s="35"/>
      <c r="DC277" s="35"/>
      <c r="DD277" s="35"/>
      <c r="DE277" s="35"/>
      <c r="DF277" s="35"/>
      <c r="DG277" s="35"/>
      <c r="DH277" s="35"/>
      <c r="DI277" s="35"/>
      <c r="DJ277" s="35"/>
      <c r="DK277" s="35"/>
      <c r="DL277" s="35"/>
      <c r="DM277" s="35"/>
      <c r="DN277" s="35"/>
      <c r="DO277" s="35"/>
      <c r="DP277" s="35"/>
      <c r="DQ277" s="35"/>
      <c r="DR277" s="35"/>
      <c r="DS277" s="35"/>
    </row>
  </sheetData>
  <mergeCells count="34"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  <mergeCell ref="CJ6:CO6"/>
    <mergeCell ref="CP6:CU6"/>
    <mergeCell ref="CV6:DA6"/>
    <mergeCell ref="DB6:DG6"/>
    <mergeCell ref="DH6:DM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DT6:DY6"/>
    <mergeCell ref="DZ3:EE3"/>
    <mergeCell ref="DZ1:EE1"/>
    <mergeCell ref="DT1:DY1"/>
    <mergeCell ref="DT3:DY3"/>
    <mergeCell ref="DZ4:EE4"/>
    <mergeCell ref="DZ6:EE6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workbookViewId="0">
      <selection activeCell="R30" sqref="R30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3125" t="s">
        <v>1101</v>
      </c>
      <c r="CK1" s="3125"/>
      <c r="CL1" s="3125"/>
      <c r="CM1" s="3125"/>
      <c r="CN1" s="3125"/>
      <c r="CO1" s="3125"/>
      <c r="CP1" s="3118" t="s">
        <v>1112</v>
      </c>
      <c r="CQ1" s="3119"/>
      <c r="CR1" s="3119"/>
      <c r="CS1" s="3119"/>
      <c r="CT1" s="3119"/>
      <c r="CU1" s="3119"/>
      <c r="CV1" s="3126" t="s">
        <v>1102</v>
      </c>
      <c r="CW1" s="3126"/>
      <c r="CX1" s="3126"/>
      <c r="CY1" s="3126"/>
      <c r="CZ1" s="3126"/>
      <c r="DA1" s="3126"/>
      <c r="DB1" s="3122" t="s">
        <v>1103</v>
      </c>
      <c r="DC1" s="3122"/>
      <c r="DD1" s="3122"/>
      <c r="DE1" s="3122"/>
      <c r="DF1" s="3122"/>
      <c r="DG1" s="3122"/>
      <c r="DH1" s="3126" t="s">
        <v>1105</v>
      </c>
      <c r="DI1" s="3126"/>
      <c r="DJ1" s="3126"/>
      <c r="DK1" s="3126"/>
      <c r="DL1" s="3126"/>
      <c r="DM1" s="3126"/>
      <c r="DN1" s="3120" t="s">
        <v>997</v>
      </c>
      <c r="DO1" s="3120"/>
      <c r="DP1" s="3120"/>
      <c r="DQ1" s="3120"/>
      <c r="DR1" s="3120"/>
      <c r="DS1" s="3120"/>
      <c r="DT1" s="3120" t="s">
        <v>998</v>
      </c>
      <c r="DU1" s="3120"/>
      <c r="DV1" s="3120"/>
      <c r="DW1" s="3120"/>
      <c r="DX1" s="3120"/>
      <c r="DY1" s="3120"/>
    </row>
    <row r="2" spans="1:129" x14ac:dyDescent="0.25">
      <c r="A2" s="44" t="s">
        <v>1107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3101" t="e">
        <f>_xlfn.AGGREGATE(1,6,CJ2:CO2)</f>
        <v>#DIV/0!</v>
      </c>
      <c r="CK3" s="3101"/>
      <c r="CL3" s="3101"/>
      <c r="CM3" s="3101"/>
      <c r="CN3" s="3101"/>
      <c r="CO3" s="3101"/>
      <c r="CP3" s="3101">
        <f t="shared" ref="CP3" si="1">_xlfn.AGGREGATE(1,6,CP2:CU2)</f>
        <v>1.4500000000000002</v>
      </c>
      <c r="CQ3" s="3101"/>
      <c r="CR3" s="3101"/>
      <c r="CS3" s="3101"/>
      <c r="CT3" s="3101"/>
      <c r="CU3" s="3101"/>
      <c r="CV3" s="3101" t="e">
        <f t="shared" ref="CV3" si="2">_xlfn.AGGREGATE(1,6,CV2:DA2)</f>
        <v>#DIV/0!</v>
      </c>
      <c r="CW3" s="3101"/>
      <c r="CX3" s="3101"/>
      <c r="CY3" s="3101"/>
      <c r="CZ3" s="3101"/>
      <c r="DA3" s="3101"/>
      <c r="DB3" s="3101" t="e">
        <f t="shared" ref="DB3" si="3">_xlfn.AGGREGATE(1,6,DB2:DG2)</f>
        <v>#DIV/0!</v>
      </c>
      <c r="DC3" s="3101"/>
      <c r="DD3" s="3101"/>
      <c r="DE3" s="3101"/>
      <c r="DF3" s="3101"/>
      <c r="DG3" s="3101"/>
      <c r="DH3" s="3101" t="e">
        <f t="shared" ref="DH3" si="4">_xlfn.AGGREGATE(1,6,DH2:DM2)</f>
        <v>#DIV/0!</v>
      </c>
      <c r="DI3" s="3101"/>
      <c r="DJ3" s="3101"/>
      <c r="DK3" s="3101"/>
      <c r="DL3" s="3101"/>
      <c r="DM3" s="3101"/>
      <c r="DN3" s="3101" t="e">
        <f t="shared" ref="DN3" si="5">_xlfn.AGGREGATE(1,6,DN2:DS2)</f>
        <v>#DIV/0!</v>
      </c>
      <c r="DO3" s="3101"/>
      <c r="DP3" s="3101"/>
      <c r="DQ3" s="3101"/>
      <c r="DR3" s="3101"/>
      <c r="DS3" s="3101"/>
      <c r="DT3" s="3101" t="e">
        <f t="shared" ref="DT3" si="6">_xlfn.AGGREGATE(1,6,DT2:DY2)</f>
        <v>#DIV/0!</v>
      </c>
      <c r="DU3" s="3101"/>
      <c r="DV3" s="3101"/>
      <c r="DW3" s="3101"/>
      <c r="DX3" s="3101"/>
      <c r="DY3" s="3101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3122" t="s">
        <v>1100</v>
      </c>
      <c r="CK4" s="3122"/>
      <c r="CL4" s="3122"/>
      <c r="CM4" s="3122"/>
      <c r="CN4" s="3122"/>
      <c r="CO4" s="3122"/>
      <c r="CP4" s="3119" t="s">
        <v>993</v>
      </c>
      <c r="CQ4" s="3119"/>
      <c r="CR4" s="3119"/>
      <c r="CS4" s="3119"/>
      <c r="CT4" s="3119"/>
      <c r="CU4" s="3119"/>
      <c r="CV4" s="3120" t="s">
        <v>994</v>
      </c>
      <c r="CW4" s="3120"/>
      <c r="CX4" s="3120"/>
      <c r="CY4" s="3120"/>
      <c r="CZ4" s="3120"/>
      <c r="DA4" s="3120"/>
      <c r="DB4" s="3122" t="s">
        <v>1104</v>
      </c>
      <c r="DC4" s="3122"/>
      <c r="DD4" s="3122"/>
      <c r="DE4" s="3122"/>
      <c r="DF4" s="3122"/>
      <c r="DG4" s="3122"/>
      <c r="DH4" s="3120" t="s">
        <v>996</v>
      </c>
      <c r="DI4" s="3120"/>
      <c r="DJ4" s="3120"/>
      <c r="DK4" s="3120"/>
      <c r="DL4" s="3120"/>
      <c r="DM4" s="3120"/>
      <c r="DN4" s="3121" t="s">
        <v>1106</v>
      </c>
      <c r="DO4" s="3120"/>
      <c r="DP4" s="3120"/>
      <c r="DQ4" s="3120"/>
      <c r="DR4" s="3120"/>
      <c r="DS4" s="3120"/>
    </row>
  </sheetData>
  <mergeCells count="20">
    <mergeCell ref="DN4:DS4"/>
    <mergeCell ref="CJ4:CO4"/>
    <mergeCell ref="CP4:CU4"/>
    <mergeCell ref="CV4:DA4"/>
    <mergeCell ref="DB4:DG4"/>
    <mergeCell ref="DH4:DM4"/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2025-11-12T16:41:53Z</dcterms:modified>
</cp:coreProperties>
</file>