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BB86763F-6C22-4F4D-BD09-71ABD5C5F131}" xr6:coauthVersionLast="45" xr6:coauthVersionMax="47" xr10:uidLastSave="{00000000-0000-0000-0000-000000000000}"/>
  <bookViews>
    <workbookView xWindow="-120" yWindow="-120" windowWidth="29040" windowHeight="15720" firstSheet="8" activeTab="16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V2" i="18" l="1"/>
  <c r="T4" i="19"/>
  <c r="L4" i="19"/>
  <c r="M4" i="19"/>
  <c r="N4" i="19"/>
  <c r="O4" i="19"/>
  <c r="U4" i="19"/>
  <c r="V4" i="19"/>
  <c r="W4" i="19"/>
  <c r="B19" i="19"/>
  <c r="CW2" i="18"/>
  <c r="CX2" i="18"/>
  <c r="DF5" i="18"/>
  <c r="DE5" i="18"/>
  <c r="DC5" i="18"/>
  <c r="DD5" i="18"/>
  <c r="DB5" i="18"/>
  <c r="CK5" i="18"/>
  <c r="CL5" i="18"/>
  <c r="CJ5" i="18"/>
  <c r="DI2" i="18"/>
  <c r="DJ2" i="18"/>
  <c r="DH2" i="18"/>
  <c r="CQ2" i="18"/>
  <c r="CR2" i="18"/>
  <c r="CP2" i="18"/>
  <c r="CK2" i="18"/>
  <c r="CL2" i="18"/>
  <c r="CJ2" i="18"/>
  <c r="DB5" i="16"/>
  <c r="B48" i="16"/>
  <c r="DI5" i="16" l="1"/>
  <c r="DH6" i="16" s="1"/>
  <c r="DJ5" i="16"/>
  <c r="DK5" i="16"/>
  <c r="DL5" i="16"/>
  <c r="DH5" i="16"/>
  <c r="CW5" i="18"/>
  <c r="CX5" i="18"/>
  <c r="CY5" i="18"/>
  <c r="CZ5" i="18"/>
  <c r="CV5" i="18"/>
  <c r="CQ5" i="18"/>
  <c r="CR5" i="18"/>
  <c r="CS5" i="18"/>
  <c r="CT5" i="18"/>
  <c r="CP5" i="18"/>
  <c r="CM5" i="18"/>
  <c r="CN5" i="18"/>
  <c r="H332" i="14"/>
  <c r="CV2" i="16" l="1"/>
  <c r="CJ2" i="16" l="1"/>
  <c r="DK2" i="18"/>
  <c r="DL2" i="18"/>
  <c r="CY2" i="18"/>
  <c r="CZ2" i="18"/>
  <c r="CS2" i="18"/>
  <c r="CT2" i="18"/>
  <c r="CM2" i="18"/>
  <c r="CN2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E19" i="19"/>
  <c r="D19" i="19"/>
  <c r="C19" i="19"/>
  <c r="CB33" i="18"/>
  <c r="CA33" i="18"/>
  <c r="BZ33" i="18"/>
  <c r="BY33" i="18"/>
  <c r="BX33" i="18"/>
  <c r="BW33" i="18"/>
  <c r="BV33" i="18"/>
  <c r="BU33" i="18"/>
  <c r="BT33" i="18"/>
  <c r="BS33" i="18"/>
  <c r="BR33" i="18"/>
  <c r="BQ33" i="18"/>
  <c r="BP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D33" i="18"/>
  <c r="C33" i="18"/>
  <c r="B33" i="18"/>
  <c r="BS48" i="16"/>
  <c r="BR48" i="16"/>
  <c r="BQ48" i="16"/>
  <c r="BP48" i="16"/>
  <c r="BO48" i="16"/>
  <c r="BN48" i="16"/>
  <c r="BM48" i="16"/>
  <c r="BL48" i="16"/>
  <c r="BK48" i="16"/>
  <c r="BJ48" i="16"/>
  <c r="BI48" i="16"/>
  <c r="BH48" i="16"/>
  <c r="BG48" i="16"/>
  <c r="BF48" i="16"/>
  <c r="BE48" i="16"/>
  <c r="BD48" i="16"/>
  <c r="BC48" i="16"/>
  <c r="BB48" i="16"/>
  <c r="BA48" i="16"/>
  <c r="AZ48" i="16"/>
  <c r="AY48" i="16"/>
  <c r="AX48" i="16"/>
  <c r="AW48" i="16"/>
  <c r="AV48" i="16"/>
  <c r="AU48" i="16"/>
  <c r="AT48" i="16"/>
  <c r="AS48" i="16"/>
  <c r="AR48" i="16"/>
  <c r="AQ48" i="16"/>
  <c r="AP48" i="16"/>
  <c r="AO48" i="16"/>
  <c r="AN48" i="16"/>
  <c r="AM48" i="16"/>
  <c r="AL48" i="16"/>
  <c r="AK48" i="16"/>
  <c r="AJ48" i="16"/>
  <c r="AI48" i="16"/>
  <c r="AH48" i="16"/>
  <c r="AG48" i="16"/>
  <c r="AF48" i="16"/>
  <c r="AE48" i="16"/>
  <c r="AD48" i="16"/>
  <c r="AC48" i="16"/>
  <c r="AB48" i="16"/>
  <c r="AA48" i="16"/>
  <c r="Z48" i="16"/>
  <c r="Y48" i="16"/>
  <c r="X48" i="16"/>
  <c r="W48" i="16"/>
  <c r="V48" i="16"/>
  <c r="U48" i="16"/>
  <c r="T48" i="16"/>
  <c r="S48" i="16"/>
  <c r="R48" i="16"/>
  <c r="Q48" i="16"/>
  <c r="P48" i="16"/>
  <c r="O48" i="16"/>
  <c r="N48" i="16"/>
  <c r="M48" i="16"/>
  <c r="L48" i="16"/>
  <c r="K48" i="16"/>
  <c r="J48" i="16"/>
  <c r="I48" i="16"/>
  <c r="H48" i="16"/>
  <c r="G48" i="16"/>
  <c r="F48" i="16"/>
  <c r="E48" i="16"/>
  <c r="D48" i="16"/>
  <c r="C48" i="16"/>
</calcChain>
</file>

<file path=xl/sharedStrings.xml><?xml version="1.0" encoding="utf-8"?>
<sst xmlns="http://schemas.openxmlformats.org/spreadsheetml/2006/main" count="2839" uniqueCount="1423">
  <si>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</si>
  <si>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</si>
  <si>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</si>
  <si>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</si>
  <si>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</si>
  <si>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</si>
  <si>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</si>
  <si>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</si>
  <si>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</si>
  <si>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</si>
  <si>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</si>
  <si>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</si>
  <si>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</si>
  <si>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</si>
  <si>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</si>
  <si>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</si>
  <si>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</si>
  <si>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</si>
  <si>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</si>
  <si>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</si>
  <si>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</si>
  <si>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</si>
  <si>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</si>
  <si>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</si>
  <si>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</si>
  <si>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</si>
  <si>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</si>
  <si>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</si>
  <si>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</si>
  <si>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</si>
  <si>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</si>
  <si>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</si>
  <si>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</si>
  <si>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</si>
  <si>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</si>
  <si>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</si>
  <si>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</si>
  <si>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</si>
  <si>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</si>
  <si>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</si>
  <si>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</si>
  <si>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</si>
  <si>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</si>
  <si>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</si>
  <si>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</si>
  <si>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</si>
  <si>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</si>
  <si>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</si>
  <si>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</si>
  <si>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</si>
  <si>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</si>
  <si>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</si>
  <si>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</si>
  <si>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</si>
  <si>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</si>
  <si>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</si>
  <si>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</si>
  <si>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</si>
  <si>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</si>
  <si>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</si>
  <si>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</si>
  <si>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</si>
  <si>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</si>
  <si>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</si>
  <si>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</si>
  <si>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</si>
  <si>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</si>
  <si>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</si>
  <si>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</si>
  <si>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</si>
  <si>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</si>
  <si>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</si>
  <si>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</si>
  <si>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</si>
  <si>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</si>
  <si>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</si>
  <si>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</si>
  <si>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</si>
  <si>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</si>
  <si>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</si>
  <si>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</si>
  <si>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</si>
  <si>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</si>
  <si>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</si>
  <si>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</si>
  <si>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</si>
  <si>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</si>
  <si>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</si>
  <si>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</si>
  <si>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</si>
  <si>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</si>
  <si>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</si>
  <si>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</si>
  <si>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</si>
  <si>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</si>
  <si>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</si>
  <si>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</si>
  <si>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</si>
  <si>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</si>
  <si>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</si>
  <si>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</si>
  <si>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</si>
  <si>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</si>
  <si>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</si>
  <si>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</si>
  <si>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</si>
  <si>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</si>
  <si>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</si>
  <si>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</si>
  <si>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</si>
  <si>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</si>
  <si>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</si>
  <si>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</si>
  <si>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</si>
  <si>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</si>
  <si>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</si>
  <si>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</si>
  <si>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</si>
  <si>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</si>
  <si>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</si>
  <si>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</si>
  <si>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</si>
  <si>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</si>
  <si>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</si>
  <si>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</si>
  <si>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</si>
  <si>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</si>
  <si>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</si>
  <si>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</si>
  <si>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</si>
  <si>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</si>
  <si>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</si>
  <si>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</si>
  <si>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</si>
  <si>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</si>
  <si>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</si>
  <si>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</si>
  <si>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</si>
  <si>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</si>
  <si>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</si>
  <si>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</si>
  <si>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</si>
  <si>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</si>
  <si>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</si>
  <si>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</si>
  <si>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</si>
  <si>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</si>
  <si>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</si>
  <si>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</si>
  <si>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</si>
  <si>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</si>
  <si>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</si>
  <si>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</si>
  <si>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</si>
  <si>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</si>
  <si>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</si>
  <si>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</si>
  <si>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</si>
  <si>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</si>
  <si>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</si>
  <si>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</si>
  <si>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</si>
  <si>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</si>
  <si>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</si>
  <si>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</si>
  <si>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</si>
  <si>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</si>
  <si>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</si>
  <si>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</si>
  <si>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</si>
  <si>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</si>
  <si>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</si>
  <si>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</si>
  <si>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</si>
  <si>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</si>
  <si>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</si>
  <si>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</si>
  <si>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</si>
  <si>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</si>
  <si>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</si>
  <si>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</si>
  <si>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</si>
  <si>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</si>
  <si>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</si>
  <si>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</si>
  <si>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</si>
  <si>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</si>
  <si>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</si>
  <si>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</si>
  <si>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</si>
  <si>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</si>
  <si>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</si>
  <si>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</si>
  <si>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</si>
  <si>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</si>
  <si>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</si>
  <si>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</si>
  <si>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</si>
  <si>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</si>
  <si>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</si>
  <si>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</si>
  <si>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</si>
  <si>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</si>
  <si>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</si>
  <si>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</si>
  <si>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</si>
  <si>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</si>
  <si>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</si>
  <si>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</si>
  <si>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</si>
  <si>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</si>
  <si>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</si>
  <si>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</si>
  <si>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</si>
  <si>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</si>
  <si>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</si>
  <si>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</si>
  <si>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</si>
  <si>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</si>
  <si>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</si>
  <si>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</si>
  <si>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</si>
  <si>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</si>
  <si>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</si>
  <si>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</si>
  <si>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</si>
  <si>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</si>
  <si>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</si>
  <si>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</si>
  <si>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</si>
  <si>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</si>
  <si>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</si>
  <si>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</si>
  <si>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</si>
  <si>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</si>
  <si>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</si>
  <si>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</si>
  <si>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</si>
  <si>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</si>
  <si>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</si>
  <si>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</si>
  <si>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</si>
  <si>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</si>
  <si>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</si>
  <si>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</si>
  <si>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</si>
  <si>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</si>
  <si>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</si>
  <si>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</si>
  <si>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</si>
  <si>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</si>
  <si>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</si>
  <si>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</si>
  <si>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</si>
  <si>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</si>
  <si>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</si>
  <si>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</si>
  <si>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</si>
  <si>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</si>
  <si>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</si>
  <si>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</si>
  <si>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</si>
  <si>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</si>
  <si>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</si>
  <si>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</si>
  <si>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</si>
  <si>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</si>
  <si>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</si>
  <si>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</si>
  <si>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</si>
  <si>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</si>
  <si>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</si>
  <si>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</si>
  <si>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</si>
  <si>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</si>
  <si>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</si>
  <si>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</si>
  <si>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</si>
  <si>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</si>
  <si>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</si>
  <si>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</si>
  <si>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</si>
  <si>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</si>
  <si>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</si>
  <si>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</si>
  <si>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</si>
  <si>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</si>
  <si>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</si>
  <si>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</si>
  <si>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</si>
  <si>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</si>
  <si>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</si>
  <si>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</si>
  <si>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</si>
  <si>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</si>
  <si>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</si>
  <si>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</si>
  <si>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</si>
  <si>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</si>
  <si>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</si>
  <si>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</si>
  <si>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</si>
  <si>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</si>
  <si>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</si>
  <si>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</si>
  <si>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</si>
  <si>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</si>
  <si>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</si>
  <si>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</si>
  <si>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</si>
  <si>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</si>
  <si>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</si>
  <si>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</si>
  <si>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</si>
  <si>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</si>
  <si>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</si>
  <si>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</si>
  <si>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</si>
  <si>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</si>
  <si>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</si>
  <si>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</si>
  <si>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</si>
  <si>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</si>
  <si>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</si>
  <si>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</si>
  <si>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</si>
  <si>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</si>
  <si>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</si>
  <si>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</si>
  <si>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</si>
  <si>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</si>
  <si>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</si>
  <si>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</si>
  <si>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</si>
  <si>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</si>
  <si>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</si>
  <si>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</si>
  <si>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</si>
  <si>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</si>
  <si>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</si>
  <si>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</si>
  <si>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</si>
  <si>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</si>
  <si>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</si>
  <si>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</si>
  <si>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</si>
  <si>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</si>
  <si>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</si>
  <si>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</si>
  <si>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</si>
  <si>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</si>
  <si>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</si>
  <si>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</si>
  <si>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</si>
  <si>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</si>
  <si>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</si>
  <si>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</si>
  <si>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</si>
  <si>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</si>
  <si>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</si>
  <si>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</si>
  <si>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</si>
  <si>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</si>
  <si>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</si>
  <si>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</si>
  <si>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</si>
  <si>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</si>
  <si>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</si>
  <si>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</si>
  <si>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</si>
  <si>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</si>
  <si>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</si>
  <si>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</si>
  <si>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</si>
  <si>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</si>
  <si>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</si>
  <si>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</si>
  <si>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</si>
  <si>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</si>
  <si>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</si>
  <si>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</si>
  <si>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</si>
  <si>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</si>
  <si>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</si>
  <si>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</si>
  <si>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</si>
  <si>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</si>
  <si>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</si>
  <si>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</si>
  <si>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</si>
  <si>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</si>
  <si>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</si>
  <si>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</si>
  <si>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</si>
  <si>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</si>
  <si>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</si>
  <si>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</si>
  <si>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</si>
  <si>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</si>
  <si>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</si>
  <si>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</si>
  <si>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</si>
  <si>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</si>
  <si>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</si>
  <si>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</si>
  <si>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</si>
  <si>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</si>
  <si>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</si>
  <si>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</si>
  <si>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</si>
  <si>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</si>
  <si>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</si>
  <si>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</si>
  <si>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</si>
  <si>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</si>
  <si>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</si>
  <si>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</si>
  <si>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</si>
  <si>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</si>
  <si>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</si>
  <si>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</si>
  <si>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</si>
  <si>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</si>
  <si>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</si>
  <si>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</si>
  <si>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</si>
  <si>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</si>
  <si>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</si>
  <si>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</si>
  <si>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</si>
  <si>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</si>
  <si>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</si>
  <si>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</si>
  <si>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</si>
  <si>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</si>
  <si>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</si>
  <si>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</si>
  <si>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</si>
  <si>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</si>
  <si>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</si>
  <si>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</si>
  <si>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</si>
  <si>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</si>
  <si>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</si>
  <si>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</si>
  <si>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</si>
  <si>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</si>
  <si>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</si>
  <si>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</si>
  <si>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</si>
  <si>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</si>
  <si>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</si>
  <si>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</si>
  <si>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</si>
  <si>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</si>
  <si>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</si>
  <si>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</si>
  <si>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</si>
  <si>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</si>
  <si>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</si>
  <si>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</si>
  <si>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</si>
  <si>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</si>
  <si>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</si>
  <si>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</si>
  <si>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</si>
  <si>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</si>
  <si>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</si>
  <si>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</si>
  <si>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</si>
  <si>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</si>
  <si>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</si>
  <si>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</si>
  <si>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</si>
  <si>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</si>
  <si>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</si>
  <si>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</si>
  <si>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</si>
  <si>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</si>
  <si>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</si>
  <si>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</si>
  <si>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</si>
  <si>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</si>
  <si>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</si>
  <si>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</si>
  <si>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</si>
  <si>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</si>
  <si>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</si>
  <si>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</si>
  <si>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</si>
  <si>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</si>
  <si>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</si>
  <si>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</si>
  <si>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</si>
  <si>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</si>
  <si>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</si>
  <si>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</si>
  <si>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</si>
  <si>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</si>
  <si>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</si>
  <si>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</si>
  <si>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</si>
  <si>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</si>
  <si>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</si>
  <si>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</si>
  <si>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</si>
  <si>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</si>
  <si>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</si>
  <si>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</si>
  <si>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</si>
  <si>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</si>
  <si>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</si>
  <si>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</si>
  <si>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</si>
  <si>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</si>
  <si>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</si>
  <si>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</si>
  <si>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</si>
  <si>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</si>
  <si>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</si>
  <si>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</si>
  <si>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</si>
  <si>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</si>
  <si>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</si>
  <si>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</si>
  <si>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</si>
  <si>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</si>
  <si>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</si>
  <si>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</si>
  <si>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</si>
  <si>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</si>
  <si>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</si>
  <si>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</si>
  <si>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</si>
  <si>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</si>
  <si>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</si>
  <si>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</si>
  <si>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</si>
  <si>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</si>
  <si>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</si>
  <si>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</si>
  <si>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</si>
  <si>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</si>
  <si>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</si>
  <si>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</si>
  <si>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</si>
  <si>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</si>
  <si>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</si>
  <si>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</si>
  <si>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</si>
  <si>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</si>
  <si>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</si>
  <si>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</si>
  <si>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</si>
  <si>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</si>
  <si>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</si>
  <si>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</si>
  <si>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</si>
  <si>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</si>
  <si>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</si>
  <si>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</si>
  <si>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</si>
  <si>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</si>
  <si>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</si>
  <si>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</si>
  <si>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</si>
  <si>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</si>
  <si>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</si>
  <si>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</si>
  <si>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</si>
  <si>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</si>
  <si>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</si>
  <si>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</si>
  <si>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</si>
  <si>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</si>
  <si>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</si>
  <si>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</si>
  <si>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</si>
  <si>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</si>
  <si>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</si>
  <si>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</si>
  <si>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</si>
  <si>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</si>
  <si>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</si>
  <si>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</si>
  <si>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</si>
  <si>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</si>
  <si>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</si>
  <si>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</si>
  <si>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</si>
  <si>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</si>
  <si>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</si>
  <si>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</si>
  <si>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</si>
  <si>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</si>
  <si>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</si>
  <si>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</si>
  <si>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</si>
  <si>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</si>
  <si>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</si>
  <si>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</si>
  <si>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</si>
  <si>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</si>
  <si>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</si>
  <si>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</si>
  <si>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</si>
  <si>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</si>
  <si>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</si>
  <si>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</si>
  <si>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</si>
  <si>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</si>
  <si>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</si>
  <si>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</si>
  <si>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</si>
  <si>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</si>
  <si>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</si>
  <si>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</si>
  <si>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</si>
  <si>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</si>
  <si>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</si>
  <si>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</si>
  <si>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</si>
  <si>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</si>
  <si>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</si>
  <si>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</si>
  <si>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</si>
  <si>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</si>
  <si>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</si>
  <si>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</si>
  <si>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</si>
  <si>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</si>
  <si>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</si>
  <si>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</si>
  <si>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</si>
  <si>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</si>
  <si>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</si>
  <si>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</si>
  <si>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</si>
  <si>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</si>
  <si>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</si>
  <si>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</si>
  <si>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</si>
  <si>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</si>
  <si>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</si>
  <si>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</si>
  <si>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</si>
  <si>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</si>
  <si>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</si>
  <si>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</si>
  <si>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</si>
  <si>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</si>
  <si>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</si>
  <si>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</si>
  <si>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</si>
  <si>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</si>
  <si>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</si>
  <si>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</si>
  <si>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</si>
  <si>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</si>
  <si>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</si>
  <si>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</si>
  <si>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</si>
  <si>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</si>
  <si>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</si>
  <si>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</si>
  <si>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</si>
  <si>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</si>
  <si>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</si>
  <si>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</si>
  <si>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</si>
  <si>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</si>
  <si>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</si>
  <si>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</si>
  <si>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</si>
  <si>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</si>
  <si>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</si>
  <si>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</si>
  <si>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</si>
  <si>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</si>
  <si>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</si>
  <si>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</si>
  <si>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</si>
  <si>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</si>
  <si>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</si>
  <si>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</si>
  <si>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</si>
  <si>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</si>
  <si>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</si>
  <si>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</si>
  <si>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</si>
  <si>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</si>
  <si>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</si>
  <si>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</si>
  <si>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</si>
  <si>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</si>
  <si>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</si>
  <si>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</si>
  <si>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</si>
  <si>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</si>
  <si>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</si>
  <si>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</si>
  <si>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</si>
  <si>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</si>
  <si>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</si>
  <si>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</si>
  <si>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</si>
  <si>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</si>
  <si>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</si>
  <si>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</si>
  <si>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</si>
  <si>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</si>
  <si>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</si>
  <si>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</si>
  <si>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</si>
  <si>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</si>
  <si>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</si>
  <si>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</si>
  <si>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</si>
  <si>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</si>
  <si>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</si>
  <si>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</si>
  <si>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</si>
  <si>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</si>
  <si>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</si>
  <si>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</si>
  <si>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</si>
  <si>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</si>
  <si>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</si>
  <si>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</si>
  <si>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</si>
  <si>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</si>
  <si>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</si>
  <si>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</si>
  <si>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</si>
  <si>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</si>
  <si>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</si>
  <si>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</si>
  <si>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</si>
  <si>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</si>
  <si>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</si>
  <si>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</si>
  <si>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</si>
  <si>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</si>
  <si>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</si>
  <si>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</si>
  <si>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</si>
  <si>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</si>
  <si>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</si>
  <si>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</si>
  <si>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</si>
  <si>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</si>
  <si>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</si>
  <si>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</si>
  <si>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</si>
  <si>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</si>
  <si>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</si>
  <si>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</si>
  <si>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</si>
  <si>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</si>
  <si>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</si>
  <si>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</si>
  <si>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</si>
  <si>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</si>
  <si>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</si>
  <si>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</si>
  <si>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</si>
  <si>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</si>
  <si>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</si>
  <si>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</si>
  <si>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</si>
  <si>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</si>
  <si>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</si>
  <si>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</si>
  <si>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</si>
  <si>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</si>
  <si>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</si>
  <si>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</si>
  <si>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</si>
  <si>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</si>
  <si>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</si>
  <si>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</si>
  <si>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</si>
  <si>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</si>
  <si>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</si>
  <si>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</si>
  <si>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</si>
  <si>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</si>
  <si>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</si>
  <si>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</si>
  <si>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</si>
  <si>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</si>
  <si>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</si>
  <si>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</si>
  <si>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</si>
  <si>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</si>
  <si>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</si>
  <si>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</si>
  <si>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</si>
  <si>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</si>
  <si>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</si>
  <si>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</si>
  <si>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</si>
  <si>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</si>
  <si>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</si>
  <si>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</si>
  <si>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</si>
  <si>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</si>
  <si>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</si>
  <si>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</si>
  <si>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</si>
  <si>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</si>
  <si>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</si>
  <si>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</si>
  <si>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</si>
  <si>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</si>
  <si>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</si>
  <si>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</si>
  <si>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</si>
  <si>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</si>
  <si>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</si>
  <si>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</si>
  <si>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</si>
  <si>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</si>
  <si>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</si>
  <si>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</si>
  <si>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</si>
  <si>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</si>
  <si>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</si>
  <si>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</si>
  <si>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</si>
  <si>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</si>
  <si>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</si>
  <si>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</si>
  <si>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</si>
  <si>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</si>
  <si>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</si>
  <si>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</si>
  <si>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</si>
  <si>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</si>
  <si>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</si>
  <si>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</si>
  <si>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</si>
  <si>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</si>
  <si>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</si>
  <si>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</si>
  <si>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</si>
  <si>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</si>
  <si>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</si>
  <si>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</si>
  <si>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</si>
  <si>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</si>
  <si>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</si>
  <si>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</si>
  <si>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</si>
  <si>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</si>
  <si>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</si>
  <si>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</si>
  <si>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</si>
  <si>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</si>
  <si>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</si>
  <si>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</si>
  <si>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</si>
  <si>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</si>
  <si>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</si>
  <si>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</si>
  <si>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</si>
  <si>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</si>
  <si>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</si>
  <si>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</si>
  <si>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</si>
  <si>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</si>
  <si>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</si>
  <si>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</si>
  <si>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</si>
  <si>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</si>
  <si>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</si>
  <si>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</si>
  <si>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</si>
  <si>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</si>
  <si>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</si>
  <si>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</si>
  <si>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</si>
  <si>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</si>
  <si>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</si>
  <si>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</si>
  <si>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</si>
  <si>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</si>
  <si>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</si>
  <si>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</si>
  <si>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</si>
  <si>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</si>
  <si>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</si>
  <si>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</si>
  <si>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</si>
  <si>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</si>
  <si>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</si>
  <si>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</si>
  <si>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</si>
  <si>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</si>
  <si>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</si>
  <si>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</si>
  <si>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</si>
  <si>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</si>
  <si>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</si>
  <si>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</si>
  <si>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</si>
  <si>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</si>
  <si>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</si>
  <si>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</si>
  <si>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</si>
  <si>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</si>
  <si>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</si>
  <si>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</si>
  <si>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</si>
  <si>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</si>
  <si>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</si>
  <si>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</si>
  <si>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</si>
  <si>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</si>
  <si>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</si>
  <si>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</si>
  <si>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</si>
  <si>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</si>
  <si>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</si>
  <si>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</si>
  <si>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</si>
  <si>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</si>
  <si>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</si>
  <si>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</si>
  <si>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</si>
  <si>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</si>
  <si>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</si>
  <si>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</si>
  <si>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</si>
  <si>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</si>
  <si>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</si>
  <si>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</si>
  <si>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</si>
  <si>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</si>
  <si>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</si>
  <si>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</si>
  <si>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</si>
  <si>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</si>
  <si>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</si>
  <si>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</si>
  <si>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</si>
  <si>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</si>
  <si>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</si>
  <si>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</si>
  <si>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</si>
  <si>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</si>
  <si>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</si>
  <si>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</si>
  <si>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</si>
  <si>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</si>
  <si>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</si>
  <si>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</si>
  <si>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</si>
  <si>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</si>
  <si>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</si>
  <si>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</si>
  <si>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</si>
  <si>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</si>
  <si>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</si>
  <si>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</si>
  <si>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</si>
  <si>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</si>
  <si>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</si>
  <si>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</si>
  <si>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</si>
  <si>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</si>
  <si>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</si>
  <si>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</si>
  <si>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</si>
  <si>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</si>
  <si>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</si>
  <si>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</si>
  <si>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</si>
  <si>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</si>
  <si>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</si>
  <si>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</si>
  <si>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</si>
  <si>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</si>
  <si>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</si>
  <si>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</si>
  <si>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</si>
  <si>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</si>
  <si>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</si>
  <si>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</si>
  <si>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</si>
  <si>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</si>
  <si>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</si>
  <si>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</si>
  <si>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</si>
  <si>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</si>
  <si>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</si>
  <si>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</si>
  <si>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</si>
  <si>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</si>
  <si>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</si>
  <si>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</si>
  <si>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</si>
  <si>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</si>
  <si>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</si>
  <si>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</si>
  <si>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</si>
  <si>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</si>
  <si>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</si>
  <si>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</si>
  <si>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</si>
  <si>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</si>
  <si>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</si>
  <si>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</si>
  <si>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</si>
  <si>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</si>
  <si>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</si>
  <si>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</si>
  <si>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</si>
  <si>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</si>
  <si>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</si>
  <si>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</si>
  <si>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</si>
  <si>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</si>
  <si>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</si>
  <si>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</si>
  <si>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</si>
  <si>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</si>
  <si>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</si>
  <si>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</si>
  <si>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</si>
  <si>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</si>
  <si>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</si>
  <si>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</si>
  <si>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</si>
  <si>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</si>
  <si>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</si>
  <si>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</si>
  <si>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</si>
  <si>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</si>
  <si>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</si>
  <si>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</si>
  <si>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</si>
  <si>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</si>
  <si>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</si>
  <si>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</si>
  <si>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</si>
  <si>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</si>
  <si>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</si>
  <si>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</si>
  <si>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</si>
  <si>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</si>
  <si>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</si>
  <si>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</si>
  <si>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</si>
  <si>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</si>
  <si>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</si>
  <si>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</si>
  <si>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</si>
  <si>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</si>
  <si>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</si>
  <si>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</si>
  <si>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</si>
  <si>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</si>
  <si>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</si>
  <si>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</si>
  <si>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</si>
  <si>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</si>
  <si>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</si>
  <si>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</si>
  <si>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</si>
  <si>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</si>
  <si>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</si>
  <si>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</si>
  <si>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</si>
  <si>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</si>
  <si>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</si>
  <si>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</si>
  <si>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</si>
  <si>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</si>
  <si>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</si>
  <si>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</si>
  <si>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</si>
  <si>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</si>
  <si>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</si>
  <si>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</si>
  <si>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</si>
  <si>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</si>
  <si>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</si>
  <si>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</si>
  <si>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</si>
  <si>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</si>
  <si>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</si>
  <si>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</si>
  <si>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</si>
  <si>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</si>
  <si>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</si>
  <si>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</si>
  <si>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</si>
  <si>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</si>
  <si>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</si>
  <si>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</si>
  <si>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</si>
  <si>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</si>
  <si>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</si>
  <si>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</si>
  <si>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</si>
  <si>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</si>
  <si>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</si>
  <si>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</si>
  <si>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</si>
  <si>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</si>
  <si>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</si>
  <si>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</si>
  <si>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</si>
  <si>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</si>
  <si>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</si>
  <si>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</si>
  <si>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</si>
  <si>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</si>
  <si>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</si>
  <si>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</si>
  <si>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</si>
  <si>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</si>
  <si>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</si>
  <si>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</si>
  <si>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</si>
  <si>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</si>
  <si>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</si>
  <si>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</si>
  <si>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</si>
  <si>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</si>
  <si>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</si>
  <si>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</si>
  <si>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</si>
  <si>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</si>
  <si>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</si>
  <si>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</si>
  <si>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</si>
  <si>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</si>
  <si>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</si>
  <si>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</si>
  <si>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</si>
  <si>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</si>
  <si>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</si>
  <si>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</si>
  <si>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</si>
  <si>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</si>
  <si>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</si>
  <si>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</si>
  <si>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</si>
  <si>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</si>
  <si>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</si>
  <si>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</si>
  <si>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</si>
  <si>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</si>
  <si>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</si>
  <si>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</si>
  <si>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</si>
  <si>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</si>
  <si>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</si>
  <si>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</si>
  <si>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</si>
  <si>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</si>
  <si>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</si>
  <si>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</si>
  <si>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</si>
  <si>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</si>
  <si>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</si>
  <si>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</si>
  <si>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</si>
  <si>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</si>
  <si>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</si>
  <si>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</si>
  <si>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</si>
  <si>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</si>
  <si>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</si>
  <si>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</si>
  <si>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</si>
  <si>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</si>
  <si>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</si>
  <si>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</si>
  <si>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</si>
  <si>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</si>
  <si>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</si>
  <si>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</si>
  <si>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</si>
  <si>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</si>
  <si>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</si>
  <si>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</si>
  <si>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</si>
  <si>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</si>
  <si>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</si>
  <si>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</si>
  <si>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</si>
  <si>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</si>
  <si>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</si>
  <si>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</si>
  <si>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</si>
  <si>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</si>
  <si>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</si>
  <si>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</si>
  <si>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</si>
  <si>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</si>
  <si>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</si>
  <si>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</si>
  <si>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</si>
  <si>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</si>
  <si>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</si>
  <si>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</si>
  <si>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</si>
  <si>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</si>
  <si>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</si>
  <si>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</si>
  <si>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</si>
  <si>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</si>
  <si>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</si>
  <si>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</si>
  <si>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</si>
  <si>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</si>
  <si>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</si>
  <si>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</si>
  <si>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</si>
  <si>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</si>
  <si>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</si>
  <si>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</si>
  <si>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</si>
  <si>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</si>
  <si>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</si>
  <si>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</si>
  <si>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</si>
  <si>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</si>
  <si>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</si>
  <si>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</si>
  <si>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</si>
  <si>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</si>
  <si>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</si>
  <si>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</si>
  <si>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</si>
  <si>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</si>
  <si>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</si>
  <si>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</si>
  <si>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</si>
  <si>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</si>
  <si>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</si>
  <si>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</si>
  <si>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</si>
  <si>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</si>
  <si>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</si>
  <si>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</si>
  <si>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</si>
  <si>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</si>
  <si>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</si>
  <si>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</si>
  <si>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</si>
  <si>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</si>
  <si>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</si>
  <si>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</si>
  <si>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</si>
  <si>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</si>
  <si>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</si>
  <si>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</si>
  <si>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</si>
  <si>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</si>
  <si>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</si>
  <si>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</si>
  <si>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</si>
  <si>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</si>
  <si>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</si>
  <si>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</si>
  <si>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</si>
  <si>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</si>
  <si>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</si>
  <si>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</si>
  <si>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</si>
  <si>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</si>
  <si>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</si>
  <si>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</si>
  <si>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</si>
  <si>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</si>
  <si>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</si>
  <si>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</si>
  <si>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</si>
  <si>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</si>
  <si>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</si>
  <si>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</si>
  <si>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</si>
  <si>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</si>
  <si>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</si>
  <si>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</si>
  <si>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</si>
  <si>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</si>
  <si>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</si>
  <si>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</si>
  <si>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</si>
  <si>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</si>
  <si>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</si>
  <si>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</si>
  <si>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</si>
  <si>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</si>
  <si>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</si>
  <si>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</si>
  <si>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</si>
  <si>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</si>
  <si>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</si>
  <si>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</si>
  <si>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</si>
  <si>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</si>
  <si>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</si>
  <si>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</si>
  <si>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</si>
  <si>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</si>
  <si>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</si>
  <si>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</si>
  <si>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</si>
  <si>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</si>
  <si>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</si>
  <si>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</si>
  <si>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</si>
  <si>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</si>
  <si>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</si>
  <si>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</si>
  <si>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</si>
  <si>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</si>
  <si>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</si>
  <si>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</si>
  <si>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</si>
  <si>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</si>
  <si>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</si>
  <si>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</si>
  <si>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</si>
  <si>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</si>
  <si>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</si>
  <si>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</si>
  <si>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</si>
  <si>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</si>
  <si>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</si>
  <si>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</si>
  <si>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</si>
  <si>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</si>
  <si>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</si>
  <si>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</si>
  <si>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</si>
  <si>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</si>
  <si>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</si>
  <si>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</si>
  <si>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</si>
  <si>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</si>
  <si>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</si>
  <si>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</si>
  <si>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</si>
  <si>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</si>
  <si>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</si>
  <si>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</si>
  <si>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</si>
  <si>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</si>
  <si>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</si>
  <si>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</si>
  <si>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</si>
  <si>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</si>
  <si>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14 map (anc)</t>
  </si>
  <si>
    <t>16 map (inf)</t>
  </si>
  <si>
    <t>17 map (nuke)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</si>
  <si>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</si>
  <si>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</si>
  <si>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</si>
  <si>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</si>
  <si>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</si>
  <si>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</si>
  <si>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</si>
  <si>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</si>
  <si>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</si>
  <si>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</si>
  <si>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</si>
  <si>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</si>
  <si>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</si>
  <si>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</si>
  <si>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</si>
  <si>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</si>
  <si>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</si>
  <si>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</si>
  <si>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ANCIENT (1/2/0)</t>
  </si>
  <si>
    <t>6 map (dust)</t>
  </si>
  <si>
    <t>NUKE (1/0/0)</t>
  </si>
  <si>
    <t>22 map (train)</t>
  </si>
  <si>
    <t>26 map (anc)</t>
  </si>
  <si>
    <t>10 map (vert)</t>
  </si>
  <si>
    <t>07.03.2026</t>
  </si>
  <si>
    <t>28 map (off)</t>
  </si>
  <si>
    <t>29 map (inf)</t>
  </si>
  <si>
    <t>INFERNO (2/2/0)</t>
  </si>
  <si>
    <t>30 map (vert)</t>
  </si>
  <si>
    <t>VERTIGO (2/1/0)</t>
  </si>
  <si>
    <t>31 map (off)</t>
  </si>
  <si>
    <t>10 map (dust)</t>
  </si>
  <si>
    <t>11 map (dust)</t>
  </si>
  <si>
    <t>13 map (nuke)</t>
  </si>
  <si>
    <t>15 map (mir)</t>
  </si>
  <si>
    <t>OFFICE (1/4/0)</t>
  </si>
  <si>
    <t>12.03.2026</t>
  </si>
  <si>
    <t>11 map (vert)</t>
  </si>
  <si>
    <t>vertigo (3)</t>
  </si>
  <si>
    <t>12 map (nuke)</t>
  </si>
  <si>
    <t>nuke (3)</t>
  </si>
  <si>
    <t>09.03.2026</t>
  </si>
  <si>
    <t>32 map (off)</t>
  </si>
  <si>
    <t>OFFICE (4/1/0)</t>
  </si>
  <si>
    <t>36 map (over)</t>
  </si>
  <si>
    <t>37 map (over)</t>
  </si>
  <si>
    <t>OVERPASS (4/1/1)</t>
  </si>
  <si>
    <t>16 map (dust)</t>
  </si>
  <si>
    <t>17 map (dust)</t>
  </si>
  <si>
    <t>DUST (3/5/0)</t>
  </si>
  <si>
    <t>20 map (mir)</t>
  </si>
  <si>
    <t>22 map (nuke)</t>
  </si>
  <si>
    <t>NUKE (2/1/0)</t>
  </si>
  <si>
    <t>MIRAGE (4/5/0)</t>
  </si>
  <si>
    <t>24 map (anc)</t>
  </si>
  <si>
    <t>ANCIENT (2/0/0)</t>
  </si>
  <si>
    <t>OVERPASS (0/1/0)</t>
  </si>
  <si>
    <t>INFERNO (1/2/0)</t>
  </si>
  <si>
    <t>9, 9, 7, 4, 9 lose</t>
  </si>
  <si>
    <t>10, 10, 10, 4, 4 lose</t>
  </si>
  <si>
    <t>10, 9, 7, 9, 10 lose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</si>
</sst>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5119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5068" t="s">
        <v>0</v>
      </c>
      <c r="C1" s="5069"/>
      <c r="D1" s="5070" t="s">
        <v>1</v>
      </c>
      <c r="E1" s="5069"/>
      <c r="F1" s="5071" t="s">
        <v>177</v>
      </c>
      <c r="G1" s="5069"/>
      <c r="H1" s="5068" t="s">
        <v>174</v>
      </c>
      <c r="I1" s="5069"/>
      <c r="J1" s="5070" t="s">
        <v>175</v>
      </c>
      <c r="K1" s="5069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5072" t="str">
        <f>"Mirage"&amp;" "&amp;H5/SUM(H5:I5)*100</f>
        <v>Mirage 25</v>
      </c>
      <c r="I3" s="5073"/>
      <c r="J3" s="5072" t="str">
        <f>"Inferno"&amp;" "&amp;ROUND(J5/SUM(J5:K5)*100,0)</f>
        <v>Inferno 40</v>
      </c>
      <c r="K3" s="5073"/>
      <c r="L3" s="5072" t="str">
        <f>"Overpass"&amp;" "&amp;ROUND(L5/SUM(L5:M5)*100,0)</f>
        <v>Overpass 67</v>
      </c>
      <c r="M3" s="5073"/>
      <c r="N3" s="5072" t="str">
        <f>"Vertigo"&amp;" "&amp;ROUND(N5/SUM(N5:O5)*100,0)</f>
        <v>Vertigo 80</v>
      </c>
      <c r="O3" s="5073"/>
      <c r="P3" s="5072" t="str">
        <f>"Ancient"&amp;" "&amp;ROUND(P5/SUM(P5:Q5)*100,0)</f>
        <v>Ancient 50</v>
      </c>
      <c r="Q3" s="5073"/>
      <c r="R3" s="5072" t="str">
        <f>"Anubis"&amp;" "&amp;ROUND(R5/SUM(R5:S5)*100,0)</f>
        <v>Anubis 67</v>
      </c>
      <c r="S3" s="5073"/>
      <c r="T3" s="5072" t="str">
        <f>"Dust II"&amp;" "&amp;ROUND(T5/SUM(T5:U5)*100,0)</f>
        <v>Dust II 100</v>
      </c>
      <c r="U3" s="5073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5072" t="s">
        <v>206</v>
      </c>
      <c r="I7" s="5073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5072" t="s">
        <v>373</v>
      </c>
      <c r="G3" s="5073"/>
      <c r="H3" s="5073"/>
      <c r="I3" s="5072" t="s">
        <v>374</v>
      </c>
      <c r="J3" s="5073"/>
      <c r="K3" s="5073"/>
      <c r="L3" s="5072" t="s">
        <v>375</v>
      </c>
      <c r="M3" s="5073"/>
      <c r="N3" s="5073"/>
      <c r="O3" s="5072" t="s">
        <v>376</v>
      </c>
      <c r="P3" s="5073"/>
      <c r="Q3" s="5073"/>
      <c r="R3" s="5072" t="s">
        <v>377</v>
      </c>
      <c r="S3" s="5073"/>
      <c r="T3" s="5072" t="s">
        <v>378</v>
      </c>
      <c r="U3" s="5073"/>
      <c r="V3" s="5072" t="s">
        <v>379</v>
      </c>
      <c r="W3" s="5073"/>
      <c r="X3" s="5073"/>
      <c r="Y3" s="5072" t="s">
        <v>380</v>
      </c>
      <c r="Z3" s="5073"/>
      <c r="AA3" s="5073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5068" t="s">
        <v>641</v>
      </c>
      <c r="B1" s="5074"/>
      <c r="C1" s="5074"/>
      <c r="D1" s="5069"/>
      <c r="E1" s="5070" t="s">
        <v>642</v>
      </c>
      <c r="F1" s="5074"/>
      <c r="G1" s="5074"/>
      <c r="H1" s="5074"/>
      <c r="I1" s="5074"/>
      <c r="J1" s="5069"/>
      <c r="K1" s="5071" t="s">
        <v>643</v>
      </c>
      <c r="L1" s="5074"/>
      <c r="M1" s="5074"/>
      <c r="N1" s="5069"/>
      <c r="O1" s="5075" t="s">
        <v>644</v>
      </c>
      <c r="P1" s="5076"/>
      <c r="Q1" s="5076"/>
      <c r="R1" s="5076"/>
      <c r="S1" s="5077"/>
      <c r="T1" s="5078" t="s">
        <v>645</v>
      </c>
      <c r="U1" s="5079"/>
      <c r="V1" s="5079"/>
      <c r="W1" s="5079"/>
      <c r="X1" s="5080"/>
      <c r="Y1" s="5081" t="s">
        <v>646</v>
      </c>
      <c r="Z1" s="5082"/>
      <c r="AA1" s="5082"/>
      <c r="AB1" s="5083"/>
      <c r="AC1" s="5084" t="s">
        <v>647</v>
      </c>
      <c r="AD1" s="5074"/>
      <c r="AE1" s="5074"/>
      <c r="AF1" s="5074"/>
      <c r="AG1" s="5069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5072" t="s">
        <v>651</v>
      </c>
      <c r="B8" s="5073"/>
      <c r="C8" s="5073"/>
      <c r="D8" s="5073"/>
      <c r="E8" s="5073"/>
      <c r="F8" s="5073"/>
      <c r="G8" s="5073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5085" t="s">
        <v>710</v>
      </c>
      <c r="C20" s="5086"/>
      <c r="D20" s="5086"/>
      <c r="E20" s="5086"/>
      <c r="F20" s="5086"/>
      <c r="G20" s="5086"/>
      <c r="H20" s="5087"/>
    </row>
    <row r="21" spans="1:13" ht="15.75" customHeight="1" x14ac:dyDescent="0.25"/>
    <row r="22" spans="1:13" ht="15.75" customHeight="1" x14ac:dyDescent="0.25">
      <c r="A22" s="5085" t="s">
        <v>711</v>
      </c>
      <c r="B22" s="5086"/>
      <c r="C22" s="508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5089" t="s">
        <v>1293</v>
      </c>
      <c r="I3" s="5090"/>
      <c r="J3" s="5090"/>
      <c r="K3" s="5090"/>
      <c r="L3" s="5091" t="s">
        <v>1322</v>
      </c>
      <c r="M3" s="5092"/>
      <c r="N3" s="5092"/>
      <c r="O3" s="5092"/>
      <c r="P3" s="5093" t="s">
        <v>944</v>
      </c>
      <c r="Q3" s="5094"/>
      <c r="R3" s="5094"/>
      <c r="S3" s="5094"/>
      <c r="T3" s="5095" t="s">
        <v>941</v>
      </c>
      <c r="U3" s="5073"/>
      <c r="V3" s="5073"/>
      <c r="W3" s="5073"/>
      <c r="X3" s="5096" t="s">
        <v>1324</v>
      </c>
      <c r="Y3" s="5073"/>
      <c r="Z3" s="5073"/>
      <c r="AA3" s="5073"/>
      <c r="AB3" s="5097" t="s">
        <v>1289</v>
      </c>
      <c r="AC3" s="5073"/>
      <c r="AD3" s="5073"/>
      <c r="AE3" s="5073"/>
      <c r="AF3" s="5093" t="s">
        <v>1029</v>
      </c>
      <c r="AG3" s="5093"/>
      <c r="AH3" s="5093"/>
      <c r="AI3" s="5093"/>
      <c r="AJ3" s="5093" t="s">
        <v>1030</v>
      </c>
      <c r="AK3" s="5093"/>
      <c r="AL3" s="5093"/>
      <c r="AM3" s="5093"/>
      <c r="AN3" s="5091" t="s">
        <v>1231</v>
      </c>
      <c r="AO3" s="5091"/>
      <c r="AP3" s="5091"/>
      <c r="AQ3" s="509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5088">
        <f>AVERAGE(H4:I4)</f>
        <v>1.0193362533692722</v>
      </c>
      <c r="I5" s="5088"/>
      <c r="J5" s="5088"/>
      <c r="K5" s="5088"/>
      <c r="L5" s="5088">
        <f>AVERAGE(L4:M4)</f>
        <v>1.0659129143988122</v>
      </c>
      <c r="M5" s="5088"/>
      <c r="N5" s="5088"/>
      <c r="O5" s="5088"/>
      <c r="P5" s="5088">
        <f>AVERAGE(P4:Q4)</f>
        <v>0.92159926470588238</v>
      </c>
      <c r="Q5" s="5088"/>
      <c r="R5" s="5088"/>
      <c r="S5" s="5088"/>
      <c r="T5" s="5088">
        <f>AVERAGE(T4:U4)</f>
        <v>1.1372058823529412</v>
      </c>
      <c r="U5" s="5088"/>
      <c r="V5" s="5088"/>
      <c r="W5" s="5088"/>
      <c r="X5" s="5088">
        <f>AVERAGE(X4:Y4)</f>
        <v>1.1944506048387096</v>
      </c>
      <c r="Y5" s="5088"/>
      <c r="Z5" s="5088"/>
      <c r="AA5" s="5088"/>
      <c r="AB5" s="5088">
        <f>AVERAGE(AB4:AC4)</f>
        <v>1.0036596218020022</v>
      </c>
      <c r="AC5" s="5088"/>
      <c r="AD5" s="5088"/>
      <c r="AE5" s="5088"/>
      <c r="AF5" s="5088">
        <f>AVERAGE(AF4:AG4)</f>
        <v>0.74166666666666659</v>
      </c>
      <c r="AG5" s="5088"/>
      <c r="AH5" s="5088"/>
      <c r="AI5" s="5088"/>
      <c r="AJ5" s="5088">
        <f>AVERAGE(AJ4:AK4)</f>
        <v>0.75</v>
      </c>
      <c r="AK5" s="5088"/>
      <c r="AL5" s="5088"/>
      <c r="AM5" s="5088"/>
      <c r="AN5" s="5088">
        <f>AVERAGE(AN4:AO4)</f>
        <v>1.4249999999999998</v>
      </c>
      <c r="AO5" s="5088"/>
      <c r="AP5" s="5088"/>
      <c r="AQ5" s="5088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098" t="s">
        <v>1340</v>
      </c>
      <c r="CK1" s="5098"/>
      <c r="CL1" s="5098"/>
      <c r="CM1" s="5098"/>
      <c r="CN1" s="5098"/>
      <c r="CO1" s="5098"/>
      <c r="CP1" s="5095" t="s">
        <v>1332</v>
      </c>
      <c r="CQ1" s="5095"/>
      <c r="CR1" s="5095"/>
      <c r="CS1" s="5095"/>
      <c r="CT1" s="5095"/>
      <c r="CU1" s="5095"/>
      <c r="CV1" s="5097" t="s">
        <v>1306</v>
      </c>
      <c r="CW1" s="5097"/>
      <c r="CX1" s="5097"/>
      <c r="CY1" s="5097"/>
      <c r="CZ1" s="5097"/>
      <c r="DA1" s="5097"/>
      <c r="DB1" s="5099" t="s">
        <v>1272</v>
      </c>
      <c r="DC1" s="5099"/>
      <c r="DD1" s="5099"/>
      <c r="DE1" s="5099"/>
      <c r="DF1" s="5099"/>
      <c r="DG1" s="5099"/>
      <c r="DH1" s="5097" t="s">
        <v>1333</v>
      </c>
      <c r="DI1" s="5097"/>
      <c r="DJ1" s="5097"/>
      <c r="DK1" s="5097"/>
      <c r="DL1" s="5097"/>
      <c r="DM1" s="5097"/>
      <c r="DN1" s="5095" t="s">
        <v>997</v>
      </c>
      <c r="DO1" s="5095"/>
      <c r="DP1" s="5095"/>
      <c r="DQ1" s="5095"/>
      <c r="DR1" s="5095"/>
      <c r="DS1" s="5095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5072">
        <f>_xlfn.AGGREGATE(1,6,CJ2:CO2)</f>
        <v>1.0302314814814812</v>
      </c>
      <c r="CK3" s="5072"/>
      <c r="CL3" s="5072"/>
      <c r="CM3" s="5072"/>
      <c r="CN3" s="5072"/>
      <c r="CO3" s="5072"/>
      <c r="CP3" s="5072">
        <f t="shared" ref="CP3" si="6">_xlfn.AGGREGATE(1,6,CP2:CU2)</f>
        <v>1.1007646356033451</v>
      </c>
      <c r="CQ3" s="5072"/>
      <c r="CR3" s="5072"/>
      <c r="CS3" s="5072"/>
      <c r="CT3" s="5072"/>
      <c r="CU3" s="5072"/>
      <c r="CV3" s="5072">
        <f t="shared" ref="CV3" si="7">_xlfn.AGGREGATE(1,6,CV2:DA2)</f>
        <v>1.0716666666666665</v>
      </c>
      <c r="CW3" s="5072"/>
      <c r="CX3" s="5072"/>
      <c r="CY3" s="5072"/>
      <c r="CZ3" s="5072"/>
      <c r="DA3" s="5072"/>
      <c r="DB3" s="5072">
        <f t="shared" ref="DB3" si="8">_xlfn.AGGREGATE(1,6,DB2:DG2)</f>
        <v>1.1828888888888889</v>
      </c>
      <c r="DC3" s="5072"/>
      <c r="DD3" s="5072"/>
      <c r="DE3" s="5072"/>
      <c r="DF3" s="5072"/>
      <c r="DG3" s="5072"/>
      <c r="DH3" s="5072">
        <f t="shared" ref="DH3" si="9">_xlfn.AGGREGATE(1,6,DH2:DM2)</f>
        <v>1.1250000000000002</v>
      </c>
      <c r="DI3" s="5072"/>
      <c r="DJ3" s="5072"/>
      <c r="DK3" s="5072"/>
      <c r="DL3" s="5072"/>
      <c r="DM3" s="5072"/>
      <c r="DN3" s="5072" t="e">
        <f t="shared" ref="DN3" si="10">_xlfn.AGGREGATE(1,6,DN2:DS2)</f>
        <v>#DIV/0!</v>
      </c>
      <c r="DO3" s="5072"/>
      <c r="DP3" s="5072"/>
      <c r="DQ3" s="5072"/>
      <c r="DR3" s="5072"/>
      <c r="DS3" s="5072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5097" t="s">
        <v>1303</v>
      </c>
      <c r="CK4" s="5097"/>
      <c r="CL4" s="5097"/>
      <c r="CM4" s="5097"/>
      <c r="CN4" s="5097"/>
      <c r="CO4" s="5097"/>
      <c r="CP4" s="5100" t="s">
        <v>993</v>
      </c>
      <c r="CQ4" s="5100"/>
      <c r="CR4" s="5100"/>
      <c r="CS4" s="5100"/>
      <c r="CT4" s="5100"/>
      <c r="CU4" s="5100"/>
      <c r="CV4" s="5095" t="s">
        <v>994</v>
      </c>
      <c r="CW4" s="5095"/>
      <c r="CX4" s="5095"/>
      <c r="CY4" s="5095"/>
      <c r="CZ4" s="5095"/>
      <c r="DA4" s="5095"/>
      <c r="DB4" s="5097" t="s">
        <v>995</v>
      </c>
      <c r="DC4" s="5097"/>
      <c r="DD4" s="5097"/>
      <c r="DE4" s="5097"/>
      <c r="DF4" s="5097"/>
      <c r="DG4" s="5097"/>
      <c r="DH4" s="5095" t="s">
        <v>996</v>
      </c>
      <c r="DI4" s="5095"/>
      <c r="DJ4" s="5095"/>
      <c r="DK4" s="5095"/>
      <c r="DL4" s="5095"/>
      <c r="DM4" s="5095"/>
      <c r="DN4" s="5099" t="s">
        <v>1308</v>
      </c>
      <c r="DO4" s="5099"/>
      <c r="DP4" s="5099"/>
      <c r="DQ4" s="5099"/>
      <c r="DR4" s="5099"/>
      <c r="DS4" s="5099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5072">
        <f>_xlfn.AGGREGATE(1,6,CJ5:CO5)</f>
        <v>1.098888888888889</v>
      </c>
      <c r="CK6" s="5072"/>
      <c r="CL6" s="5072"/>
      <c r="CM6" s="5072"/>
      <c r="CN6" s="5072"/>
      <c r="CO6" s="5072"/>
      <c r="CP6" s="5072" t="e">
        <f t="shared" ref="CP6" si="17">_xlfn.AGGREGATE(1,6,CP5:CU5)</f>
        <v>#DIV/0!</v>
      </c>
      <c r="CQ6" s="5072"/>
      <c r="CR6" s="5072"/>
      <c r="CS6" s="5072"/>
      <c r="CT6" s="5072"/>
      <c r="CU6" s="5072"/>
      <c r="CV6" s="5072" t="e">
        <f t="shared" ref="CV6" si="18">_xlfn.AGGREGATE(1,6,CV5:DA5)</f>
        <v>#DIV/0!</v>
      </c>
      <c r="CW6" s="5072"/>
      <c r="CX6" s="5072"/>
      <c r="CY6" s="5072"/>
      <c r="CZ6" s="5072"/>
      <c r="DA6" s="5072"/>
      <c r="DB6" s="5072">
        <f t="shared" ref="DB6" si="19">_xlfn.AGGREGATE(1,6,DB5:DG5)</f>
        <v>1.0416666666666667</v>
      </c>
      <c r="DC6" s="5072"/>
      <c r="DD6" s="5072"/>
      <c r="DE6" s="5072"/>
      <c r="DF6" s="5072"/>
      <c r="DG6" s="5072"/>
      <c r="DH6" s="5072" t="e">
        <f t="shared" ref="DH6" si="20">_xlfn.AGGREGATE(1,6,DH5:DM5)</f>
        <v>#DIV/0!</v>
      </c>
      <c r="DI6" s="5072"/>
      <c r="DJ6" s="5072"/>
      <c r="DK6" s="5072"/>
      <c r="DL6" s="5072"/>
      <c r="DM6" s="5072"/>
      <c r="DN6" s="5072">
        <f t="shared" ref="DN6" si="21">_xlfn.AGGREGATE(1,6,DN5:DS5)</f>
        <v>1.0967878787878786</v>
      </c>
      <c r="DO6" s="5072"/>
      <c r="DP6" s="5072"/>
      <c r="DQ6" s="5072"/>
      <c r="DR6" s="5072"/>
      <c r="DS6" s="5072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I1" zoomScale="85" zoomScaleNormal="85" workbookViewId="0">
      <pane ySplit="1" topLeftCell="A2" activePane="bottomLeft" state="frozen"/>
      <selection pane="bottomLeft" activeCell="CP4" sqref="CP4:CU6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5112" t="s">
        <v>1326</v>
      </c>
      <c r="CK1" s="5108"/>
      <c r="CL1" s="5108"/>
      <c r="CM1" s="5108"/>
      <c r="CN1" s="5108"/>
      <c r="CO1" s="5109"/>
      <c r="CP1" s="5104" t="s">
        <v>1338</v>
      </c>
      <c r="CQ1" s="5105"/>
      <c r="CR1" s="5105"/>
      <c r="CS1" s="5105"/>
      <c r="CT1" s="5105"/>
      <c r="CU1" s="5106"/>
      <c r="CV1" s="5112" t="s">
        <v>1313</v>
      </c>
      <c r="CW1" s="5108"/>
      <c r="CX1" s="5108"/>
      <c r="CY1" s="5108"/>
      <c r="CZ1" s="5108"/>
      <c r="DA1" s="5109"/>
      <c r="DB1" s="5113" t="s">
        <v>1336</v>
      </c>
      <c r="DC1" s="5108"/>
      <c r="DD1" s="5108"/>
      <c r="DE1" s="5108"/>
      <c r="DF1" s="5108"/>
      <c r="DG1" s="5109"/>
      <c r="DH1" s="5114" t="s">
        <v>1282</v>
      </c>
      <c r="DI1" s="5115"/>
      <c r="DJ1" s="5115"/>
      <c r="DK1" s="5115"/>
      <c r="DL1" s="5115"/>
      <c r="DM1" s="5116"/>
      <c r="DN1" s="5104" t="s">
        <v>991</v>
      </c>
      <c r="DO1" s="5105"/>
      <c r="DP1" s="5105"/>
      <c r="DQ1" s="5105"/>
      <c r="DR1" s="5105"/>
      <c r="DS1" s="5106"/>
      <c r="DT1" s="5104" t="s">
        <v>992</v>
      </c>
      <c r="DU1" s="5105"/>
      <c r="DV1" s="5105"/>
      <c r="DW1" s="5105"/>
      <c r="DX1" s="5105"/>
      <c r="DY1" s="5106"/>
      <c r="DZ1" s="5101" t="s">
        <v>1121</v>
      </c>
      <c r="EA1" s="5102"/>
      <c r="EB1" s="5102"/>
      <c r="EC1" s="5102"/>
      <c r="ED1" s="5102"/>
      <c r="EE1" s="5103"/>
      <c r="EF1" s="5101" t="s">
        <v>1178</v>
      </c>
      <c r="EG1" s="5102"/>
      <c r="EH1" s="5102"/>
      <c r="EI1" s="5102"/>
      <c r="EJ1" s="5102"/>
      <c r="EK1" s="5103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5072">
        <f>_xlfn.AGGREGATE(1,3,CJ2:CL2)</f>
        <v>1.2020329670329672</v>
      </c>
      <c r="CK3" s="5073"/>
      <c r="CL3" s="5073"/>
      <c r="CM3" s="5073"/>
      <c r="CN3" s="5073"/>
      <c r="CO3" s="5073"/>
      <c r="CP3" s="5072">
        <f>_xlfn.AGGREGATE(1,3,CP2:CR2)</f>
        <v>1.1494795008912657</v>
      </c>
      <c r="CQ3" s="5073"/>
      <c r="CR3" s="5073"/>
      <c r="CS3" s="5073"/>
      <c r="CT3" s="5073"/>
      <c r="CU3" s="5073"/>
      <c r="CV3" s="5072">
        <f>_xlfn.AGGREGATE(1,3,CV2:CX2)</f>
        <v>1.0901058201058202</v>
      </c>
      <c r="CW3" s="5073"/>
      <c r="CX3" s="5073"/>
      <c r="CY3" s="5073"/>
      <c r="CZ3" s="5073"/>
      <c r="DA3" s="5073"/>
      <c r="DB3" s="5072">
        <f>_xlfn.AGGREGATE(1,3,DB2:DD2)</f>
        <v>1.2281853623958889</v>
      </c>
      <c r="DC3" s="5073"/>
      <c r="DD3" s="5073"/>
      <c r="DE3" s="5073"/>
      <c r="DF3" s="5073"/>
      <c r="DG3" s="5073"/>
      <c r="DH3" s="5072">
        <f>_xlfn.AGGREGATE(1,3,DH2:DJ2)</f>
        <v>1.0894419306184009</v>
      </c>
      <c r="DI3" s="5073"/>
      <c r="DJ3" s="5073"/>
      <c r="DK3" s="5073"/>
      <c r="DL3" s="5073"/>
      <c r="DM3" s="5073"/>
      <c r="DN3" s="5072">
        <f t="shared" ref="DN3" si="9">_xlfn.AGGREGATE(1,6,DN2:DS2)</f>
        <v>1.2135555555555557</v>
      </c>
      <c r="DO3" s="5073"/>
      <c r="DP3" s="5073"/>
      <c r="DQ3" s="5073"/>
      <c r="DR3" s="5073"/>
      <c r="DS3" s="5073"/>
      <c r="DT3" s="5072">
        <f>_xlfn.AGGREGATE(1,3,DT2:DV2)</f>
        <v>1.355</v>
      </c>
      <c r="DU3" s="5073"/>
      <c r="DV3" s="5073"/>
      <c r="DW3" s="5073"/>
      <c r="DX3" s="5073"/>
      <c r="DY3" s="5073"/>
      <c r="DZ3" s="5072">
        <f>_xlfn.AGGREGATE(1,3,DZ2:EB2)</f>
        <v>1.0728333333333335</v>
      </c>
      <c r="EA3" s="5073"/>
      <c r="EB3" s="5073"/>
      <c r="EC3" s="5073"/>
      <c r="ED3" s="5073"/>
      <c r="EE3" s="5073"/>
      <c r="EF3" s="5072">
        <f>_xlfn.AGGREGATE(1,3,EF2:EH2)</f>
        <v>0.94666666666666666</v>
      </c>
      <c r="EG3" s="5073"/>
      <c r="EH3" s="5073"/>
      <c r="EI3" s="5073"/>
      <c r="EJ3" s="5073"/>
      <c r="EK3" s="5073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5110" t="s">
        <v>1330</v>
      </c>
      <c r="CK4" s="5105"/>
      <c r="CL4" s="5105"/>
      <c r="CM4" s="5105"/>
      <c r="CN4" s="5105"/>
      <c r="CO4" s="5106"/>
      <c r="CP4" s="5107" t="s">
        <v>1311</v>
      </c>
      <c r="CQ4" s="5108"/>
      <c r="CR4" s="5108"/>
      <c r="CS4" s="5108"/>
      <c r="CT4" s="5108"/>
      <c r="CU4" s="5109"/>
      <c r="CV4" s="5111" t="s">
        <v>1316</v>
      </c>
      <c r="CW4" s="5105"/>
      <c r="CX4" s="5105"/>
      <c r="CY4" s="5105"/>
      <c r="CZ4" s="5105"/>
      <c r="DA4" s="5106"/>
      <c r="DB4" s="5107" t="s">
        <v>1280</v>
      </c>
      <c r="DC4" s="5108"/>
      <c r="DD4" s="5108"/>
      <c r="DE4" s="5108"/>
      <c r="DF4" s="5108"/>
      <c r="DG4" s="5109"/>
      <c r="DH4" s="5104" t="s">
        <v>946</v>
      </c>
      <c r="DI4" s="5105"/>
      <c r="DJ4" s="5105"/>
      <c r="DK4" s="5105"/>
      <c r="DL4" s="5105"/>
      <c r="DM4" s="5106"/>
      <c r="DN4" s="5101" t="s">
        <v>1191</v>
      </c>
      <c r="DO4" s="5102"/>
      <c r="DP4" s="5102"/>
      <c r="DQ4" s="5102"/>
      <c r="DR4" s="5102"/>
      <c r="DS4" s="5103"/>
      <c r="DT4" s="5104" t="s">
        <v>1328</v>
      </c>
      <c r="DU4" s="5105"/>
      <c r="DV4" s="5105"/>
      <c r="DW4" s="5105"/>
      <c r="DX4" s="5105"/>
      <c r="DY4" s="5106"/>
      <c r="DZ4" s="5101" t="s">
        <v>1205</v>
      </c>
      <c r="EA4" s="5102"/>
      <c r="EB4" s="5102"/>
      <c r="EC4" s="5102"/>
      <c r="ED4" s="5102"/>
      <c r="EE4" s="5103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5072">
        <f>_xlfn.AGGREGATE(1,3,CJ5:CL5)</f>
        <v>1.1417748538011698</v>
      </c>
      <c r="CK6" s="5073"/>
      <c r="CL6" s="5073"/>
      <c r="CM6" s="5073"/>
      <c r="CN6" s="5073"/>
      <c r="CO6" s="5073"/>
      <c r="CP6" s="5072">
        <f>_xlfn.AGGREGATE(1,3,CP5:CR5)</f>
        <v>1.2262257187257186</v>
      </c>
      <c r="CQ6" s="5073"/>
      <c r="CR6" s="5073"/>
      <c r="CS6" s="5073"/>
      <c r="CT6" s="5073"/>
      <c r="CU6" s="5073"/>
      <c r="CV6" s="5072">
        <f>_xlfn.AGGREGATE(1,3,CV5:CX5)</f>
        <v>1.1702931473984102</v>
      </c>
      <c r="CW6" s="5073"/>
      <c r="CX6" s="5073"/>
      <c r="CY6" s="5073"/>
      <c r="CZ6" s="5073"/>
      <c r="DA6" s="5073"/>
      <c r="DB6" s="5072">
        <f>_xlfn.AGGREGATE(1,3,DB5:DD5)</f>
        <v>1.2373106060606061</v>
      </c>
      <c r="DC6" s="5073"/>
      <c r="DD6" s="5073"/>
      <c r="DE6" s="5073"/>
      <c r="DF6" s="5073"/>
      <c r="DG6" s="5073"/>
      <c r="DH6" s="5072">
        <f>_xlfn.AGGREGATE(1,3,DH5:DJ5)</f>
        <v>1.1100000000000001</v>
      </c>
      <c r="DI6" s="5073"/>
      <c r="DJ6" s="5073"/>
      <c r="DK6" s="5073"/>
      <c r="DL6" s="5073"/>
      <c r="DM6" s="5073"/>
      <c r="DN6" s="5072">
        <f>_xlfn.AGGREGATE(1,3,DN5:DP5)</f>
        <v>1.0518518518518516</v>
      </c>
      <c r="DO6" s="5073"/>
      <c r="DP6" s="5073"/>
      <c r="DQ6" s="5073"/>
      <c r="DR6" s="5073"/>
      <c r="DS6" s="5073"/>
      <c r="DT6" s="5072">
        <f>_xlfn.AGGREGATE(1,3,DT5:DV5)</f>
        <v>1.2530952380952383</v>
      </c>
      <c r="DU6" s="5073"/>
      <c r="DV6" s="5073"/>
      <c r="DW6" s="5073"/>
      <c r="DX6" s="5073"/>
      <c r="DY6" s="5073"/>
      <c r="DZ6" s="5072">
        <f>_xlfn.AGGREGATE(1,3,DZ5:EB5)</f>
        <v>0.91333333333333344</v>
      </c>
      <c r="EA6" s="5073"/>
      <c r="EB6" s="5073"/>
      <c r="EC6" s="5073"/>
      <c r="ED6" s="5073"/>
      <c r="EE6" s="5073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5098" t="s">
        <v>1100</v>
      </c>
      <c r="CK1" s="5098"/>
      <c r="CL1" s="5098"/>
      <c r="CM1" s="5098"/>
      <c r="CN1" s="5098"/>
      <c r="CO1" s="5098"/>
      <c r="CP1" s="5117" t="s">
        <v>1111</v>
      </c>
      <c r="CQ1" s="5100"/>
      <c r="CR1" s="5100"/>
      <c r="CS1" s="5100"/>
      <c r="CT1" s="5100"/>
      <c r="CU1" s="5100"/>
      <c r="CV1" s="5099" t="s">
        <v>1101</v>
      </c>
      <c r="CW1" s="5099"/>
      <c r="CX1" s="5099"/>
      <c r="CY1" s="5099"/>
      <c r="CZ1" s="5099"/>
      <c r="DA1" s="5099"/>
      <c r="DB1" s="5097" t="s">
        <v>1102</v>
      </c>
      <c r="DC1" s="5097"/>
      <c r="DD1" s="5097"/>
      <c r="DE1" s="5097"/>
      <c r="DF1" s="5097"/>
      <c r="DG1" s="5097"/>
      <c r="DH1" s="5099" t="s">
        <v>1104</v>
      </c>
      <c r="DI1" s="5099"/>
      <c r="DJ1" s="5099"/>
      <c r="DK1" s="5099"/>
      <c r="DL1" s="5099"/>
      <c r="DM1" s="5099"/>
      <c r="DN1" s="5095" t="s">
        <v>997</v>
      </c>
      <c r="DO1" s="5095"/>
      <c r="DP1" s="5095"/>
      <c r="DQ1" s="5095"/>
      <c r="DR1" s="5095"/>
      <c r="DS1" s="5095"/>
      <c r="DT1" s="5095" t="s">
        <v>998</v>
      </c>
      <c r="DU1" s="5095"/>
      <c r="DV1" s="5095"/>
      <c r="DW1" s="5095"/>
      <c r="DX1" s="5095"/>
      <c r="DY1" s="5095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5072" t="e">
        <f>_xlfn.AGGREGATE(1,6,CJ2:CO2)</f>
        <v>#DIV/0!</v>
      </c>
      <c r="CK3" s="5072"/>
      <c r="CL3" s="5072"/>
      <c r="CM3" s="5072"/>
      <c r="CN3" s="5072"/>
      <c r="CO3" s="5072"/>
      <c r="CP3" s="5072">
        <f t="shared" ref="CP3" si="1">_xlfn.AGGREGATE(1,6,CP2:CU2)</f>
        <v>1.4500000000000002</v>
      </c>
      <c r="CQ3" s="5072"/>
      <c r="CR3" s="5072"/>
      <c r="CS3" s="5072"/>
      <c r="CT3" s="5072"/>
      <c r="CU3" s="5072"/>
      <c r="CV3" s="5072" t="e">
        <f t="shared" ref="CV3" si="2">_xlfn.AGGREGATE(1,6,CV2:DA2)</f>
        <v>#DIV/0!</v>
      </c>
      <c r="CW3" s="5072"/>
      <c r="CX3" s="5072"/>
      <c r="CY3" s="5072"/>
      <c r="CZ3" s="5072"/>
      <c r="DA3" s="5072"/>
      <c r="DB3" s="5072" t="e">
        <f t="shared" ref="DB3" si="3">_xlfn.AGGREGATE(1,6,DB2:DG2)</f>
        <v>#DIV/0!</v>
      </c>
      <c r="DC3" s="5072"/>
      <c r="DD3" s="5072"/>
      <c r="DE3" s="5072"/>
      <c r="DF3" s="5072"/>
      <c r="DG3" s="5072"/>
      <c r="DH3" s="5072" t="e">
        <f t="shared" ref="DH3" si="4">_xlfn.AGGREGATE(1,6,DH2:DM2)</f>
        <v>#DIV/0!</v>
      </c>
      <c r="DI3" s="5072"/>
      <c r="DJ3" s="5072"/>
      <c r="DK3" s="5072"/>
      <c r="DL3" s="5072"/>
      <c r="DM3" s="5072"/>
      <c r="DN3" s="5072" t="e">
        <f t="shared" ref="DN3" si="5">_xlfn.AGGREGATE(1,6,DN2:DS2)</f>
        <v>#DIV/0!</v>
      </c>
      <c r="DO3" s="5072"/>
      <c r="DP3" s="5072"/>
      <c r="DQ3" s="5072"/>
      <c r="DR3" s="5072"/>
      <c r="DS3" s="5072"/>
      <c r="DT3" s="5072" t="e">
        <f t="shared" ref="DT3" si="6">_xlfn.AGGREGATE(1,6,DT2:DY2)</f>
        <v>#DIV/0!</v>
      </c>
      <c r="DU3" s="5072"/>
      <c r="DV3" s="5072"/>
      <c r="DW3" s="5072"/>
      <c r="DX3" s="5072"/>
      <c r="DY3" s="5072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5097" t="s">
        <v>1099</v>
      </c>
      <c r="CK4" s="5097"/>
      <c r="CL4" s="5097"/>
      <c r="CM4" s="5097"/>
      <c r="CN4" s="5097"/>
      <c r="CO4" s="5097"/>
      <c r="CP4" s="5100" t="s">
        <v>993</v>
      </c>
      <c r="CQ4" s="5100"/>
      <c r="CR4" s="5100"/>
      <c r="CS4" s="5100"/>
      <c r="CT4" s="5100"/>
      <c r="CU4" s="5100"/>
      <c r="CV4" s="5095" t="s">
        <v>994</v>
      </c>
      <c r="CW4" s="5095"/>
      <c r="CX4" s="5095"/>
      <c r="CY4" s="5095"/>
      <c r="CZ4" s="5095"/>
      <c r="DA4" s="5095"/>
      <c r="DB4" s="5097" t="s">
        <v>1103</v>
      </c>
      <c r="DC4" s="5097"/>
      <c r="DD4" s="5097"/>
      <c r="DE4" s="5097"/>
      <c r="DF4" s="5097"/>
      <c r="DG4" s="5097"/>
      <c r="DH4" s="5095" t="s">
        <v>996</v>
      </c>
      <c r="DI4" s="5095"/>
      <c r="DJ4" s="5095"/>
      <c r="DK4" s="5095"/>
      <c r="DL4" s="5095"/>
      <c r="DM4" s="5095"/>
      <c r="DN4" s="5096" t="s">
        <v>1105</v>
      </c>
      <c r="DO4" s="5095"/>
      <c r="DP4" s="5095"/>
      <c r="DQ4" s="5095"/>
      <c r="DR4" s="5095"/>
      <c r="DS4" s="5095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48"/>
  <sheetViews>
    <sheetView workbookViewId="0">
      <pane ySplit="1" topLeftCell="A14" activePane="bottomLeft" state="frozen"/>
      <selection pane="bottomLeft" activeCell="J42" sqref="J42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098" t="s">
        <v>1379</v>
      </c>
      <c r="CK1" s="5098"/>
      <c r="CL1" s="5098"/>
      <c r="CM1" s="5098"/>
      <c r="CN1" s="5098"/>
      <c r="CO1" s="5098"/>
      <c r="CP1" s="5100" t="s">
        <v>1377</v>
      </c>
      <c r="CQ1" s="5100"/>
      <c r="CR1" s="5100"/>
      <c r="CS1" s="5100"/>
      <c r="CT1" s="5100"/>
      <c r="CU1" s="5100"/>
      <c r="CV1" s="5100" t="s">
        <v>1389</v>
      </c>
      <c r="CW1" s="5100"/>
      <c r="CX1" s="5100"/>
      <c r="CY1" s="5100"/>
      <c r="CZ1" s="5100"/>
      <c r="DA1" s="5100"/>
      <c r="DB1" s="5099" t="s">
        <v>1378</v>
      </c>
      <c r="DC1" s="5099"/>
      <c r="DD1" s="5099"/>
      <c r="DE1" s="5099"/>
      <c r="DF1" s="5099"/>
      <c r="DG1" s="5099"/>
      <c r="DH1" s="5098" t="s">
        <v>1405</v>
      </c>
      <c r="DI1" s="5098"/>
      <c r="DJ1" s="5098"/>
      <c r="DK1" s="5098"/>
      <c r="DL1" s="5098"/>
      <c r="DM1" s="5098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AVERAGE(B3,B21,B34,B37)</f>
        <v>0.97000000000000008</v>
      </c>
      <c r="CW2" s="1">
        <f>AVERAGE(C3,C21,C34,C37)</f>
        <v>1.1166666666666667</v>
      </c>
      <c r="CX2" s="1">
        <f>AVERAGE(D3,D21,D34,D37)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/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5118">
        <f>_xlfn.AGGREGATE(1,6,CJ2:CO2)</f>
        <v>1.2085416666666666</v>
      </c>
      <c r="CK3" s="5118"/>
      <c r="CL3" s="5118"/>
      <c r="CM3" s="5118"/>
      <c r="CN3" s="5118"/>
      <c r="CO3" s="5118"/>
      <c r="CP3" s="5118">
        <f t="shared" ref="CP3" si="0">_xlfn.AGGREGATE(1,6,CP2:CU2)</f>
        <v>0.84299999999999997</v>
      </c>
      <c r="CQ3" s="5118"/>
      <c r="CR3" s="5118"/>
      <c r="CS3" s="5118"/>
      <c r="CT3" s="5118"/>
      <c r="CU3" s="5118"/>
      <c r="CV3" s="5118">
        <f t="shared" ref="CV3" si="1">_xlfn.AGGREGATE(1,6,CV2:DA2)</f>
        <v>1.0722222222222222</v>
      </c>
      <c r="CW3" s="5118"/>
      <c r="CX3" s="5118"/>
      <c r="CY3" s="5118"/>
      <c r="CZ3" s="5118"/>
      <c r="DA3" s="5118"/>
      <c r="DB3" s="5118">
        <f t="shared" ref="DB3" si="2">_xlfn.AGGREGATE(1,6,DB2:DG2)</f>
        <v>1.0822222222222224</v>
      </c>
      <c r="DC3" s="5118"/>
      <c r="DD3" s="5118"/>
      <c r="DE3" s="5118"/>
      <c r="DF3" s="5118"/>
      <c r="DG3" s="5118"/>
      <c r="DH3" s="5118">
        <f t="shared" ref="DH3" si="3">_xlfn.AGGREGATE(1,6,DH2:DM2)</f>
        <v>1.0249999999999999</v>
      </c>
      <c r="DI3" s="5118"/>
      <c r="DJ3" s="5118"/>
      <c r="DK3" s="5118"/>
      <c r="DL3" s="5118"/>
      <c r="DM3" s="5118"/>
      <c r="DN3" s="4410"/>
      <c r="DO3" s="4410"/>
    </row>
    <row r="4" spans="1:119" ht="15.75" customHeight="1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5089" t="s">
        <v>1380</v>
      </c>
      <c r="CK4" s="5089"/>
      <c r="CL4" s="5089"/>
      <c r="CM4" s="5089"/>
      <c r="CN4" s="5089"/>
      <c r="CO4" s="5089"/>
      <c r="CP4" s="5097" t="s">
        <v>1391</v>
      </c>
      <c r="CQ4" s="5097"/>
      <c r="CR4" s="5097"/>
      <c r="CS4" s="5097"/>
      <c r="CT4" s="5097"/>
      <c r="CU4" s="5097"/>
      <c r="CV4" s="5095" t="s">
        <v>1356</v>
      </c>
      <c r="CW4" s="5095"/>
      <c r="CX4" s="5095"/>
      <c r="CY4" s="5095"/>
      <c r="CZ4" s="5095"/>
      <c r="DA4" s="5095"/>
      <c r="DB4" s="5097" t="s">
        <v>1408</v>
      </c>
      <c r="DC4" s="5097"/>
      <c r="DD4" s="5097"/>
      <c r="DE4" s="5097"/>
      <c r="DF4" s="5097"/>
      <c r="DG4" s="5097"/>
      <c r="DH4" s="5099" t="s">
        <v>1397</v>
      </c>
      <c r="DI4" s="5099"/>
      <c r="DJ4" s="5099"/>
      <c r="DK4" s="5099"/>
      <c r="DL4" s="5099"/>
      <c r="DM4" s="5099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AVERAGE(B8,B18,B38)</f>
        <v>0.71500000000000008</v>
      </c>
      <c r="CQ5" s="4150">
        <f t="shared" ref="CQ5:CT5" si="4">AVERAGE(C8,C18,C38)</f>
        <v>1.0466666666666666</v>
      </c>
      <c r="CR5" s="4150">
        <f t="shared" si="4"/>
        <v>1.1200000000000001</v>
      </c>
      <c r="CS5" s="4150" t="e">
        <f t="shared" si="4"/>
        <v>#DIV/0!</v>
      </c>
      <c r="CT5" s="4150" t="e">
        <f t="shared" si="4"/>
        <v>#DIV/0!</v>
      </c>
      <c r="CU5" s="4150" t="e">
        <f>AVERAGE(G8,G18,#REF!)</f>
        <v>#REF!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AVERAGE(B23,B43,B44,B45,B46,B47)</f>
        <v>1.0516666666666665</v>
      </c>
      <c r="DC5" s="4150">
        <f t="shared" ref="DC5:DG5" si="6">AVERAGE(C23,C43,C44,C45,C46,C47)</f>
        <v>1.1849999999999998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 t="e">
        <f>AVERAGE(G23,#REF!,#REF!,#REF!,#REF!,#REF!)</f>
        <v>#REF!</v>
      </c>
      <c r="DH5" s="1">
        <f>AVERAGE(B13,B27,B31,B36,B39,B41)</f>
        <v>1.2100000000000002</v>
      </c>
      <c r="DI5" s="1">
        <f t="shared" ref="DI5:DL5" si="7">AVERAGE(C13,C27,C31,C36,C39,C41)</f>
        <v>0.63400000000000012</v>
      </c>
      <c r="DJ5" s="1">
        <f t="shared" si="7"/>
        <v>0.89600000000000013</v>
      </c>
      <c r="DK5" s="1" t="e">
        <f t="shared" si="7"/>
        <v>#DIV/0!</v>
      </c>
      <c r="DL5" s="1" t="e">
        <f t="shared" si="7"/>
        <v>#DIV/0!</v>
      </c>
      <c r="DM5" s="1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5088">
        <f>_xlfn.AGGREGATE(1,6,CJ5:CO5)</f>
        <v>1.1372222222222224</v>
      </c>
      <c r="CK6" s="5088"/>
      <c r="CL6" s="5088"/>
      <c r="CM6" s="5088"/>
      <c r="CN6" s="5088"/>
      <c r="CO6" s="5088"/>
      <c r="CP6" s="5088">
        <f t="shared" ref="CP6" si="8">_xlfn.AGGREGATE(1,6,CP5:CU5)</f>
        <v>0.96055555555555561</v>
      </c>
      <c r="CQ6" s="5088"/>
      <c r="CR6" s="5088"/>
      <c r="CS6" s="5088"/>
      <c r="CT6" s="5088"/>
      <c r="CU6" s="5088"/>
      <c r="CV6" s="5088">
        <f t="shared" ref="CV6" si="9">_xlfn.AGGREGATE(1,6,CV5:DA5)</f>
        <v>1.2549999999999999</v>
      </c>
      <c r="CW6" s="5088"/>
      <c r="CX6" s="5088"/>
      <c r="CY6" s="5088"/>
      <c r="CZ6" s="5088"/>
      <c r="DA6" s="5088"/>
      <c r="DB6" s="5088">
        <f t="shared" ref="DB6" si="10">_xlfn.AGGREGATE(1,6,DB5:DG5)</f>
        <v>1.1183333333333332</v>
      </c>
      <c r="DC6" s="5088"/>
      <c r="DD6" s="5088"/>
      <c r="DE6" s="5088"/>
      <c r="DF6" s="5088"/>
      <c r="DG6" s="5088"/>
      <c r="DH6" s="5072">
        <f>_xlfn.AGGREGATE(1,3,DH5:DJ5)</f>
        <v>0.91333333333333344</v>
      </c>
      <c r="DI6" s="5073"/>
      <c r="DJ6" s="5073"/>
      <c r="DK6" s="5073"/>
      <c r="DL6" s="5073"/>
      <c r="DM6" s="5073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1359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1363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1360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1361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1364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1376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1383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1384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A35" s="40" t="s">
        <v>1386</v>
      </c>
      <c r="B35" s="40"/>
      <c r="C35" s="40"/>
      <c r="D35" s="40"/>
      <c r="E35" s="40"/>
      <c r="F35" s="40"/>
      <c r="G35" s="4654"/>
      <c r="O35" s="4655"/>
      <c r="T35" s="4656"/>
      <c r="AB35" s="4657"/>
      <c r="AG35" s="4658"/>
      <c r="AO35" s="4659"/>
      <c r="AT35" s="4660"/>
      <c r="BB35" s="4661"/>
      <c r="BG35" s="4662"/>
      <c r="BO35" s="4663"/>
      <c r="BT35" s="4664"/>
      <c r="CB35" s="4665"/>
    </row>
    <row r="36" spans="1:113" x14ac:dyDescent="0.25">
      <c r="A36" s="4666" t="s">
        <v>1387</v>
      </c>
      <c r="B36">
        <v>1.1000000000000001</v>
      </c>
      <c r="C36">
        <v>0.41</v>
      </c>
      <c r="D36">
        <v>0.65</v>
      </c>
      <c r="G36" s="4667">
        <v>0</v>
      </c>
      <c r="H36">
        <v>1</v>
      </c>
      <c r="I36">
        <v>1</v>
      </c>
      <c r="J36">
        <v>1</v>
      </c>
      <c r="K36">
        <v>0</v>
      </c>
      <c r="L36">
        <v>0</v>
      </c>
      <c r="M36">
        <v>2</v>
      </c>
      <c r="N36">
        <v>2</v>
      </c>
      <c r="O36" s="4668">
        <v>0</v>
      </c>
      <c r="P36">
        <v>0</v>
      </c>
      <c r="Q36">
        <v>0</v>
      </c>
      <c r="R36">
        <v>0</v>
      </c>
      <c r="S36">
        <v>0</v>
      </c>
      <c r="T36" s="4669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 s="4670">
        <v>0</v>
      </c>
      <c r="AC36">
        <v>0</v>
      </c>
      <c r="AD36">
        <v>0</v>
      </c>
      <c r="AE36">
        <v>0</v>
      </c>
      <c r="AF36">
        <v>0</v>
      </c>
      <c r="AG36" s="4671">
        <v>1</v>
      </c>
      <c r="AH36">
        <v>0</v>
      </c>
      <c r="AI36">
        <v>0</v>
      </c>
      <c r="AJ36">
        <v>1</v>
      </c>
      <c r="AK36">
        <v>0</v>
      </c>
      <c r="AL36">
        <v>0</v>
      </c>
      <c r="AM36">
        <v>3</v>
      </c>
      <c r="AN36">
        <v>1</v>
      </c>
      <c r="AO36" s="4672">
        <v>0</v>
      </c>
      <c r="AP36">
        <v>0</v>
      </c>
      <c r="AQ36">
        <v>0</v>
      </c>
      <c r="AR36">
        <v>0</v>
      </c>
      <c r="AS36">
        <v>0</v>
      </c>
      <c r="AT36" s="4673"/>
      <c r="BB36" s="4674"/>
      <c r="BG36" s="4675"/>
      <c r="BO36" s="4676"/>
      <c r="BT36" s="4677"/>
      <c r="CB36" s="4678"/>
    </row>
    <row r="37" spans="1:113" x14ac:dyDescent="0.25">
      <c r="A37" s="4679" t="s">
        <v>1388</v>
      </c>
      <c r="B37">
        <v>1.39</v>
      </c>
      <c r="C37">
        <v>1.49</v>
      </c>
      <c r="D37">
        <v>1.42</v>
      </c>
      <c r="G37" s="4680">
        <v>1</v>
      </c>
      <c r="H37">
        <v>5</v>
      </c>
      <c r="I37">
        <v>3</v>
      </c>
      <c r="J37">
        <v>0</v>
      </c>
      <c r="K37">
        <v>0</v>
      </c>
      <c r="L37">
        <v>0</v>
      </c>
      <c r="M37">
        <v>4</v>
      </c>
      <c r="N37">
        <v>2</v>
      </c>
      <c r="O37" s="4681">
        <v>1</v>
      </c>
      <c r="P37">
        <v>0</v>
      </c>
      <c r="Q37">
        <v>0</v>
      </c>
      <c r="R37">
        <v>0</v>
      </c>
      <c r="S37">
        <v>0</v>
      </c>
      <c r="T37" s="4682">
        <v>0</v>
      </c>
      <c r="U37">
        <v>3</v>
      </c>
      <c r="V37">
        <v>2</v>
      </c>
      <c r="W37">
        <v>0</v>
      </c>
      <c r="X37">
        <v>0</v>
      </c>
      <c r="Y37">
        <v>0</v>
      </c>
      <c r="Z37">
        <v>1</v>
      </c>
      <c r="AA37">
        <v>4</v>
      </c>
      <c r="AB37" s="4683">
        <v>1</v>
      </c>
      <c r="AC37">
        <v>0</v>
      </c>
      <c r="AD37">
        <v>1</v>
      </c>
      <c r="AE37">
        <v>0</v>
      </c>
      <c r="AF37">
        <v>0</v>
      </c>
      <c r="AG37" s="4684">
        <v>2</v>
      </c>
      <c r="AH37">
        <v>6</v>
      </c>
      <c r="AI37">
        <v>1</v>
      </c>
      <c r="AJ37">
        <v>0</v>
      </c>
      <c r="AK37">
        <v>1</v>
      </c>
      <c r="AL37">
        <v>0</v>
      </c>
      <c r="AM37">
        <v>3</v>
      </c>
      <c r="AN37">
        <v>0</v>
      </c>
      <c r="AO37" s="4685">
        <v>1</v>
      </c>
      <c r="AP37">
        <v>0</v>
      </c>
      <c r="AQ37">
        <v>0</v>
      </c>
      <c r="AR37">
        <v>0</v>
      </c>
      <c r="AS37">
        <v>0</v>
      </c>
      <c r="AT37" s="4686"/>
      <c r="BB37" s="4687"/>
      <c r="BG37" s="4688"/>
      <c r="BO37" s="4689"/>
      <c r="BT37" s="4690"/>
      <c r="CB37" s="4691"/>
    </row>
    <row r="38" spans="1:113" x14ac:dyDescent="0.25">
      <c r="A38" s="4692" t="s">
        <v>1390</v>
      </c>
      <c r="B38">
        <v>0.88</v>
      </c>
      <c r="C38">
        <v>0.84</v>
      </c>
      <c r="D38">
        <v>1.26</v>
      </c>
      <c r="G38" s="4693">
        <v>0</v>
      </c>
      <c r="H38">
        <v>1</v>
      </c>
      <c r="I38">
        <v>0</v>
      </c>
      <c r="J38">
        <v>0</v>
      </c>
      <c r="K38">
        <v>0</v>
      </c>
      <c r="L38">
        <v>0</v>
      </c>
      <c r="M38">
        <v>2</v>
      </c>
      <c r="N38">
        <v>0</v>
      </c>
      <c r="O38" s="4694">
        <v>0</v>
      </c>
      <c r="P38">
        <v>1</v>
      </c>
      <c r="Q38">
        <v>1</v>
      </c>
      <c r="R38">
        <v>0</v>
      </c>
      <c r="S38">
        <v>0</v>
      </c>
      <c r="T38" s="4695">
        <v>0</v>
      </c>
      <c r="U38">
        <v>0</v>
      </c>
      <c r="V38">
        <v>2</v>
      </c>
      <c r="W38">
        <v>0</v>
      </c>
      <c r="X38">
        <v>0</v>
      </c>
      <c r="Y38">
        <v>0</v>
      </c>
      <c r="Z38">
        <v>3</v>
      </c>
      <c r="AA38">
        <v>0</v>
      </c>
      <c r="AB38" s="4696">
        <v>0</v>
      </c>
      <c r="AC38">
        <v>0</v>
      </c>
      <c r="AD38">
        <v>0</v>
      </c>
      <c r="AE38">
        <v>0</v>
      </c>
      <c r="AF38">
        <v>0</v>
      </c>
      <c r="AG38" s="4697">
        <v>1</v>
      </c>
      <c r="AH38">
        <v>0</v>
      </c>
      <c r="AI38">
        <v>1</v>
      </c>
      <c r="AJ38">
        <v>0</v>
      </c>
      <c r="AK38">
        <v>0</v>
      </c>
      <c r="AL38">
        <v>1</v>
      </c>
      <c r="AM38">
        <v>7</v>
      </c>
      <c r="AN38">
        <v>0</v>
      </c>
      <c r="AO38" s="4698">
        <v>2</v>
      </c>
      <c r="AP38">
        <v>0</v>
      </c>
      <c r="AQ38">
        <v>0</v>
      </c>
      <c r="AR38">
        <v>0</v>
      </c>
      <c r="AS38">
        <v>0</v>
      </c>
      <c r="AT38" s="4699"/>
      <c r="BB38" s="4700"/>
      <c r="BG38" s="4701"/>
      <c r="BO38" s="4702"/>
      <c r="BT38" s="4703"/>
      <c r="CB38" s="4704"/>
    </row>
    <row r="39" spans="1:113" x14ac:dyDescent="0.25">
      <c r="A39" s="4705" t="s">
        <v>1392</v>
      </c>
      <c r="B39">
        <v>0.66</v>
      </c>
      <c r="C39">
        <v>0.43</v>
      </c>
      <c r="D39">
        <v>0.45</v>
      </c>
      <c r="G39" s="4706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1</v>
      </c>
      <c r="N39">
        <v>1</v>
      </c>
      <c r="O39" s="4707">
        <v>0</v>
      </c>
      <c r="P39">
        <v>0</v>
      </c>
      <c r="Q39">
        <v>0</v>
      </c>
      <c r="R39">
        <v>0</v>
      </c>
      <c r="S39">
        <v>0</v>
      </c>
      <c r="T39" s="4708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 s="4709">
        <v>0</v>
      </c>
      <c r="AC39">
        <v>0</v>
      </c>
      <c r="AD39">
        <v>0</v>
      </c>
      <c r="AE39">
        <v>0</v>
      </c>
      <c r="AF39">
        <v>0</v>
      </c>
      <c r="AG39" s="4710">
        <v>1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2</v>
      </c>
      <c r="AN39">
        <v>0</v>
      </c>
      <c r="AO39" s="4711">
        <v>1</v>
      </c>
      <c r="AP39">
        <v>0</v>
      </c>
      <c r="AQ39">
        <v>0</v>
      </c>
      <c r="AR39">
        <v>0</v>
      </c>
      <c r="AS39">
        <v>0</v>
      </c>
      <c r="AT39" s="4712"/>
      <c r="BB39" s="4713"/>
      <c r="BG39" s="4714"/>
      <c r="BO39" s="4715"/>
      <c r="BT39" s="4716"/>
      <c r="CB39" s="4717"/>
    </row>
    <row r="40" spans="1:113" x14ac:dyDescent="0.25">
      <c r="A40" s="44" t="s">
        <v>1403</v>
      </c>
      <c r="B40" s="44"/>
      <c r="C40" s="44"/>
      <c r="D40" s="44"/>
      <c r="E40" s="44"/>
      <c r="F40" s="44"/>
      <c r="G40" s="4811"/>
      <c r="O40" s="4812"/>
      <c r="T40" s="4813"/>
      <c r="AB40" s="4814"/>
      <c r="AG40" s="4815"/>
      <c r="AO40" s="4816"/>
      <c r="AT40" s="4817"/>
      <c r="BB40" s="4818"/>
      <c r="BG40" s="4819"/>
      <c r="BO40" s="4820"/>
      <c r="BT40" s="4821"/>
      <c r="CB40" s="4822"/>
    </row>
    <row r="41" spans="1:113" x14ac:dyDescent="0.25">
      <c r="A41" s="4823" t="s">
        <v>1404</v>
      </c>
      <c r="B41">
        <v>1.23</v>
      </c>
      <c r="C41">
        <v>1.29</v>
      </c>
      <c r="D41">
        <v>1.03</v>
      </c>
      <c r="G41" s="4824">
        <v>0</v>
      </c>
      <c r="H41">
        <v>2</v>
      </c>
      <c r="I41">
        <v>1</v>
      </c>
      <c r="J41">
        <v>0</v>
      </c>
      <c r="K41">
        <v>0</v>
      </c>
      <c r="L41">
        <v>0</v>
      </c>
      <c r="M41">
        <v>3</v>
      </c>
      <c r="N41">
        <v>1</v>
      </c>
      <c r="O41" s="4825">
        <v>0</v>
      </c>
      <c r="P41">
        <v>0</v>
      </c>
      <c r="Q41">
        <v>0</v>
      </c>
      <c r="R41">
        <v>0</v>
      </c>
      <c r="S41">
        <v>0</v>
      </c>
      <c r="T41" s="4826">
        <v>1</v>
      </c>
      <c r="U41">
        <v>2</v>
      </c>
      <c r="V41">
        <v>1</v>
      </c>
      <c r="W41">
        <v>0</v>
      </c>
      <c r="X41">
        <v>0</v>
      </c>
      <c r="Y41">
        <v>0</v>
      </c>
      <c r="Z41">
        <v>2</v>
      </c>
      <c r="AA41">
        <v>0</v>
      </c>
      <c r="AB41" s="4827">
        <v>1</v>
      </c>
      <c r="AC41">
        <v>0</v>
      </c>
      <c r="AD41">
        <v>0</v>
      </c>
      <c r="AE41">
        <v>0</v>
      </c>
      <c r="AF41">
        <v>0</v>
      </c>
      <c r="AG41" s="4828">
        <v>1</v>
      </c>
      <c r="AH41">
        <v>4</v>
      </c>
      <c r="AI41">
        <v>0</v>
      </c>
      <c r="AJ41">
        <v>0</v>
      </c>
      <c r="AK41">
        <v>0</v>
      </c>
      <c r="AL41">
        <v>0</v>
      </c>
      <c r="AM41">
        <v>2</v>
      </c>
      <c r="AN41">
        <v>1</v>
      </c>
      <c r="AO41" s="4829">
        <v>1</v>
      </c>
      <c r="AP41">
        <v>0</v>
      </c>
      <c r="AQ41">
        <v>0</v>
      </c>
      <c r="AR41">
        <v>0</v>
      </c>
      <c r="AS41">
        <v>0</v>
      </c>
      <c r="AT41" s="4830"/>
      <c r="BB41" s="4831"/>
      <c r="BG41" s="4832"/>
      <c r="BO41" s="4833"/>
      <c r="BT41" s="4834"/>
      <c r="CB41" s="4835"/>
    </row>
    <row r="42" spans="1:113" x14ac:dyDescent="0.25">
      <c r="A42" s="40" t="s">
        <v>1398</v>
      </c>
      <c r="B42" s="40"/>
      <c r="C42" s="40"/>
      <c r="D42" s="40"/>
      <c r="E42" s="40"/>
      <c r="F42" s="40"/>
      <c r="G42" s="4836"/>
      <c r="O42" s="4837"/>
      <c r="T42" s="4838"/>
      <c r="AB42" s="4839"/>
      <c r="AG42" s="4840"/>
      <c r="AO42" s="4841"/>
      <c r="AT42" s="4842"/>
      <c r="BB42" s="4843"/>
      <c r="BG42" s="4844"/>
      <c r="BO42" s="4845"/>
      <c r="BT42" s="4846"/>
      <c r="CB42" s="4847"/>
    </row>
    <row r="43" spans="1:113" x14ac:dyDescent="0.25">
      <c r="A43" s="4848" t="s">
        <v>356</v>
      </c>
      <c r="B43">
        <v>0.59</v>
      </c>
      <c r="C43">
        <v>1.01</v>
      </c>
      <c r="G43" s="4849">
        <v>0</v>
      </c>
      <c r="H43">
        <v>0</v>
      </c>
      <c r="I43">
        <v>1</v>
      </c>
      <c r="J43">
        <v>0</v>
      </c>
      <c r="K43">
        <v>0</v>
      </c>
      <c r="L43">
        <v>0</v>
      </c>
      <c r="M43">
        <v>1</v>
      </c>
      <c r="N43">
        <v>1</v>
      </c>
      <c r="O43" s="4850">
        <v>0</v>
      </c>
      <c r="P43">
        <v>0</v>
      </c>
      <c r="Q43">
        <v>0</v>
      </c>
      <c r="R43">
        <v>0</v>
      </c>
      <c r="S43">
        <v>0</v>
      </c>
      <c r="T43" s="4851">
        <v>0</v>
      </c>
      <c r="U43">
        <v>1</v>
      </c>
      <c r="V43">
        <v>0</v>
      </c>
      <c r="W43">
        <v>0</v>
      </c>
      <c r="X43">
        <v>0</v>
      </c>
      <c r="Y43">
        <v>0</v>
      </c>
      <c r="Z43">
        <v>3</v>
      </c>
      <c r="AA43">
        <v>1</v>
      </c>
      <c r="AB43" s="4852">
        <v>1</v>
      </c>
      <c r="AC43">
        <v>0</v>
      </c>
      <c r="AD43">
        <v>0</v>
      </c>
      <c r="AE43">
        <v>0</v>
      </c>
      <c r="AF43">
        <v>0</v>
      </c>
      <c r="AG43" s="4853"/>
      <c r="AO43" s="4854"/>
      <c r="AT43" s="4855"/>
      <c r="BB43" s="4856"/>
      <c r="BG43" s="4857"/>
      <c r="BO43" s="4858"/>
      <c r="BT43" s="4859"/>
      <c r="CB43" s="4860"/>
    </row>
    <row r="44" spans="1:113" x14ac:dyDescent="0.25">
      <c r="A44" s="4861" t="s">
        <v>737</v>
      </c>
      <c r="B44">
        <v>0.88</v>
      </c>
      <c r="C44">
        <v>1.1299999999999999</v>
      </c>
      <c r="G44" s="4862">
        <v>1</v>
      </c>
      <c r="H44">
        <v>0</v>
      </c>
      <c r="I44">
        <v>2</v>
      </c>
      <c r="J44">
        <v>0</v>
      </c>
      <c r="K44">
        <v>0</v>
      </c>
      <c r="L44">
        <v>0</v>
      </c>
      <c r="M44">
        <v>1</v>
      </c>
      <c r="N44">
        <v>0</v>
      </c>
      <c r="O44" s="4863">
        <v>0</v>
      </c>
      <c r="P44">
        <v>0</v>
      </c>
      <c r="Q44">
        <v>0</v>
      </c>
      <c r="R44">
        <v>0</v>
      </c>
      <c r="S44">
        <v>0</v>
      </c>
      <c r="T44" s="4864">
        <v>2</v>
      </c>
      <c r="U44">
        <v>0</v>
      </c>
      <c r="V44">
        <v>2</v>
      </c>
      <c r="W44">
        <v>0</v>
      </c>
      <c r="X44">
        <v>0</v>
      </c>
      <c r="Y44">
        <v>0</v>
      </c>
      <c r="Z44">
        <v>9</v>
      </c>
      <c r="AA44">
        <v>3</v>
      </c>
      <c r="AB44" s="4865">
        <v>0</v>
      </c>
      <c r="AC44">
        <v>0</v>
      </c>
      <c r="AD44">
        <v>0</v>
      </c>
      <c r="AE44">
        <v>0</v>
      </c>
      <c r="AF44">
        <v>0</v>
      </c>
      <c r="AG44" s="4866"/>
      <c r="AO44" s="4867"/>
      <c r="AT44" s="4868"/>
      <c r="BB44" s="4869"/>
      <c r="BG44" s="4870"/>
      <c r="BO44" s="4871"/>
      <c r="BT44" s="4872"/>
      <c r="CB44" s="4873"/>
    </row>
    <row r="45" spans="1:113" x14ac:dyDescent="0.25">
      <c r="A45" s="4874" t="s">
        <v>738</v>
      </c>
      <c r="B45">
        <v>1.33</v>
      </c>
      <c r="C45">
        <v>1.1599999999999999</v>
      </c>
      <c r="G45" s="4875">
        <v>1</v>
      </c>
      <c r="H45">
        <v>2</v>
      </c>
      <c r="I45">
        <v>2</v>
      </c>
      <c r="J45">
        <v>0</v>
      </c>
      <c r="K45">
        <v>0</v>
      </c>
      <c r="L45">
        <v>0</v>
      </c>
      <c r="M45">
        <v>4</v>
      </c>
      <c r="N45">
        <v>0</v>
      </c>
      <c r="O45" s="4876">
        <v>1</v>
      </c>
      <c r="P45">
        <v>0</v>
      </c>
      <c r="Q45">
        <v>0</v>
      </c>
      <c r="R45">
        <v>0</v>
      </c>
      <c r="S45">
        <v>0</v>
      </c>
      <c r="T45" s="4877">
        <v>1</v>
      </c>
      <c r="U45">
        <v>0</v>
      </c>
      <c r="V45">
        <v>1</v>
      </c>
      <c r="W45">
        <v>0</v>
      </c>
      <c r="X45">
        <v>0</v>
      </c>
      <c r="Y45">
        <v>3</v>
      </c>
      <c r="Z45">
        <v>5</v>
      </c>
      <c r="AA45">
        <v>1</v>
      </c>
      <c r="AB45" s="4878">
        <v>1</v>
      </c>
      <c r="AC45">
        <v>0</v>
      </c>
      <c r="AD45">
        <v>0</v>
      </c>
      <c r="AE45">
        <v>0</v>
      </c>
      <c r="AF45">
        <v>0</v>
      </c>
      <c r="AG45" s="4879"/>
      <c r="AO45" s="4880"/>
      <c r="AT45" s="4881"/>
      <c r="BB45" s="4882"/>
      <c r="BG45" s="4883"/>
      <c r="BO45" s="4884"/>
      <c r="BT45" s="4885"/>
      <c r="CB45" s="4886"/>
    </row>
    <row r="46" spans="1:113" x14ac:dyDescent="0.25">
      <c r="A46" s="4887" t="s">
        <v>1406</v>
      </c>
      <c r="B46">
        <v>0.89</v>
      </c>
      <c r="C46">
        <v>0.97</v>
      </c>
      <c r="G46" s="4888">
        <v>1</v>
      </c>
      <c r="H46">
        <v>0</v>
      </c>
      <c r="I46">
        <v>0</v>
      </c>
      <c r="J46">
        <v>0</v>
      </c>
      <c r="K46">
        <v>0</v>
      </c>
      <c r="L46">
        <v>0</v>
      </c>
      <c r="M46">
        <v>4</v>
      </c>
      <c r="N46">
        <v>0</v>
      </c>
      <c r="O46" s="4889">
        <v>0</v>
      </c>
      <c r="P46">
        <v>0</v>
      </c>
      <c r="Q46">
        <v>0</v>
      </c>
      <c r="R46">
        <v>0</v>
      </c>
      <c r="S46">
        <v>0</v>
      </c>
      <c r="T46" s="4890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v>6</v>
      </c>
      <c r="AA46">
        <v>0</v>
      </c>
      <c r="AB46" s="4891">
        <v>1</v>
      </c>
      <c r="AC46">
        <v>0</v>
      </c>
      <c r="AD46">
        <v>0</v>
      </c>
      <c r="AE46">
        <v>0</v>
      </c>
      <c r="AF46">
        <v>0</v>
      </c>
      <c r="AG46" s="4892"/>
      <c r="AO46" s="4893"/>
      <c r="AT46" s="4894"/>
      <c r="BB46" s="4895"/>
      <c r="BG46" s="4896"/>
      <c r="BO46" s="4897"/>
      <c r="BT46" s="4898"/>
      <c r="CB46" s="4899"/>
    </row>
    <row r="47" spans="1:113" x14ac:dyDescent="0.25">
      <c r="A47" s="4900" t="s">
        <v>1407</v>
      </c>
      <c r="B47">
        <v>1.54</v>
      </c>
      <c r="C47">
        <v>1.29</v>
      </c>
      <c r="G47" s="4901">
        <v>0</v>
      </c>
      <c r="H47">
        <v>3</v>
      </c>
      <c r="I47">
        <v>1</v>
      </c>
      <c r="J47">
        <v>1</v>
      </c>
      <c r="K47">
        <v>0</v>
      </c>
      <c r="L47">
        <v>1</v>
      </c>
      <c r="M47">
        <v>3</v>
      </c>
      <c r="N47">
        <v>1</v>
      </c>
      <c r="O47" s="4902">
        <v>0</v>
      </c>
      <c r="P47">
        <v>0</v>
      </c>
      <c r="Q47">
        <v>0</v>
      </c>
      <c r="R47">
        <v>0</v>
      </c>
      <c r="S47">
        <v>0</v>
      </c>
      <c r="T47" s="4903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6</v>
      </c>
      <c r="AA47">
        <v>0</v>
      </c>
      <c r="AB47" s="4904">
        <v>0</v>
      </c>
      <c r="AC47">
        <v>1</v>
      </c>
      <c r="AD47">
        <v>0</v>
      </c>
      <c r="AE47">
        <v>0</v>
      </c>
      <c r="AF47">
        <v>0</v>
      </c>
      <c r="AG47" s="4905"/>
      <c r="AO47" s="4906"/>
      <c r="AT47" s="4907"/>
      <c r="BB47" s="4908"/>
      <c r="BG47" s="4909"/>
      <c r="BO47" s="4910"/>
      <c r="BT47" s="4911"/>
      <c r="CB47" s="4912"/>
    </row>
    <row r="48" spans="1:113" x14ac:dyDescent="0.25">
      <c r="B48" s="4070">
        <f>AVERAGE(B3:B47)</f>
        <v>1.0954054054054054</v>
      </c>
      <c r="C48" s="4470">
        <f t="shared" ref="B48:AG48" si="11">AVERAGE(C3:C47)</f>
        <v>1.0505555555555555</v>
      </c>
      <c r="D48" s="4470">
        <f t="shared" si="11"/>
        <v>1.0285714285714287</v>
      </c>
      <c r="E48" s="4470">
        <f t="shared" si="11"/>
        <v>1.19</v>
      </c>
      <c r="F48" s="4470">
        <f t="shared" si="11"/>
        <v>0.73</v>
      </c>
      <c r="G48" s="4150">
        <f>AVERAGE(G3:G47)</f>
        <v>0.78378378378378377</v>
      </c>
      <c r="H48" s="4150">
        <f t="shared" si="11"/>
        <v>1.6216216216216217</v>
      </c>
      <c r="I48" s="4150">
        <f t="shared" si="11"/>
        <v>0.83783783783783783</v>
      </c>
      <c r="J48" s="4150">
        <f t="shared" si="11"/>
        <v>0.1891891891891892</v>
      </c>
      <c r="K48" s="4150">
        <f t="shared" si="11"/>
        <v>0</v>
      </c>
      <c r="L48" s="4150">
        <f t="shared" si="11"/>
        <v>0.1891891891891892</v>
      </c>
      <c r="M48" s="4150">
        <f t="shared" si="11"/>
        <v>2.0270270270270272</v>
      </c>
      <c r="N48" s="4150">
        <f t="shared" si="11"/>
        <v>0.64864864864864868</v>
      </c>
      <c r="O48" s="4150">
        <f t="shared" si="11"/>
        <v>0.21621621621621623</v>
      </c>
      <c r="P48" s="4150">
        <f t="shared" si="11"/>
        <v>5.4054054054054057E-2</v>
      </c>
      <c r="Q48" s="4150">
        <f t="shared" si="11"/>
        <v>2.7027027027027029E-2</v>
      </c>
      <c r="R48" s="4150">
        <f t="shared" si="11"/>
        <v>0</v>
      </c>
      <c r="S48" s="4150">
        <f t="shared" si="11"/>
        <v>0</v>
      </c>
      <c r="T48" s="4150">
        <f t="shared" si="11"/>
        <v>0.44444444444444442</v>
      </c>
      <c r="U48" s="4150">
        <f t="shared" si="11"/>
        <v>0.63888888888888884</v>
      </c>
      <c r="V48" s="4150">
        <f t="shared" si="11"/>
        <v>0.58333333333333337</v>
      </c>
      <c r="W48" s="4150">
        <f t="shared" si="11"/>
        <v>0.19444444444444445</v>
      </c>
      <c r="X48" s="4150">
        <f t="shared" si="11"/>
        <v>0</v>
      </c>
      <c r="Y48" s="4150">
        <f t="shared" si="11"/>
        <v>8.3333333333333329E-2</v>
      </c>
      <c r="Z48" s="4150">
        <f t="shared" si="11"/>
        <v>3.3055555555555554</v>
      </c>
      <c r="AA48" s="4150">
        <f t="shared" si="11"/>
        <v>0.52777777777777779</v>
      </c>
      <c r="AB48" s="4150">
        <f t="shared" si="11"/>
        <v>0.3611111111111111</v>
      </c>
      <c r="AC48" s="4150">
        <f t="shared" si="11"/>
        <v>8.3333333333333329E-2</v>
      </c>
      <c r="AD48" s="4150">
        <f t="shared" si="11"/>
        <v>5.5555555555555552E-2</v>
      </c>
      <c r="AE48" s="4150">
        <f t="shared" si="11"/>
        <v>0</v>
      </c>
      <c r="AF48" s="4150">
        <f t="shared" si="11"/>
        <v>0</v>
      </c>
      <c r="AG48" s="4150">
        <f t="shared" si="11"/>
        <v>0.8571428571428571</v>
      </c>
      <c r="AH48" s="4150">
        <f t="shared" ref="AH48:BM48" si="12">AVERAGE(AH3:AH47)</f>
        <v>1.8571428571428572</v>
      </c>
      <c r="AI48" s="4150">
        <f t="shared" si="12"/>
        <v>0.95238095238095233</v>
      </c>
      <c r="AJ48" s="4150">
        <f t="shared" si="12"/>
        <v>0.14285714285714285</v>
      </c>
      <c r="AK48" s="4150">
        <f t="shared" si="12"/>
        <v>4.7619047619047616E-2</v>
      </c>
      <c r="AL48" s="4150">
        <f t="shared" si="12"/>
        <v>0.42857142857142855</v>
      </c>
      <c r="AM48" s="4150">
        <f t="shared" si="12"/>
        <v>2.5238095238095237</v>
      </c>
      <c r="AN48" s="4150">
        <f t="shared" si="12"/>
        <v>0.23809523809523808</v>
      </c>
      <c r="AO48" s="4150">
        <f t="shared" si="12"/>
        <v>0.47619047619047616</v>
      </c>
      <c r="AP48" s="4150">
        <f t="shared" si="12"/>
        <v>0.19047619047619047</v>
      </c>
      <c r="AQ48" s="4150">
        <f t="shared" si="12"/>
        <v>4.7619047619047616E-2</v>
      </c>
      <c r="AR48" s="4150">
        <f t="shared" si="12"/>
        <v>0</v>
      </c>
      <c r="AS48" s="4150">
        <f t="shared" si="12"/>
        <v>0</v>
      </c>
      <c r="AT48" s="4150">
        <f t="shared" si="12"/>
        <v>0</v>
      </c>
      <c r="AU48" s="4150">
        <f t="shared" si="12"/>
        <v>1</v>
      </c>
      <c r="AV48" s="4150">
        <f t="shared" si="12"/>
        <v>1</v>
      </c>
      <c r="AW48" s="4150">
        <f t="shared" si="12"/>
        <v>1</v>
      </c>
      <c r="AX48" s="4150">
        <f t="shared" si="12"/>
        <v>0</v>
      </c>
      <c r="AY48" s="4150">
        <f t="shared" si="12"/>
        <v>0</v>
      </c>
      <c r="AZ48" s="4150">
        <f t="shared" si="12"/>
        <v>3</v>
      </c>
      <c r="BA48" s="4150">
        <f t="shared" si="12"/>
        <v>2</v>
      </c>
      <c r="BB48" s="4150">
        <f t="shared" si="12"/>
        <v>0</v>
      </c>
      <c r="BC48" s="4150">
        <f t="shared" si="12"/>
        <v>0</v>
      </c>
      <c r="BD48" s="4150">
        <f t="shared" si="12"/>
        <v>0</v>
      </c>
      <c r="BE48" s="4150">
        <f t="shared" si="12"/>
        <v>0</v>
      </c>
      <c r="BF48" s="4150">
        <f t="shared" si="12"/>
        <v>0</v>
      </c>
      <c r="BG48" s="4150">
        <f t="shared" si="12"/>
        <v>2</v>
      </c>
      <c r="BH48" s="4150">
        <f t="shared" si="12"/>
        <v>3</v>
      </c>
      <c r="BI48" s="4150">
        <f t="shared" si="12"/>
        <v>0</v>
      </c>
      <c r="BJ48" s="4150">
        <f t="shared" si="12"/>
        <v>0</v>
      </c>
      <c r="BK48" s="4150">
        <f t="shared" si="12"/>
        <v>0</v>
      </c>
      <c r="BL48" s="4150">
        <f t="shared" si="12"/>
        <v>0</v>
      </c>
      <c r="BM48" s="4150">
        <f t="shared" si="12"/>
        <v>3</v>
      </c>
      <c r="BN48" s="4150">
        <f t="shared" ref="BN48:BS48" si="13">AVERAGE(BN3:BN47)</f>
        <v>0</v>
      </c>
      <c r="BO48" s="4150">
        <f t="shared" si="13"/>
        <v>0</v>
      </c>
      <c r="BP48" s="4150">
        <f t="shared" si="13"/>
        <v>0</v>
      </c>
      <c r="BQ48" s="4150">
        <f t="shared" si="13"/>
        <v>0</v>
      </c>
      <c r="BR48" s="4150">
        <f t="shared" si="13"/>
        <v>0</v>
      </c>
      <c r="BS48" s="4150">
        <f t="shared" si="13"/>
        <v>0</v>
      </c>
      <c r="CK48" s="4150"/>
      <c r="CL48" s="4150"/>
      <c r="CM48" s="4150"/>
      <c r="CN48" s="4150"/>
      <c r="CO48" s="4150"/>
      <c r="CP48" s="4150"/>
      <c r="CQ48" s="4150"/>
      <c r="CR48" s="4150"/>
      <c r="CS48" s="4150"/>
      <c r="CT48" s="4150"/>
      <c r="CU48" s="4150"/>
      <c r="CV48" s="4150"/>
      <c r="CW48" s="4150"/>
      <c r="CX48" s="4150"/>
      <c r="CY48" s="4150"/>
      <c r="CZ48" s="4150"/>
      <c r="DA48" s="4150"/>
      <c r="DB48" s="4150"/>
      <c r="DC48" s="4150"/>
      <c r="DD48" s="4150"/>
      <c r="DE48" s="4150"/>
      <c r="DF48" s="4150"/>
      <c r="DG48" s="4150"/>
      <c r="DH48" s="4150"/>
      <c r="DI48" s="4150"/>
    </row>
  </sheetData>
  <mergeCells count="20">
    <mergeCell ref="CJ4:CO4"/>
    <mergeCell ref="CP4:CU4"/>
    <mergeCell ref="CV4:DA4"/>
    <mergeCell ref="DB4:DG4"/>
    <mergeCell ref="DH1:DM1"/>
    <mergeCell ref="CJ3:CO3"/>
    <mergeCell ref="DH3:DM3"/>
    <mergeCell ref="DH4:DM4"/>
    <mergeCell ref="CJ1:CO1"/>
    <mergeCell ref="CP1:CU1"/>
    <mergeCell ref="CV1:DA1"/>
    <mergeCell ref="DB1:DG1"/>
    <mergeCell ref="CP3:CU3"/>
    <mergeCell ref="CV3:DA3"/>
    <mergeCell ref="DB3:DG3"/>
    <mergeCell ref="DH6:DM6"/>
    <mergeCell ref="CJ6:CO6"/>
    <mergeCell ref="CP6:CU6"/>
    <mergeCell ref="CV6:DA6"/>
    <mergeCell ref="DB6:DG6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33"/>
  <sheetViews>
    <sheetView tabSelected="1" topLeftCell="I1" workbookViewId="0">
      <selection activeCell="CV3" sqref="CV3:DA3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5093" t="s">
        <v>1411</v>
      </c>
      <c r="CK1" s="5093"/>
      <c r="CL1" s="5093"/>
      <c r="CM1" s="5093"/>
      <c r="CN1" s="5093" t="s">
        <v>1111</v>
      </c>
      <c r="CO1" s="5093"/>
      <c r="CP1" s="5117" t="s">
        <v>1415</v>
      </c>
      <c r="CQ1" s="5100"/>
      <c r="CR1" s="5100"/>
      <c r="CS1" s="5100"/>
      <c r="CT1" s="5100" t="s">
        <v>1362</v>
      </c>
      <c r="CU1" s="5100"/>
      <c r="CV1" s="5099" t="s">
        <v>1419</v>
      </c>
      <c r="CW1" s="5099"/>
      <c r="CX1" s="5099"/>
      <c r="CY1" s="5099"/>
      <c r="CZ1" s="5099"/>
      <c r="DA1" s="5099"/>
      <c r="DB1" s="5097" t="s">
        <v>1102</v>
      </c>
      <c r="DC1" s="5097"/>
      <c r="DD1" s="5097"/>
      <c r="DE1" s="5097"/>
      <c r="DF1" s="5097" t="s">
        <v>1382</v>
      </c>
      <c r="DG1" s="5097"/>
      <c r="DH1" s="5091" t="s">
        <v>1414</v>
      </c>
      <c r="DI1" s="5091"/>
      <c r="DJ1" s="5091"/>
      <c r="DK1" s="5091"/>
      <c r="DL1" s="5091"/>
      <c r="DM1" s="5091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AVERAGE(B6,B10,B12,B15,B16,B22,B23,B24)</f>
        <v>0.79249999999999998</v>
      </c>
      <c r="CK2" s="1">
        <f t="shared" ref="CK2:CL2" si="0">AVERAGE(C6,C10,C12,C15,C16,C22,C23,C24)</f>
        <v>0.92124999999999979</v>
      </c>
      <c r="CL2" s="1">
        <f t="shared" si="0"/>
        <v>1.02125</v>
      </c>
      <c r="CM2" s="1" t="e">
        <f t="shared" ref="CK2:CN2" si="1">AVERAGE(E6,E10,E12,E15,E16,E22,E23,E24)</f>
        <v>#DIV/0!</v>
      </c>
      <c r="CN2" s="1" t="e">
        <f t="shared" si="1"/>
        <v>#DIV/0!</v>
      </c>
      <c r="CO2" s="1"/>
      <c r="CP2" s="1">
        <f>AVERAGE(B3,B7,B8,B17,B20,B25,B26,B27,B29)</f>
        <v>0.87444444444444436</v>
      </c>
      <c r="CQ2" s="1">
        <f t="shared" ref="CQ2:CR2" si="2">AVERAGE(C3,C7,C8,C17,C20,C25,C26,C27,C29)</f>
        <v>0.99111111111111105</v>
      </c>
      <c r="CR2" s="1">
        <f t="shared" si="2"/>
        <v>1.01125</v>
      </c>
      <c r="CS2" s="1" t="e">
        <f t="shared" ref="CQ2:CT2" si="3">AVERAGE(E3,E7,E8,E17,E20,E25,E26,E27,E29)</f>
        <v>#DIV/0!</v>
      </c>
      <c r="CT2" s="1" t="e">
        <f t="shared" si="3"/>
        <v>#DIV/0!</v>
      </c>
      <c r="CU2" s="1"/>
      <c r="CV2" s="1">
        <f>AVERAGE(B5,B13,B32)</f>
        <v>1.0366666666666666</v>
      </c>
      <c r="CW2" s="1">
        <f t="shared" ref="CW2:CX2" si="4">AVERAGE(C5,C13,C32)</f>
        <v>0.88</v>
      </c>
      <c r="CX2" s="1">
        <f t="shared" si="4"/>
        <v>1.07</v>
      </c>
      <c r="CY2" s="1" t="e">
        <f t="shared" ref="CW2:CZ2" si="5">AVERAGE(E5,E13,E32)</f>
        <v>#DIV/0!</v>
      </c>
      <c r="CZ2" s="1" t="e">
        <f t="shared" si="5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AVERAGE(B11,B18,B28)</f>
        <v>1.0866666666666667</v>
      </c>
      <c r="DI2" s="1">
        <f t="shared" ref="DI2:DJ2" si="6">AVERAGE(C11,C18,C28)</f>
        <v>1.0266666666666666</v>
      </c>
      <c r="DJ2" s="1">
        <f t="shared" si="6"/>
        <v>1.31</v>
      </c>
      <c r="DK2" s="1" t="e">
        <f t="shared" ref="DI2:DL2" si="7">AVERAGE(E11,E18,E28)</f>
        <v>#DIV/0!</v>
      </c>
      <c r="DL2" s="1" t="e">
        <f t="shared" si="7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5072">
        <f>_xlfn.AGGREGATE(1,6,CJ2:CO2)</f>
        <v>0.91166666666666651</v>
      </c>
      <c r="CK3" s="5072"/>
      <c r="CL3" s="5072"/>
      <c r="CM3" s="5072"/>
      <c r="CN3" s="5072"/>
      <c r="CO3" s="5072"/>
      <c r="CP3" s="5072">
        <f t="shared" ref="CP3" si="8">_xlfn.AGGREGATE(1,6,CP2:CU2)</f>
        <v>0.95893518518518517</v>
      </c>
      <c r="CQ3" s="5072"/>
      <c r="CR3" s="5072"/>
      <c r="CS3" s="5072"/>
      <c r="CT3" s="5072"/>
      <c r="CU3" s="5072"/>
      <c r="CV3" s="5072">
        <f t="shared" ref="CV3" si="9">_xlfn.AGGREGATE(1,6,CV2:DA2)</f>
        <v>0.99555555555555542</v>
      </c>
      <c r="CW3" s="5072"/>
      <c r="CX3" s="5072"/>
      <c r="CY3" s="5072"/>
      <c r="CZ3" s="5072"/>
      <c r="DA3" s="5072"/>
      <c r="DB3" s="5072" t="e">
        <f t="shared" ref="DB3" si="10">_xlfn.AGGREGATE(1,6,DB2:DG2)</f>
        <v>#DIV/0!</v>
      </c>
      <c r="DC3" s="5072"/>
      <c r="DD3" s="5072"/>
      <c r="DE3" s="5072"/>
      <c r="DF3" s="5072"/>
      <c r="DG3" s="5072"/>
      <c r="DH3" s="5072">
        <f t="shared" ref="DH3" si="11">_xlfn.AGGREGATE(1,6,DH2:DM2)</f>
        <v>1.1411111111111112</v>
      </c>
      <c r="DI3" s="5072"/>
      <c r="DJ3" s="5072"/>
      <c r="DK3" s="5072"/>
      <c r="DL3" s="5072"/>
      <c r="DM3" s="5072"/>
    </row>
    <row r="4" spans="1:117" x14ac:dyDescent="0.25">
      <c r="A4" s="4457" t="s">
        <v>1365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5091" t="s">
        <v>1417</v>
      </c>
      <c r="CK4" s="5091"/>
      <c r="CL4" s="5091"/>
      <c r="CM4" s="5091"/>
      <c r="CN4" s="5091"/>
      <c r="CO4" s="5091"/>
      <c r="CP4" s="5095" t="s">
        <v>994</v>
      </c>
      <c r="CQ4" s="5095"/>
      <c r="CR4" s="5095"/>
      <c r="CS4" s="5095"/>
      <c r="CT4" s="5095"/>
      <c r="CU4" s="5095"/>
      <c r="CV4" s="5097" t="s">
        <v>1103</v>
      </c>
      <c r="CW4" s="5097"/>
      <c r="CX4" s="5097"/>
      <c r="CY4" s="5097"/>
      <c r="CZ4" s="5097"/>
      <c r="DA4" s="5097"/>
      <c r="DB4" s="5117" t="s">
        <v>1418</v>
      </c>
      <c r="DC4" s="5100"/>
      <c r="DD4" s="5100"/>
      <c r="DE4" s="5100"/>
      <c r="DF4" s="5100"/>
      <c r="DG4" s="5100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>
        <f>AVERAGE(B19,B30)</f>
        <v>1.1300000000000001</v>
      </c>
      <c r="CK5" s="4808">
        <f t="shared" ref="CK5:CL5" si="12">AVERAGE(C19,C30)</f>
        <v>0.8</v>
      </c>
      <c r="CL5" s="4808">
        <f t="shared" si="12"/>
        <v>1.2450000000000001</v>
      </c>
      <c r="CM5" s="4653" t="e">
        <f t="shared" ref="CK5:CN5" si="13">AVERAGE(E19,E30)</f>
        <v>#DIV/0!</v>
      </c>
      <c r="CN5" s="4653" t="e">
        <f t="shared" si="13"/>
        <v>#DIV/0!</v>
      </c>
      <c r="CO5" s="4470"/>
      <c r="CP5" s="4149" t="e">
        <f>AVERAGE(CP8)</f>
        <v>#DIV/0!</v>
      </c>
      <c r="CQ5" s="4653" t="e">
        <f t="shared" ref="CQ5:CT5" si="14">AVERAGE(CQ8)</f>
        <v>#DIV/0!</v>
      </c>
      <c r="CR5" s="4653" t="e">
        <f t="shared" si="14"/>
        <v>#DIV/0!</v>
      </c>
      <c r="CS5" s="4653" t="e">
        <f t="shared" si="14"/>
        <v>#DIV/0!</v>
      </c>
      <c r="CT5" s="4653" t="e">
        <f t="shared" si="14"/>
        <v>#DIV/0!</v>
      </c>
      <c r="CU5" s="4149"/>
      <c r="CV5" s="4149" t="e">
        <f>AVERAGE(CV8)</f>
        <v>#DIV/0!</v>
      </c>
      <c r="CW5" s="4653" t="e">
        <f t="shared" ref="CW5:CZ5" si="15">AVERAGE(CW8)</f>
        <v>#DIV/0!</v>
      </c>
      <c r="CX5" s="4653" t="e">
        <f t="shared" si="15"/>
        <v>#DIV/0!</v>
      </c>
      <c r="CY5" s="4653" t="e">
        <f t="shared" si="15"/>
        <v>#DIV/0!</v>
      </c>
      <c r="CZ5" s="4653" t="e">
        <f t="shared" si="15"/>
        <v>#DIV/0!</v>
      </c>
      <c r="DA5" s="4149"/>
      <c r="DB5" s="4149">
        <f>AVERAGE(B31)</f>
        <v>0.57999999999999996</v>
      </c>
      <c r="DC5" s="4808">
        <f t="shared" ref="DC5:DD5" si="16">AVERAGE(C31)</f>
        <v>0.73</v>
      </c>
      <c r="DD5" s="4808">
        <f t="shared" si="16"/>
        <v>1.27</v>
      </c>
      <c r="DE5" s="4808" t="e">
        <f>AVERAGE(E31)</f>
        <v>#DIV/0!</v>
      </c>
      <c r="DF5" s="4808" t="e">
        <f>AVERAGE(F31)</f>
        <v>#DIV/0!</v>
      </c>
      <c r="DG5" s="4149"/>
    </row>
    <row r="6" spans="1:117" x14ac:dyDescent="0.25">
      <c r="A6" s="4443" t="s">
        <v>1375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5072">
        <f>_xlfn.AGGREGATE(1,6,CJ5:CO5)</f>
        <v>1.0583333333333333</v>
      </c>
      <c r="CK6" s="5072"/>
      <c r="CL6" s="5072"/>
      <c r="CM6" s="5072"/>
      <c r="CN6" s="5072"/>
      <c r="CO6" s="5072"/>
      <c r="CP6" s="5072" t="e">
        <f>_xlfn.AGGREGATE(1,6,CP5:CU5)</f>
        <v>#DIV/0!</v>
      </c>
      <c r="CQ6" s="5072"/>
      <c r="CR6" s="5072"/>
      <c r="CS6" s="5072"/>
      <c r="CT6" s="5072"/>
      <c r="CU6" s="5072"/>
      <c r="CV6" s="5072" t="e">
        <f>_xlfn.AGGREGATE(1,6,CV5:DA5)</f>
        <v>#DIV/0!</v>
      </c>
      <c r="CW6" s="5072"/>
      <c r="CX6" s="5072"/>
      <c r="CY6" s="5072"/>
      <c r="CZ6" s="5072"/>
      <c r="DA6" s="5072"/>
      <c r="DB6" s="5072">
        <f>_xlfn.AGGREGATE(1,6,DB5:DG5)</f>
        <v>0.86</v>
      </c>
      <c r="DC6" s="5072"/>
      <c r="DD6" s="5072"/>
      <c r="DE6" s="5072"/>
      <c r="DF6" s="5072"/>
      <c r="DG6" s="5072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1376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1381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1422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A14" s="40" t="s">
        <v>1386</v>
      </c>
      <c r="B14" s="40"/>
      <c r="C14" s="40"/>
      <c r="D14" s="40"/>
      <c r="E14" s="40"/>
      <c r="F14" s="40"/>
      <c r="G14" s="4718"/>
      <c r="O14" s="4719"/>
      <c r="T14" s="4720"/>
      <c r="AB14" s="4721"/>
      <c r="AG14" s="4722"/>
      <c r="AO14" s="4723"/>
      <c r="AT14" s="4724"/>
      <c r="BB14" s="4725"/>
      <c r="BG14" s="4726"/>
      <c r="BO14" s="4727"/>
      <c r="BT14" s="4728"/>
      <c r="CB14" s="4729"/>
    </row>
    <row r="15" spans="1:117" x14ac:dyDescent="0.25">
      <c r="A15" s="4730" t="s">
        <v>1393</v>
      </c>
      <c r="B15">
        <v>0.57999999999999996</v>
      </c>
      <c r="C15">
        <v>0.59</v>
      </c>
      <c r="D15">
        <v>0.99</v>
      </c>
      <c r="G15" s="4731">
        <v>2</v>
      </c>
      <c r="H15">
        <v>1</v>
      </c>
      <c r="I15">
        <v>0</v>
      </c>
      <c r="J15">
        <v>0</v>
      </c>
      <c r="K15">
        <v>0</v>
      </c>
      <c r="L15">
        <v>0</v>
      </c>
      <c r="M15">
        <v>2</v>
      </c>
      <c r="N15">
        <v>0</v>
      </c>
      <c r="O15" s="4732">
        <v>0</v>
      </c>
      <c r="P15">
        <v>0</v>
      </c>
      <c r="Q15">
        <v>0</v>
      </c>
      <c r="R15">
        <v>0</v>
      </c>
      <c r="S15">
        <v>0</v>
      </c>
      <c r="T15" s="4733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1</v>
      </c>
      <c r="AB15" s="4734">
        <v>0</v>
      </c>
      <c r="AC15">
        <v>0</v>
      </c>
      <c r="AD15">
        <v>0</v>
      </c>
      <c r="AE15">
        <v>0</v>
      </c>
      <c r="AF15">
        <v>0</v>
      </c>
      <c r="AG15" s="4735">
        <v>0</v>
      </c>
      <c r="AH15">
        <v>1</v>
      </c>
      <c r="AI15">
        <v>1</v>
      </c>
      <c r="AJ15">
        <v>0</v>
      </c>
      <c r="AK15">
        <v>0</v>
      </c>
      <c r="AL15">
        <v>0</v>
      </c>
      <c r="AM15">
        <v>2</v>
      </c>
      <c r="AN15">
        <v>0</v>
      </c>
      <c r="AO15" s="4736">
        <v>0</v>
      </c>
      <c r="AP15">
        <v>0</v>
      </c>
      <c r="AQ15">
        <v>0</v>
      </c>
      <c r="AR15">
        <v>0</v>
      </c>
      <c r="AS15">
        <v>0</v>
      </c>
      <c r="AT15" s="4737"/>
      <c r="BB15" s="4738"/>
      <c r="BG15" s="4739"/>
      <c r="BO15" s="4740"/>
      <c r="BT15" s="4741"/>
      <c r="CB15" s="4742"/>
    </row>
    <row r="16" spans="1:117" x14ac:dyDescent="0.25">
      <c r="A16" s="4743" t="s">
        <v>1394</v>
      </c>
      <c r="B16">
        <v>1.1100000000000001</v>
      </c>
      <c r="C16">
        <v>0.97</v>
      </c>
      <c r="D16">
        <v>1.2</v>
      </c>
      <c r="G16" s="4744">
        <v>2</v>
      </c>
      <c r="H16">
        <v>1</v>
      </c>
      <c r="I16">
        <v>2</v>
      </c>
      <c r="J16">
        <v>0</v>
      </c>
      <c r="K16">
        <v>0</v>
      </c>
      <c r="L16">
        <v>1</v>
      </c>
      <c r="M16">
        <v>3</v>
      </c>
      <c r="N16">
        <v>0</v>
      </c>
      <c r="O16" s="4745">
        <v>1</v>
      </c>
      <c r="P16">
        <v>0</v>
      </c>
      <c r="Q16">
        <v>0</v>
      </c>
      <c r="R16">
        <v>0</v>
      </c>
      <c r="S16">
        <v>0</v>
      </c>
      <c r="T16" s="4746">
        <v>0</v>
      </c>
      <c r="U16">
        <v>3</v>
      </c>
      <c r="V16">
        <v>0</v>
      </c>
      <c r="W16">
        <v>0</v>
      </c>
      <c r="X16">
        <v>0</v>
      </c>
      <c r="Y16">
        <v>0</v>
      </c>
      <c r="Z16">
        <v>3</v>
      </c>
      <c r="AA16">
        <v>1</v>
      </c>
      <c r="AB16" s="4747">
        <v>0</v>
      </c>
      <c r="AC16">
        <v>0</v>
      </c>
      <c r="AD16">
        <v>0</v>
      </c>
      <c r="AE16">
        <v>0</v>
      </c>
      <c r="AF16">
        <v>0</v>
      </c>
      <c r="AG16" s="4748">
        <v>0</v>
      </c>
      <c r="AH16">
        <v>3</v>
      </c>
      <c r="AI16">
        <v>2</v>
      </c>
      <c r="AJ16">
        <v>0</v>
      </c>
      <c r="AK16">
        <v>0</v>
      </c>
      <c r="AL16">
        <v>0</v>
      </c>
      <c r="AM16">
        <v>4</v>
      </c>
      <c r="AN16">
        <v>0</v>
      </c>
      <c r="AO16" s="4749">
        <v>0</v>
      </c>
      <c r="AP16">
        <v>0</v>
      </c>
      <c r="AQ16">
        <v>0</v>
      </c>
      <c r="AR16">
        <v>0</v>
      </c>
      <c r="AS16">
        <v>0</v>
      </c>
      <c r="AT16" s="4750"/>
      <c r="BB16" s="4751"/>
      <c r="BG16" s="4752"/>
      <c r="BO16" s="4753"/>
      <c r="BT16" s="4754"/>
      <c r="CB16" s="4755"/>
    </row>
    <row r="17" spans="1:82" x14ac:dyDescent="0.25">
      <c r="A17" s="4756" t="s">
        <v>335</v>
      </c>
      <c r="B17">
        <v>0.8</v>
      </c>
      <c r="C17">
        <v>1.38</v>
      </c>
      <c r="D17">
        <v>1.07</v>
      </c>
      <c r="G17" s="4757">
        <v>1</v>
      </c>
      <c r="H17">
        <v>2</v>
      </c>
      <c r="I17">
        <v>1</v>
      </c>
      <c r="J17">
        <v>0</v>
      </c>
      <c r="K17">
        <v>0</v>
      </c>
      <c r="L17">
        <v>0</v>
      </c>
      <c r="M17">
        <v>2</v>
      </c>
      <c r="N17">
        <v>0</v>
      </c>
      <c r="O17" s="4758">
        <v>0</v>
      </c>
      <c r="P17">
        <v>0</v>
      </c>
      <c r="Q17">
        <v>0</v>
      </c>
      <c r="R17">
        <v>0</v>
      </c>
      <c r="S17">
        <v>0</v>
      </c>
      <c r="T17" s="4759">
        <v>0</v>
      </c>
      <c r="U17">
        <v>1</v>
      </c>
      <c r="V17">
        <v>0</v>
      </c>
      <c r="W17">
        <v>1</v>
      </c>
      <c r="X17">
        <v>0</v>
      </c>
      <c r="Y17">
        <v>1</v>
      </c>
      <c r="Z17">
        <v>6</v>
      </c>
      <c r="AA17">
        <v>3</v>
      </c>
      <c r="AB17" s="4760">
        <v>1</v>
      </c>
      <c r="AC17">
        <v>1</v>
      </c>
      <c r="AD17">
        <v>0</v>
      </c>
      <c r="AE17">
        <v>0</v>
      </c>
      <c r="AF17">
        <v>0</v>
      </c>
      <c r="AG17" s="4761">
        <v>0</v>
      </c>
      <c r="AH17">
        <v>2</v>
      </c>
      <c r="AI17">
        <v>0</v>
      </c>
      <c r="AJ17">
        <v>0</v>
      </c>
      <c r="AK17">
        <v>0</v>
      </c>
      <c r="AL17">
        <v>2</v>
      </c>
      <c r="AM17">
        <v>6</v>
      </c>
      <c r="AN17">
        <v>2</v>
      </c>
      <c r="AO17" s="4762">
        <v>1</v>
      </c>
      <c r="AP17">
        <v>0</v>
      </c>
      <c r="AQ17">
        <v>0</v>
      </c>
      <c r="AR17">
        <v>0</v>
      </c>
      <c r="AS17">
        <v>0</v>
      </c>
      <c r="AT17" s="4763"/>
      <c r="BB17" s="4764"/>
      <c r="BG17" s="4765"/>
      <c r="BO17" s="4766"/>
      <c r="BT17" s="4767"/>
      <c r="CB17" s="4768"/>
    </row>
    <row r="18" spans="1:82" x14ac:dyDescent="0.25">
      <c r="A18" s="4769" t="s">
        <v>1395</v>
      </c>
      <c r="B18">
        <v>0.59</v>
      </c>
      <c r="C18">
        <v>0.61</v>
      </c>
      <c r="D18">
        <v>0.91</v>
      </c>
      <c r="G18" s="4770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1</v>
      </c>
      <c r="N18">
        <v>1</v>
      </c>
      <c r="O18" s="4771">
        <v>0</v>
      </c>
      <c r="P18">
        <v>0</v>
      </c>
      <c r="Q18">
        <v>0</v>
      </c>
      <c r="R18">
        <v>0</v>
      </c>
      <c r="S18">
        <v>0</v>
      </c>
      <c r="T18" s="4772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 s="4773">
        <v>0</v>
      </c>
      <c r="AC18">
        <v>0</v>
      </c>
      <c r="AD18">
        <v>0</v>
      </c>
      <c r="AE18">
        <v>0</v>
      </c>
      <c r="AF18">
        <v>0</v>
      </c>
      <c r="AG18" s="4774">
        <v>1</v>
      </c>
      <c r="AH18">
        <v>1</v>
      </c>
      <c r="AI18">
        <v>1</v>
      </c>
      <c r="AJ18">
        <v>0</v>
      </c>
      <c r="AK18">
        <v>0</v>
      </c>
      <c r="AL18">
        <v>0</v>
      </c>
      <c r="AM18">
        <v>3</v>
      </c>
      <c r="AN18">
        <v>2</v>
      </c>
      <c r="AO18" s="4775">
        <v>0</v>
      </c>
      <c r="AP18">
        <v>1</v>
      </c>
      <c r="AQ18">
        <v>0</v>
      </c>
      <c r="AR18">
        <v>0</v>
      </c>
      <c r="AS18">
        <v>0</v>
      </c>
      <c r="AT18" s="4776"/>
      <c r="BB18" s="4777"/>
      <c r="BG18" s="4778"/>
      <c r="BO18" s="4779"/>
      <c r="BT18" s="4780"/>
      <c r="CB18" s="4781"/>
    </row>
    <row r="19" spans="1:82" x14ac:dyDescent="0.25">
      <c r="A19" s="4782" t="s">
        <v>1359</v>
      </c>
      <c r="B19">
        <v>0.93</v>
      </c>
      <c r="C19">
        <v>0.84</v>
      </c>
      <c r="D19">
        <v>1.27</v>
      </c>
      <c r="G19" s="4783">
        <v>0</v>
      </c>
      <c r="H19">
        <v>1</v>
      </c>
      <c r="I19">
        <v>0</v>
      </c>
      <c r="J19">
        <v>0</v>
      </c>
      <c r="K19">
        <v>0</v>
      </c>
      <c r="L19">
        <v>0</v>
      </c>
      <c r="M19">
        <v>6</v>
      </c>
      <c r="N19">
        <v>0</v>
      </c>
      <c r="O19" s="4784">
        <v>0</v>
      </c>
      <c r="P19">
        <v>0</v>
      </c>
      <c r="Q19">
        <v>0</v>
      </c>
      <c r="R19">
        <v>0</v>
      </c>
      <c r="S19">
        <v>0</v>
      </c>
      <c r="T19" s="4785">
        <v>0</v>
      </c>
      <c r="U19">
        <v>2</v>
      </c>
      <c r="V19">
        <v>1</v>
      </c>
      <c r="W19">
        <v>0</v>
      </c>
      <c r="X19">
        <v>0</v>
      </c>
      <c r="Y19">
        <v>0</v>
      </c>
      <c r="Z19">
        <v>4</v>
      </c>
      <c r="AA19">
        <v>0</v>
      </c>
      <c r="AB19" s="4786">
        <v>0</v>
      </c>
      <c r="AC19">
        <v>0</v>
      </c>
      <c r="AD19">
        <v>0</v>
      </c>
      <c r="AE19">
        <v>0</v>
      </c>
      <c r="AF19">
        <v>0</v>
      </c>
      <c r="AG19" s="4787">
        <v>0</v>
      </c>
      <c r="AH19">
        <v>4</v>
      </c>
      <c r="AI19">
        <v>1</v>
      </c>
      <c r="AJ19">
        <v>1</v>
      </c>
      <c r="AK19">
        <v>0</v>
      </c>
      <c r="AL19">
        <v>0</v>
      </c>
      <c r="AM19">
        <v>3</v>
      </c>
      <c r="AN19">
        <v>1</v>
      </c>
      <c r="AO19" s="4788">
        <v>1</v>
      </c>
      <c r="AP19">
        <v>0</v>
      </c>
      <c r="AQ19">
        <v>0</v>
      </c>
      <c r="AR19">
        <v>0</v>
      </c>
      <c r="AS19">
        <v>0</v>
      </c>
      <c r="AT19" s="4789"/>
      <c r="BB19" s="4790"/>
      <c r="BG19" s="4791"/>
      <c r="BO19" s="4792"/>
      <c r="BT19" s="4793"/>
      <c r="CB19" s="4794"/>
    </row>
    <row r="20" spans="1:82" x14ac:dyDescent="0.25">
      <c r="A20" s="4795" t="s">
        <v>1396</v>
      </c>
      <c r="B20">
        <v>0.79</v>
      </c>
      <c r="C20">
        <v>0.59</v>
      </c>
      <c r="D20">
        <v>0.9</v>
      </c>
      <c r="G20" s="4796">
        <v>2</v>
      </c>
      <c r="H20">
        <v>1</v>
      </c>
      <c r="I20">
        <v>2</v>
      </c>
      <c r="J20">
        <v>0</v>
      </c>
      <c r="K20">
        <v>0</v>
      </c>
      <c r="L20">
        <v>0</v>
      </c>
      <c r="M20">
        <v>3</v>
      </c>
      <c r="N20">
        <v>1</v>
      </c>
      <c r="O20" s="4797">
        <v>0</v>
      </c>
      <c r="P20">
        <v>0</v>
      </c>
      <c r="Q20">
        <v>0</v>
      </c>
      <c r="R20">
        <v>0</v>
      </c>
      <c r="S20">
        <v>0</v>
      </c>
      <c r="T20" s="4798">
        <v>1</v>
      </c>
      <c r="U20">
        <v>1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 s="4799">
        <v>0</v>
      </c>
      <c r="AC20">
        <v>0</v>
      </c>
      <c r="AD20">
        <v>0</v>
      </c>
      <c r="AE20">
        <v>0</v>
      </c>
      <c r="AF20">
        <v>0</v>
      </c>
      <c r="AG20" s="4800">
        <v>1</v>
      </c>
      <c r="AH20">
        <v>4</v>
      </c>
      <c r="AI20">
        <v>1</v>
      </c>
      <c r="AJ20">
        <v>0</v>
      </c>
      <c r="AK20">
        <v>0</v>
      </c>
      <c r="AL20">
        <v>0</v>
      </c>
      <c r="AM20">
        <v>4</v>
      </c>
      <c r="AN20">
        <v>1</v>
      </c>
      <c r="AO20" s="4801">
        <v>0</v>
      </c>
      <c r="AP20">
        <v>0</v>
      </c>
      <c r="AQ20">
        <v>0</v>
      </c>
      <c r="AR20">
        <v>0</v>
      </c>
      <c r="AS20">
        <v>0</v>
      </c>
      <c r="AT20" s="4802"/>
      <c r="BB20" s="4803"/>
      <c r="BG20" s="4804"/>
      <c r="BO20" s="4805"/>
      <c r="BT20" s="4806"/>
      <c r="CB20" s="4807"/>
    </row>
    <row r="21" spans="1:82" x14ac:dyDescent="0.25">
      <c r="A21" s="40" t="s">
        <v>1403</v>
      </c>
      <c r="B21" s="40"/>
      <c r="C21" s="40"/>
      <c r="D21" s="40"/>
      <c r="E21" s="40"/>
      <c r="F21" s="40"/>
      <c r="G21" s="4913"/>
      <c r="O21" s="4914"/>
      <c r="T21" s="4915"/>
      <c r="AB21" s="4916"/>
      <c r="AG21" s="4917"/>
      <c r="AO21" s="4918"/>
      <c r="AT21" s="4919"/>
      <c r="BB21" s="4920"/>
      <c r="BG21" s="4921"/>
      <c r="BO21" s="4922"/>
      <c r="BT21" s="4923"/>
      <c r="CB21" s="4924"/>
    </row>
    <row r="22" spans="1:82" x14ac:dyDescent="0.25">
      <c r="A22" s="4925" t="s">
        <v>1409</v>
      </c>
      <c r="B22">
        <v>0.71</v>
      </c>
      <c r="C22">
        <v>0.85</v>
      </c>
      <c r="D22">
        <v>1.25</v>
      </c>
      <c r="G22" s="4926">
        <v>2</v>
      </c>
      <c r="H22">
        <v>2</v>
      </c>
      <c r="I22">
        <v>0</v>
      </c>
      <c r="J22">
        <v>0</v>
      </c>
      <c r="K22">
        <v>0</v>
      </c>
      <c r="L22">
        <v>1</v>
      </c>
      <c r="M22">
        <v>2</v>
      </c>
      <c r="N22">
        <v>0</v>
      </c>
      <c r="O22" s="4927">
        <v>0</v>
      </c>
      <c r="P22">
        <v>0</v>
      </c>
      <c r="Q22">
        <v>0</v>
      </c>
      <c r="R22">
        <v>0</v>
      </c>
      <c r="S22">
        <v>0</v>
      </c>
      <c r="T22" s="4928">
        <v>2</v>
      </c>
      <c r="U22">
        <v>1</v>
      </c>
      <c r="V22">
        <v>0</v>
      </c>
      <c r="W22">
        <v>0</v>
      </c>
      <c r="X22">
        <v>0</v>
      </c>
      <c r="Y22">
        <v>0</v>
      </c>
      <c r="Z22">
        <v>4</v>
      </c>
      <c r="AA22">
        <v>1</v>
      </c>
      <c r="AB22" s="4929">
        <v>1</v>
      </c>
      <c r="AC22">
        <v>0</v>
      </c>
      <c r="AD22">
        <v>0</v>
      </c>
      <c r="AE22">
        <v>0</v>
      </c>
      <c r="AF22">
        <v>0</v>
      </c>
      <c r="AG22" s="4930">
        <v>0</v>
      </c>
      <c r="AH22">
        <v>1</v>
      </c>
      <c r="AI22">
        <v>1</v>
      </c>
      <c r="AJ22">
        <v>0</v>
      </c>
      <c r="AK22">
        <v>0</v>
      </c>
      <c r="AL22">
        <v>0</v>
      </c>
      <c r="AM22">
        <v>4</v>
      </c>
      <c r="AN22">
        <v>0</v>
      </c>
      <c r="AO22" s="4931">
        <v>0</v>
      </c>
      <c r="AP22">
        <v>0</v>
      </c>
      <c r="AQ22">
        <v>0</v>
      </c>
      <c r="AR22">
        <v>0</v>
      </c>
      <c r="AS22">
        <v>0</v>
      </c>
      <c r="AT22" s="4932"/>
      <c r="BB22" s="4933"/>
      <c r="BG22" s="4934"/>
      <c r="BO22" s="4935"/>
      <c r="BT22" s="4936"/>
      <c r="CB22" s="4937"/>
    </row>
    <row r="23" spans="1:82" x14ac:dyDescent="0.25">
      <c r="A23" s="4938" t="s">
        <v>1410</v>
      </c>
      <c r="B23">
        <v>0.28000000000000003</v>
      </c>
      <c r="C23">
        <v>0.84</v>
      </c>
      <c r="D23">
        <v>0.87</v>
      </c>
      <c r="G23" s="4939">
        <v>0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1</v>
      </c>
      <c r="O23" s="4940">
        <v>1</v>
      </c>
      <c r="P23">
        <v>0</v>
      </c>
      <c r="Q23">
        <v>0</v>
      </c>
      <c r="R23">
        <v>0</v>
      </c>
      <c r="S23">
        <v>0</v>
      </c>
      <c r="T23" s="4941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2</v>
      </c>
      <c r="AA23">
        <v>0</v>
      </c>
      <c r="AB23" s="4942">
        <v>0</v>
      </c>
      <c r="AC23">
        <v>0</v>
      </c>
      <c r="AD23">
        <v>0</v>
      </c>
      <c r="AE23">
        <v>0</v>
      </c>
      <c r="AF23">
        <v>0</v>
      </c>
      <c r="AG23" s="4943">
        <v>0</v>
      </c>
      <c r="AH23">
        <v>3</v>
      </c>
      <c r="AI23">
        <v>1</v>
      </c>
      <c r="AJ23">
        <v>0</v>
      </c>
      <c r="AK23">
        <v>0</v>
      </c>
      <c r="AL23">
        <v>0</v>
      </c>
      <c r="AM23">
        <v>4</v>
      </c>
      <c r="AN23">
        <v>0</v>
      </c>
      <c r="AO23" s="4944">
        <v>1</v>
      </c>
      <c r="AP23">
        <v>0</v>
      </c>
      <c r="AQ23">
        <v>0</v>
      </c>
      <c r="AR23">
        <v>0</v>
      </c>
      <c r="AS23">
        <v>0</v>
      </c>
      <c r="AT23" s="4945"/>
      <c r="BB23" s="4946"/>
      <c r="BG23" s="4947"/>
      <c r="BO23" s="4948"/>
      <c r="BT23" s="4949"/>
      <c r="CB23" s="4950"/>
      <c r="CD23" t="s">
        <v>1420</v>
      </c>
    </row>
    <row r="24" spans="1:82" x14ac:dyDescent="0.25">
      <c r="A24" s="4951" t="s">
        <v>341</v>
      </c>
      <c r="B24">
        <v>0.89</v>
      </c>
      <c r="C24">
        <v>0.64</v>
      </c>
      <c r="D24">
        <v>1.22</v>
      </c>
      <c r="G24" s="4952">
        <v>2</v>
      </c>
      <c r="H24">
        <v>2</v>
      </c>
      <c r="I24">
        <v>1</v>
      </c>
      <c r="J24">
        <v>0</v>
      </c>
      <c r="K24">
        <v>0</v>
      </c>
      <c r="L24">
        <v>1</v>
      </c>
      <c r="M24">
        <v>3</v>
      </c>
      <c r="N24">
        <v>0</v>
      </c>
      <c r="O24" s="4953">
        <v>0</v>
      </c>
      <c r="P24">
        <v>0</v>
      </c>
      <c r="Q24">
        <v>0</v>
      </c>
      <c r="R24">
        <v>0</v>
      </c>
      <c r="S24">
        <v>0</v>
      </c>
      <c r="T24" s="4954">
        <v>1</v>
      </c>
      <c r="U24">
        <v>0</v>
      </c>
      <c r="V24">
        <v>0</v>
      </c>
      <c r="W24">
        <v>0</v>
      </c>
      <c r="X24">
        <v>0</v>
      </c>
      <c r="Y24">
        <v>1</v>
      </c>
      <c r="Z24">
        <v>3</v>
      </c>
      <c r="AA24">
        <v>0</v>
      </c>
      <c r="AB24" s="4955">
        <v>0</v>
      </c>
      <c r="AC24">
        <v>0</v>
      </c>
      <c r="AD24">
        <v>0</v>
      </c>
      <c r="AE24">
        <v>0</v>
      </c>
      <c r="AF24">
        <v>0</v>
      </c>
      <c r="AG24" s="4956">
        <v>0</v>
      </c>
      <c r="AH24">
        <v>2</v>
      </c>
      <c r="AI24">
        <v>0</v>
      </c>
      <c r="AJ24">
        <v>1</v>
      </c>
      <c r="AK24">
        <v>0</v>
      </c>
      <c r="AL24">
        <v>2</v>
      </c>
      <c r="AM24">
        <v>5</v>
      </c>
      <c r="AN24">
        <v>2</v>
      </c>
      <c r="AO24" s="4957">
        <v>0</v>
      </c>
      <c r="AP24">
        <v>0</v>
      </c>
      <c r="AQ24">
        <v>0</v>
      </c>
      <c r="AR24">
        <v>0</v>
      </c>
      <c r="AS24">
        <v>0</v>
      </c>
      <c r="AT24" s="4958"/>
      <c r="BB24" s="4959"/>
      <c r="BG24" s="4960"/>
      <c r="BO24" s="4961"/>
      <c r="BT24" s="4962"/>
      <c r="CB24" s="4963"/>
    </row>
    <row r="25" spans="1:82" x14ac:dyDescent="0.25">
      <c r="A25" s="4964" t="s">
        <v>1033</v>
      </c>
      <c r="B25">
        <v>1.02</v>
      </c>
      <c r="C25">
        <v>0.89</v>
      </c>
      <c r="D25">
        <v>1.35</v>
      </c>
      <c r="G25" s="4965">
        <v>0</v>
      </c>
      <c r="H25">
        <v>0</v>
      </c>
      <c r="I25">
        <v>0</v>
      </c>
      <c r="J25">
        <v>0</v>
      </c>
      <c r="K25">
        <v>0</v>
      </c>
      <c r="L25">
        <v>1</v>
      </c>
      <c r="M25">
        <v>0</v>
      </c>
      <c r="N25">
        <v>0</v>
      </c>
      <c r="O25" s="4966">
        <v>0</v>
      </c>
      <c r="P25">
        <v>0</v>
      </c>
      <c r="Q25">
        <v>0</v>
      </c>
      <c r="R25">
        <v>0</v>
      </c>
      <c r="S25">
        <v>0</v>
      </c>
      <c r="T25" s="4967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 s="4968">
        <v>0</v>
      </c>
      <c r="AC25">
        <v>0</v>
      </c>
      <c r="AD25">
        <v>0</v>
      </c>
      <c r="AE25">
        <v>0</v>
      </c>
      <c r="AF25">
        <v>0</v>
      </c>
      <c r="AG25" s="4969">
        <v>0</v>
      </c>
      <c r="AH25">
        <v>2</v>
      </c>
      <c r="AI25">
        <v>0</v>
      </c>
      <c r="AJ25">
        <v>0</v>
      </c>
      <c r="AK25">
        <v>0</v>
      </c>
      <c r="AL25">
        <v>0</v>
      </c>
      <c r="AM25">
        <v>2</v>
      </c>
      <c r="AN25">
        <v>1</v>
      </c>
      <c r="AO25" s="4970">
        <v>0</v>
      </c>
      <c r="AP25">
        <v>0</v>
      </c>
      <c r="AQ25">
        <v>0</v>
      </c>
      <c r="AR25">
        <v>0</v>
      </c>
      <c r="AS25">
        <v>0</v>
      </c>
      <c r="AT25" s="4971"/>
      <c r="BB25" s="4972"/>
      <c r="BG25" s="4973"/>
      <c r="BO25" s="4974"/>
      <c r="BT25" s="4975"/>
      <c r="CB25" s="4976"/>
    </row>
    <row r="26" spans="1:82" x14ac:dyDescent="0.25">
      <c r="A26" s="4977" t="s">
        <v>1412</v>
      </c>
      <c r="B26">
        <v>0.06</v>
      </c>
      <c r="C26">
        <v>0.73</v>
      </c>
      <c r="D26">
        <v>1.26</v>
      </c>
      <c r="G26" s="4978">
        <v>0</v>
      </c>
      <c r="H26">
        <v>1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 s="4979">
        <v>0</v>
      </c>
      <c r="P26">
        <v>0</v>
      </c>
      <c r="Q26">
        <v>0</v>
      </c>
      <c r="R26">
        <v>0</v>
      </c>
      <c r="S26">
        <v>0</v>
      </c>
      <c r="T26" s="4980">
        <v>0</v>
      </c>
      <c r="U26">
        <v>0</v>
      </c>
      <c r="V26">
        <v>1</v>
      </c>
      <c r="W26">
        <v>0</v>
      </c>
      <c r="X26">
        <v>0</v>
      </c>
      <c r="Y26">
        <v>0</v>
      </c>
      <c r="Z26">
        <v>1</v>
      </c>
      <c r="AA26">
        <v>0</v>
      </c>
      <c r="AB26" s="4981">
        <v>0</v>
      </c>
      <c r="AC26">
        <v>0</v>
      </c>
      <c r="AD26">
        <v>0</v>
      </c>
      <c r="AE26">
        <v>0</v>
      </c>
      <c r="AF26">
        <v>0</v>
      </c>
      <c r="AG26" s="4982">
        <v>1</v>
      </c>
      <c r="AH26">
        <v>1</v>
      </c>
      <c r="AI26">
        <v>1</v>
      </c>
      <c r="AJ26">
        <v>0</v>
      </c>
      <c r="AK26">
        <v>0</v>
      </c>
      <c r="AL26">
        <v>0</v>
      </c>
      <c r="AM26">
        <v>6</v>
      </c>
      <c r="AN26">
        <v>1</v>
      </c>
      <c r="AO26" s="4983">
        <v>0</v>
      </c>
      <c r="AP26">
        <v>0</v>
      </c>
      <c r="AQ26">
        <v>0</v>
      </c>
      <c r="AR26">
        <v>0</v>
      </c>
      <c r="AS26">
        <v>0</v>
      </c>
      <c r="AT26" s="4984"/>
      <c r="BB26" s="4985"/>
      <c r="BG26" s="4986"/>
      <c r="BO26" s="4987"/>
      <c r="BT26" s="4988"/>
      <c r="CB26" s="4989"/>
    </row>
    <row r="27" spans="1:82" x14ac:dyDescent="0.25">
      <c r="A27" s="4990" t="s">
        <v>1034</v>
      </c>
      <c r="B27">
        <v>0.63</v>
      </c>
      <c r="C27">
        <v>1.19</v>
      </c>
      <c r="D27">
        <v>0.46</v>
      </c>
      <c r="G27" s="4991">
        <v>1</v>
      </c>
      <c r="H27">
        <v>1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 s="4992">
        <v>0</v>
      </c>
      <c r="P27">
        <v>0</v>
      </c>
      <c r="Q27">
        <v>0</v>
      </c>
      <c r="R27">
        <v>0</v>
      </c>
      <c r="S27">
        <v>0</v>
      </c>
      <c r="T27" s="4993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2</v>
      </c>
      <c r="AA27">
        <v>1</v>
      </c>
      <c r="AB27" s="4994">
        <v>0</v>
      </c>
      <c r="AC27">
        <v>0</v>
      </c>
      <c r="AD27">
        <v>0</v>
      </c>
      <c r="AE27">
        <v>0</v>
      </c>
      <c r="AF27">
        <v>0</v>
      </c>
      <c r="AG27" s="4995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 s="4996">
        <v>0</v>
      </c>
      <c r="AP27">
        <v>0</v>
      </c>
      <c r="AQ27">
        <v>0</v>
      </c>
      <c r="AR27">
        <v>0</v>
      </c>
      <c r="AS27">
        <v>0</v>
      </c>
      <c r="AT27" s="4997"/>
      <c r="BB27" s="4998"/>
      <c r="BG27" s="4999"/>
      <c r="BO27" s="5000"/>
      <c r="BT27" s="5001"/>
      <c r="CB27" s="5002"/>
    </row>
    <row r="28" spans="1:82" x14ac:dyDescent="0.25">
      <c r="A28" s="5003" t="s">
        <v>1413</v>
      </c>
      <c r="B28">
        <v>0.9</v>
      </c>
      <c r="C28">
        <v>1.4</v>
      </c>
      <c r="D28">
        <v>1.44</v>
      </c>
      <c r="G28" s="5004">
        <v>0</v>
      </c>
      <c r="H28">
        <v>1</v>
      </c>
      <c r="I28">
        <v>0</v>
      </c>
      <c r="J28">
        <v>0</v>
      </c>
      <c r="K28">
        <v>0</v>
      </c>
      <c r="L28">
        <v>0</v>
      </c>
      <c r="M28">
        <v>3</v>
      </c>
      <c r="N28">
        <v>0</v>
      </c>
      <c r="O28" s="5005">
        <v>0</v>
      </c>
      <c r="P28">
        <v>0</v>
      </c>
      <c r="Q28">
        <v>0</v>
      </c>
      <c r="R28">
        <v>0</v>
      </c>
      <c r="S28">
        <v>0</v>
      </c>
      <c r="T28" s="5006">
        <v>0</v>
      </c>
      <c r="U28">
        <v>1</v>
      </c>
      <c r="V28">
        <v>2</v>
      </c>
      <c r="W28">
        <v>0</v>
      </c>
      <c r="X28">
        <v>0</v>
      </c>
      <c r="Y28">
        <v>0</v>
      </c>
      <c r="Z28">
        <v>2</v>
      </c>
      <c r="AA28">
        <v>0</v>
      </c>
      <c r="AB28" s="5007">
        <v>1</v>
      </c>
      <c r="AC28">
        <v>0</v>
      </c>
      <c r="AD28">
        <v>0</v>
      </c>
      <c r="AE28">
        <v>0</v>
      </c>
      <c r="AF28">
        <v>0</v>
      </c>
      <c r="AG28" s="5008">
        <v>2</v>
      </c>
      <c r="AH28">
        <v>2</v>
      </c>
      <c r="AI28">
        <v>0</v>
      </c>
      <c r="AJ28">
        <v>0</v>
      </c>
      <c r="AK28">
        <v>0</v>
      </c>
      <c r="AL28">
        <v>0</v>
      </c>
      <c r="AM28">
        <v>1</v>
      </c>
      <c r="AN28">
        <v>0</v>
      </c>
      <c r="AO28" s="5009">
        <v>0</v>
      </c>
      <c r="AP28">
        <v>0</v>
      </c>
      <c r="AQ28">
        <v>0</v>
      </c>
      <c r="AR28">
        <v>0</v>
      </c>
      <c r="AS28">
        <v>0</v>
      </c>
      <c r="AT28" s="5010"/>
      <c r="BB28" s="5011"/>
      <c r="BG28" s="5012"/>
      <c r="BO28" s="5013"/>
      <c r="BT28" s="5014"/>
      <c r="CB28" s="5015"/>
    </row>
    <row r="29" spans="1:82" x14ac:dyDescent="0.25">
      <c r="A29" s="5016" t="s">
        <v>346</v>
      </c>
      <c r="B29">
        <v>0.69</v>
      </c>
      <c r="C29">
        <v>0.49</v>
      </c>
      <c r="D29">
        <v>1.0900000000000001</v>
      </c>
      <c r="G29" s="5017">
        <v>0</v>
      </c>
      <c r="H29">
        <v>1</v>
      </c>
      <c r="I29">
        <v>0</v>
      </c>
      <c r="J29">
        <v>0</v>
      </c>
      <c r="K29">
        <v>0</v>
      </c>
      <c r="L29">
        <v>0</v>
      </c>
      <c r="M29">
        <v>1</v>
      </c>
      <c r="N29">
        <v>0</v>
      </c>
      <c r="O29" s="5018">
        <v>1</v>
      </c>
      <c r="P29">
        <v>0</v>
      </c>
      <c r="Q29">
        <v>0</v>
      </c>
      <c r="R29">
        <v>0</v>
      </c>
      <c r="S29">
        <v>0</v>
      </c>
      <c r="T29" s="501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5020">
        <v>0</v>
      </c>
      <c r="AC29">
        <v>0</v>
      </c>
      <c r="AD29">
        <v>0</v>
      </c>
      <c r="AE29">
        <v>0</v>
      </c>
      <c r="AF29">
        <v>0</v>
      </c>
      <c r="AG29" s="5021">
        <v>0</v>
      </c>
      <c r="AH29">
        <v>1</v>
      </c>
      <c r="AI29">
        <v>1</v>
      </c>
      <c r="AJ29">
        <v>0</v>
      </c>
      <c r="AK29">
        <v>0</v>
      </c>
      <c r="AL29">
        <v>0</v>
      </c>
      <c r="AM29">
        <v>2</v>
      </c>
      <c r="AN29">
        <v>1</v>
      </c>
      <c r="AO29" s="5022">
        <v>0</v>
      </c>
      <c r="AP29">
        <v>0</v>
      </c>
      <c r="AQ29">
        <v>0</v>
      </c>
      <c r="AR29">
        <v>0</v>
      </c>
      <c r="AS29">
        <v>0</v>
      </c>
      <c r="AT29" s="5023"/>
      <c r="BB29" s="5024"/>
      <c r="BG29" s="5025"/>
      <c r="BO29" s="5026"/>
      <c r="BT29" s="5027"/>
      <c r="CB29" s="5028"/>
    </row>
    <row r="30" spans="1:82" x14ac:dyDescent="0.25">
      <c r="A30" s="5029" t="s">
        <v>1416</v>
      </c>
      <c r="B30">
        <v>1.33</v>
      </c>
      <c r="C30">
        <v>0.76</v>
      </c>
      <c r="D30">
        <v>1.22</v>
      </c>
      <c r="G30" s="5030">
        <v>0</v>
      </c>
      <c r="H30">
        <v>2</v>
      </c>
      <c r="I30">
        <v>1</v>
      </c>
      <c r="J30">
        <v>0</v>
      </c>
      <c r="K30">
        <v>0</v>
      </c>
      <c r="L30">
        <v>0</v>
      </c>
      <c r="M30">
        <v>1</v>
      </c>
      <c r="N30">
        <v>1</v>
      </c>
      <c r="O30" s="5031">
        <v>0</v>
      </c>
      <c r="P30">
        <v>0</v>
      </c>
      <c r="Q30">
        <v>0</v>
      </c>
      <c r="R30">
        <v>0</v>
      </c>
      <c r="S30">
        <v>0</v>
      </c>
      <c r="T30" s="5032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1</v>
      </c>
      <c r="AA30">
        <v>0</v>
      </c>
      <c r="AB30" s="5033">
        <v>0</v>
      </c>
      <c r="AC30">
        <v>0</v>
      </c>
      <c r="AD30">
        <v>0</v>
      </c>
      <c r="AE30">
        <v>0</v>
      </c>
      <c r="AF30">
        <v>0</v>
      </c>
      <c r="AG30" s="5034">
        <v>0</v>
      </c>
      <c r="AH30">
        <v>4</v>
      </c>
      <c r="AI30">
        <v>0</v>
      </c>
      <c r="AJ30">
        <v>0</v>
      </c>
      <c r="AK30">
        <v>0</v>
      </c>
      <c r="AL30">
        <v>0</v>
      </c>
      <c r="AM30">
        <v>5</v>
      </c>
      <c r="AN30">
        <v>0</v>
      </c>
      <c r="AO30" s="5035">
        <v>1</v>
      </c>
      <c r="AP30">
        <v>0</v>
      </c>
      <c r="AQ30">
        <v>0</v>
      </c>
      <c r="AR30">
        <v>0</v>
      </c>
      <c r="AS30">
        <v>0</v>
      </c>
      <c r="AT30" s="5036"/>
      <c r="BB30" s="5037"/>
      <c r="BG30" s="5038"/>
      <c r="BO30" s="5039"/>
      <c r="BT30" s="5040"/>
      <c r="CB30" s="5041"/>
    </row>
    <row r="31" spans="1:82" x14ac:dyDescent="0.25">
      <c r="A31" s="5042" t="s">
        <v>1042</v>
      </c>
      <c r="B31">
        <v>0.57999999999999996</v>
      </c>
      <c r="C31">
        <v>0.73</v>
      </c>
      <c r="D31">
        <v>1.27</v>
      </c>
      <c r="G31" s="5043">
        <v>0</v>
      </c>
      <c r="H31">
        <v>4</v>
      </c>
      <c r="I31">
        <v>1</v>
      </c>
      <c r="J31">
        <v>0</v>
      </c>
      <c r="K31">
        <v>0</v>
      </c>
      <c r="L31">
        <v>0</v>
      </c>
      <c r="M31">
        <v>2</v>
      </c>
      <c r="N31">
        <v>0</v>
      </c>
      <c r="O31" s="5044">
        <v>0</v>
      </c>
      <c r="P31">
        <v>0</v>
      </c>
      <c r="Q31">
        <v>0</v>
      </c>
      <c r="R31">
        <v>0</v>
      </c>
      <c r="S31">
        <v>0</v>
      </c>
      <c r="T31" s="5045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>
        <v>0</v>
      </c>
      <c r="AB31" s="5046">
        <v>0</v>
      </c>
      <c r="AC31">
        <v>0</v>
      </c>
      <c r="AD31">
        <v>0</v>
      </c>
      <c r="AE31">
        <v>0</v>
      </c>
      <c r="AF31">
        <v>0</v>
      </c>
      <c r="AG31" s="5047">
        <v>1</v>
      </c>
      <c r="AH31">
        <v>2</v>
      </c>
      <c r="AI31">
        <v>0</v>
      </c>
      <c r="AJ31">
        <v>0</v>
      </c>
      <c r="AK31">
        <v>0</v>
      </c>
      <c r="AL31">
        <v>0</v>
      </c>
      <c r="AM31">
        <v>3</v>
      </c>
      <c r="AN31">
        <v>0</v>
      </c>
      <c r="AO31" s="5048">
        <v>1</v>
      </c>
      <c r="AP31">
        <v>0</v>
      </c>
      <c r="AQ31">
        <v>0</v>
      </c>
      <c r="AR31">
        <v>0</v>
      </c>
      <c r="AS31">
        <v>0</v>
      </c>
      <c r="AT31" s="5049"/>
      <c r="BB31" s="5050"/>
      <c r="BG31" s="5051"/>
      <c r="BO31" s="5052"/>
      <c r="BT31" s="5053"/>
      <c r="CB31" s="5054"/>
    </row>
    <row r="32" spans="1:82" x14ac:dyDescent="0.25">
      <c r="A32" s="5055" t="s">
        <v>349</v>
      </c>
      <c r="B32">
        <v>0.56999999999999995</v>
      </c>
      <c r="C32">
        <v>0.68</v>
      </c>
      <c r="D32">
        <v>0.91</v>
      </c>
      <c r="G32" s="5056">
        <v>0</v>
      </c>
      <c r="H32">
        <v>1</v>
      </c>
      <c r="I32">
        <v>0</v>
      </c>
      <c r="J32">
        <v>0</v>
      </c>
      <c r="K32">
        <v>0</v>
      </c>
      <c r="L32">
        <v>0</v>
      </c>
      <c r="M32">
        <v>1</v>
      </c>
      <c r="N32">
        <v>1</v>
      </c>
      <c r="O32" s="5057">
        <v>0</v>
      </c>
      <c r="P32">
        <v>0</v>
      </c>
      <c r="Q32">
        <v>0</v>
      </c>
      <c r="R32">
        <v>0</v>
      </c>
      <c r="S32">
        <v>0</v>
      </c>
      <c r="T32" s="5058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3</v>
      </c>
      <c r="AA32">
        <v>0</v>
      </c>
      <c r="AB32" s="5059">
        <v>0</v>
      </c>
      <c r="AC32">
        <v>0</v>
      </c>
      <c r="AD32">
        <v>0</v>
      </c>
      <c r="AE32">
        <v>0</v>
      </c>
      <c r="AF32">
        <v>0</v>
      </c>
      <c r="AG32" s="5060">
        <v>0</v>
      </c>
      <c r="AH32">
        <v>1</v>
      </c>
      <c r="AI32">
        <v>0</v>
      </c>
      <c r="AJ32">
        <v>0</v>
      </c>
      <c r="AK32">
        <v>0</v>
      </c>
      <c r="AL32">
        <v>1</v>
      </c>
      <c r="AM32">
        <v>3</v>
      </c>
      <c r="AN32">
        <v>0</v>
      </c>
      <c r="AO32" s="5061">
        <v>0</v>
      </c>
      <c r="AP32">
        <v>1</v>
      </c>
      <c r="AQ32">
        <v>0</v>
      </c>
      <c r="AR32">
        <v>0</v>
      </c>
      <c r="AS32">
        <v>0</v>
      </c>
      <c r="AT32" s="5062"/>
      <c r="BB32" s="5063"/>
      <c r="BG32" s="5064"/>
      <c r="BO32" s="5065"/>
      <c r="BT32" s="5066"/>
      <c r="CB32" s="5067"/>
      <c r="CD32" t="s">
        <v>1421</v>
      </c>
    </row>
    <row r="33" spans="2:80" x14ac:dyDescent="0.25">
      <c r="B33">
        <f>AVERAGE(B3:B32)</f>
        <v>0.90076923076923088</v>
      </c>
      <c r="C33" s="4469">
        <f t="shared" ref="C33:BN33" si="17">AVERAGE(C3:C32)</f>
        <v>0.93615384615384634</v>
      </c>
      <c r="D33" s="4469">
        <f t="shared" si="17"/>
        <v>1.0864000000000003</v>
      </c>
      <c r="E33" s="4653"/>
      <c r="F33" s="4653"/>
      <c r="G33" s="4653">
        <f>AVERAGE(G3:G32)</f>
        <v>0.96153846153846156</v>
      </c>
      <c r="H33" s="4653">
        <f t="shared" si="17"/>
        <v>1.6153846153846154</v>
      </c>
      <c r="I33" s="4653">
        <f t="shared" si="17"/>
        <v>0.65384615384615385</v>
      </c>
      <c r="J33" s="4653">
        <f t="shared" si="17"/>
        <v>0</v>
      </c>
      <c r="K33" s="4653">
        <f t="shared" si="17"/>
        <v>7.6923076923076927E-2</v>
      </c>
      <c r="L33" s="4653">
        <f t="shared" si="17"/>
        <v>0.23076923076923078</v>
      </c>
      <c r="M33" s="4653">
        <f t="shared" si="17"/>
        <v>1.9615384615384615</v>
      </c>
      <c r="N33" s="4653">
        <f t="shared" si="17"/>
        <v>0.42307692307692307</v>
      </c>
      <c r="O33" s="4653">
        <f t="shared" si="17"/>
        <v>0.30769230769230771</v>
      </c>
      <c r="P33" s="4653">
        <f t="shared" si="17"/>
        <v>3.8461538461538464E-2</v>
      </c>
      <c r="Q33" s="4653">
        <f t="shared" si="17"/>
        <v>3.8461538461538464E-2</v>
      </c>
      <c r="R33" s="4653">
        <f t="shared" si="17"/>
        <v>0</v>
      </c>
      <c r="S33" s="4653">
        <f t="shared" si="17"/>
        <v>0</v>
      </c>
      <c r="T33" s="4653">
        <f t="shared" si="17"/>
        <v>0.42307692307692307</v>
      </c>
      <c r="U33" s="4653">
        <f t="shared" si="17"/>
        <v>0.73076923076923073</v>
      </c>
      <c r="V33" s="4653">
        <f t="shared" si="17"/>
        <v>0.34615384615384615</v>
      </c>
      <c r="W33" s="4653">
        <f t="shared" si="17"/>
        <v>0.19230769230769232</v>
      </c>
      <c r="X33" s="4653">
        <f t="shared" si="17"/>
        <v>0</v>
      </c>
      <c r="Y33" s="4653">
        <f t="shared" si="17"/>
        <v>7.6923076923076927E-2</v>
      </c>
      <c r="Z33" s="4653">
        <f t="shared" si="17"/>
        <v>2.5</v>
      </c>
      <c r="AA33" s="4653">
        <f t="shared" si="17"/>
        <v>0.42307692307692307</v>
      </c>
      <c r="AB33" s="4653">
        <f t="shared" si="17"/>
        <v>0.15384615384615385</v>
      </c>
      <c r="AC33" s="4653">
        <f t="shared" si="17"/>
        <v>0.15384615384615385</v>
      </c>
      <c r="AD33" s="4653">
        <f t="shared" si="17"/>
        <v>0</v>
      </c>
      <c r="AE33" s="4653">
        <f t="shared" si="17"/>
        <v>0</v>
      </c>
      <c r="AF33" s="4653">
        <f t="shared" si="17"/>
        <v>0</v>
      </c>
      <c r="AG33" s="4653">
        <f t="shared" si="17"/>
        <v>0.6</v>
      </c>
      <c r="AH33" s="4653">
        <f t="shared" si="17"/>
        <v>1.76</v>
      </c>
      <c r="AI33" s="4653">
        <f t="shared" si="17"/>
        <v>0.48</v>
      </c>
      <c r="AJ33" s="4653">
        <f t="shared" si="17"/>
        <v>0.16</v>
      </c>
      <c r="AK33" s="4653">
        <f t="shared" si="17"/>
        <v>0</v>
      </c>
      <c r="AL33" s="4653">
        <f t="shared" si="17"/>
        <v>0.28000000000000003</v>
      </c>
      <c r="AM33" s="4653">
        <f t="shared" si="17"/>
        <v>3.08</v>
      </c>
      <c r="AN33" s="4653">
        <f t="shared" si="17"/>
        <v>0.72</v>
      </c>
      <c r="AO33" s="4653">
        <f t="shared" si="17"/>
        <v>0.24</v>
      </c>
      <c r="AP33" s="4653">
        <f t="shared" si="17"/>
        <v>0.16</v>
      </c>
      <c r="AQ33" s="4653">
        <f t="shared" si="17"/>
        <v>0</v>
      </c>
      <c r="AR33" s="4653">
        <f t="shared" si="17"/>
        <v>0</v>
      </c>
      <c r="AS33" s="4653">
        <f t="shared" si="17"/>
        <v>0</v>
      </c>
      <c r="AT33" s="4653" t="e">
        <f t="shared" si="17"/>
        <v>#DIV/0!</v>
      </c>
      <c r="AU33" s="4653" t="e">
        <f t="shared" si="17"/>
        <v>#DIV/0!</v>
      </c>
      <c r="AV33" s="4653" t="e">
        <f t="shared" si="17"/>
        <v>#DIV/0!</v>
      </c>
      <c r="AW33" s="4653" t="e">
        <f t="shared" si="17"/>
        <v>#DIV/0!</v>
      </c>
      <c r="AX33" s="4653" t="e">
        <f t="shared" si="17"/>
        <v>#DIV/0!</v>
      </c>
      <c r="AY33" s="4653" t="e">
        <f t="shared" si="17"/>
        <v>#DIV/0!</v>
      </c>
      <c r="AZ33" s="4653" t="e">
        <f t="shared" si="17"/>
        <v>#DIV/0!</v>
      </c>
      <c r="BA33" s="4653" t="e">
        <f t="shared" si="17"/>
        <v>#DIV/0!</v>
      </c>
      <c r="BB33" s="4653" t="e">
        <f t="shared" si="17"/>
        <v>#DIV/0!</v>
      </c>
      <c r="BC33" s="4653" t="e">
        <f t="shared" si="17"/>
        <v>#DIV/0!</v>
      </c>
      <c r="BD33" s="4653" t="e">
        <f t="shared" si="17"/>
        <v>#DIV/0!</v>
      </c>
      <c r="BE33" s="4653" t="e">
        <f t="shared" si="17"/>
        <v>#DIV/0!</v>
      </c>
      <c r="BF33" s="4653" t="e">
        <f t="shared" si="17"/>
        <v>#DIV/0!</v>
      </c>
      <c r="BG33" s="4653" t="e">
        <f t="shared" si="17"/>
        <v>#DIV/0!</v>
      </c>
      <c r="BH33" s="4653" t="e">
        <f t="shared" si="17"/>
        <v>#DIV/0!</v>
      </c>
      <c r="BI33" s="4653" t="e">
        <f t="shared" si="17"/>
        <v>#DIV/0!</v>
      </c>
      <c r="BJ33" s="4653" t="e">
        <f t="shared" si="17"/>
        <v>#DIV/0!</v>
      </c>
      <c r="BK33" s="4653" t="e">
        <f t="shared" si="17"/>
        <v>#DIV/0!</v>
      </c>
      <c r="BL33" s="4653" t="e">
        <f t="shared" si="17"/>
        <v>#DIV/0!</v>
      </c>
      <c r="BM33" s="4653" t="e">
        <f t="shared" si="17"/>
        <v>#DIV/0!</v>
      </c>
      <c r="BN33" s="4653" t="e">
        <f t="shared" si="17"/>
        <v>#DIV/0!</v>
      </c>
      <c r="BO33" s="4653" t="e">
        <f t="shared" ref="BO33:CB33" si="18">AVERAGE(BO3:BO32)</f>
        <v>#DIV/0!</v>
      </c>
      <c r="BP33" s="4653" t="e">
        <f t="shared" si="18"/>
        <v>#DIV/0!</v>
      </c>
      <c r="BQ33" s="4653" t="e">
        <f t="shared" si="18"/>
        <v>#DIV/0!</v>
      </c>
      <c r="BR33" s="4653" t="e">
        <f t="shared" si="18"/>
        <v>#DIV/0!</v>
      </c>
      <c r="BS33" s="4653" t="e">
        <f t="shared" si="18"/>
        <v>#DIV/0!</v>
      </c>
      <c r="BT33" s="4653" t="e">
        <f t="shared" si="18"/>
        <v>#DIV/0!</v>
      </c>
      <c r="BU33" s="4653" t="e">
        <f t="shared" si="18"/>
        <v>#DIV/0!</v>
      </c>
      <c r="BV33" s="4653" t="e">
        <f t="shared" si="18"/>
        <v>#DIV/0!</v>
      </c>
      <c r="BW33" s="4653" t="e">
        <f t="shared" si="18"/>
        <v>#DIV/0!</v>
      </c>
      <c r="BX33" s="4653" t="e">
        <f t="shared" si="18"/>
        <v>#DIV/0!</v>
      </c>
      <c r="BY33" s="4653" t="e">
        <f t="shared" si="18"/>
        <v>#DIV/0!</v>
      </c>
      <c r="BZ33" s="4653" t="e">
        <f t="shared" si="18"/>
        <v>#DIV/0!</v>
      </c>
      <c r="CA33" s="4653" t="e">
        <f t="shared" si="18"/>
        <v>#DIV/0!</v>
      </c>
      <c r="CB33" s="4653" t="e">
        <f t="shared" si="18"/>
        <v>#DIV/0!</v>
      </c>
    </row>
  </sheetData>
  <mergeCells count="18"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  <mergeCell ref="CJ6:CO6"/>
    <mergeCell ref="CP6:CU6"/>
    <mergeCell ref="CV6:DA6"/>
    <mergeCell ref="DB6:DG6"/>
    <mergeCell ref="CJ1:CO1"/>
    <mergeCell ref="CP1:CU1"/>
    <mergeCell ref="CV1:DA1"/>
    <mergeCell ref="DB1:DG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5098" t="s">
        <v>1100</v>
      </c>
      <c r="CM1" s="5098"/>
      <c r="CN1" s="5098"/>
      <c r="CO1" s="5098"/>
      <c r="CP1" s="5098"/>
      <c r="CQ1" s="5098"/>
      <c r="CR1" s="5117" t="s">
        <v>1343</v>
      </c>
      <c r="CS1" s="5100"/>
      <c r="CT1" s="5100"/>
      <c r="CU1" s="5100"/>
      <c r="CV1" s="5100"/>
      <c r="CW1" s="5100"/>
      <c r="CX1" s="5099" t="s">
        <v>1101</v>
      </c>
      <c r="CY1" s="5099"/>
      <c r="CZ1" s="5099"/>
      <c r="DA1" s="5099"/>
      <c r="DB1" s="5099"/>
      <c r="DC1" s="5099"/>
      <c r="DD1" s="5097" t="s">
        <v>1102</v>
      </c>
      <c r="DE1" s="5097"/>
      <c r="DF1" s="5097"/>
      <c r="DG1" s="5097"/>
      <c r="DH1" s="5097"/>
      <c r="DI1" s="5097"/>
      <c r="DJ1" s="5099" t="s">
        <v>1104</v>
      </c>
      <c r="DK1" s="5099"/>
      <c r="DL1" s="5099"/>
      <c r="DM1" s="5099"/>
      <c r="DN1" s="5099"/>
      <c r="DO1" s="5099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5072" t="e">
        <f>_xlfn.AGGREGATE(1,6,CL2:CQ2)</f>
        <v>#DIV/0!</v>
      </c>
      <c r="CM3" s="5072"/>
      <c r="CN3" s="5072"/>
      <c r="CO3" s="5072"/>
      <c r="CP3" s="5072"/>
      <c r="CQ3" s="5072"/>
      <c r="CR3" s="5072" t="e">
        <f t="shared" ref="CR3" si="1">_xlfn.AGGREGATE(1,6,CR2:CW2)</f>
        <v>#DIV/0!</v>
      </c>
      <c r="CS3" s="5072"/>
      <c r="CT3" s="5072"/>
      <c r="CU3" s="5072"/>
      <c r="CV3" s="5072"/>
      <c r="CW3" s="5072"/>
      <c r="CX3" s="5072" t="e">
        <f t="shared" ref="CX3" si="2">_xlfn.AGGREGATE(1,6,CX2:DC2)</f>
        <v>#DIV/0!</v>
      </c>
      <c r="CY3" s="5072"/>
      <c r="CZ3" s="5072"/>
      <c r="DA3" s="5072"/>
      <c r="DB3" s="5072"/>
      <c r="DC3" s="5072"/>
      <c r="DD3" s="5072" t="e">
        <f t="shared" ref="DD3" si="3">_xlfn.AGGREGATE(1,6,DD2:DI2)</f>
        <v>#DIV/0!</v>
      </c>
      <c r="DE3" s="5072"/>
      <c r="DF3" s="5072"/>
      <c r="DG3" s="5072"/>
      <c r="DH3" s="5072"/>
      <c r="DI3" s="5072"/>
      <c r="DJ3" s="5072" t="e">
        <f t="shared" ref="DJ3" si="4">_xlfn.AGGREGATE(1,6,DJ2:DO2)</f>
        <v>#DIV/0!</v>
      </c>
      <c r="DK3" s="5072"/>
      <c r="DL3" s="5072"/>
      <c r="DM3" s="5072"/>
      <c r="DN3" s="5072"/>
      <c r="DO3" s="5072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5097" t="s">
        <v>1099</v>
      </c>
      <c r="CM4" s="5097"/>
      <c r="CN4" s="5097"/>
      <c r="CO4" s="5097"/>
      <c r="CP4" s="5097"/>
      <c r="CQ4" s="5097"/>
      <c r="CR4" s="5095" t="s">
        <v>994</v>
      </c>
      <c r="CS4" s="5095"/>
      <c r="CT4" s="5095"/>
      <c r="CU4" s="5095"/>
      <c r="CV4" s="5095"/>
      <c r="CW4" s="5095"/>
      <c r="CX4" s="5097" t="s">
        <v>1103</v>
      </c>
      <c r="CY4" s="5097"/>
      <c r="CZ4" s="5097"/>
      <c r="DA4" s="5097"/>
      <c r="DB4" s="5097"/>
      <c r="DC4" s="5097"/>
      <c r="DD4" s="5096" t="s">
        <v>1105</v>
      </c>
      <c r="DE4" s="5095"/>
      <c r="DF4" s="5095"/>
      <c r="DG4" s="5095"/>
      <c r="DH4" s="5095"/>
      <c r="DI4" s="5095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CL4:CQ4"/>
    <mergeCell ref="CR4:CW4"/>
    <mergeCell ref="CX4:DC4"/>
    <mergeCell ref="DD4:DI4"/>
    <mergeCell ref="CL3:CQ3"/>
    <mergeCell ref="CR3:CW3"/>
    <mergeCell ref="CX3:DC3"/>
    <mergeCell ref="DD3:DI3"/>
    <mergeCell ref="DJ3:DO3"/>
    <mergeCell ref="CL1:CQ1"/>
    <mergeCell ref="CR1:CW1"/>
    <mergeCell ref="CX1:DC1"/>
    <mergeCell ref="DD1:DI1"/>
    <mergeCell ref="DJ1:DO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9"/>
  <sheetViews>
    <sheetView workbookViewId="0">
      <selection activeCell="L19" sqref="L19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5089" t="s">
        <v>1372</v>
      </c>
      <c r="I3" s="5089"/>
      <c r="J3" s="5089"/>
      <c r="K3" s="5089"/>
      <c r="L3" s="5091" t="s">
        <v>1402</v>
      </c>
      <c r="M3" s="5091"/>
      <c r="N3" s="5091"/>
      <c r="O3" s="5091"/>
      <c r="P3" s="5096" t="s">
        <v>1370</v>
      </c>
      <c r="Q3" s="5096"/>
      <c r="R3" s="5096"/>
      <c r="S3" s="5096"/>
      <c r="T3" s="5097" t="s">
        <v>1400</v>
      </c>
      <c r="U3" s="5097"/>
      <c r="V3" s="5097"/>
      <c r="W3" s="5097"/>
      <c r="X3" s="5097" t="s">
        <v>1374</v>
      </c>
      <c r="Y3" s="5097"/>
      <c r="Z3" s="5097"/>
      <c r="AA3" s="5097"/>
      <c r="AB3" s="5093" t="s">
        <v>1367</v>
      </c>
      <c r="AC3" s="5093"/>
      <c r="AD3" s="5093"/>
      <c r="AE3" s="5093"/>
      <c r="AF3" s="5093" t="s">
        <v>1373</v>
      </c>
      <c r="AG3" s="5093"/>
      <c r="AH3" s="5093"/>
      <c r="AI3" s="5093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AVERAGE(B11,B12,B18)</f>
        <v>1.1000000000000001</v>
      </c>
      <c r="M4" s="1">
        <f t="shared" ref="M4:O4" si="1">AVERAGE(C11,C12,C18)</f>
        <v>1.0833333333333333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AVERAGE(B9,B15,B17)</f>
        <v>1.04</v>
      </c>
      <c r="U4" s="1">
        <f t="shared" ref="U4:W4" si="3">AVERAGE(C9,C15,C17)</f>
        <v>0.94666666666666666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5088" t="e">
        <f>AVERAGE(H4:K4)</f>
        <v>#DIV/0!</v>
      </c>
      <c r="I5" s="5088"/>
      <c r="J5" s="5088"/>
      <c r="K5" s="5088"/>
      <c r="L5" s="5088" t="e">
        <f>AVERAGE(L4:O4)</f>
        <v>#DIV/0!</v>
      </c>
      <c r="M5" s="5088"/>
      <c r="N5" s="5088"/>
      <c r="O5" s="5088"/>
      <c r="P5" s="5088" t="e">
        <f>AVERAGE(P4:S4)</f>
        <v>#DIV/0!</v>
      </c>
      <c r="Q5" s="5088"/>
      <c r="R5" s="5088"/>
      <c r="S5" s="5088"/>
      <c r="T5" s="5088" t="e">
        <f>AVERAGE(T4:W4)</f>
        <v>#DIV/0!</v>
      </c>
      <c r="U5" s="5088"/>
      <c r="V5" s="5088"/>
      <c r="W5" s="5088"/>
      <c r="X5" s="5088" t="e">
        <f>AVERAGE(X4:AA4)</f>
        <v>#DIV/0!</v>
      </c>
      <c r="Y5" s="5088"/>
      <c r="Z5" s="5088"/>
      <c r="AA5" s="5088"/>
      <c r="AB5" s="5088" t="e">
        <f t="shared" ref="AB5" si="6">AVERAGE(AB4:AE4)</f>
        <v>#DIV/0!</v>
      </c>
      <c r="AC5" s="5088"/>
      <c r="AD5" s="5088"/>
      <c r="AE5" s="5088"/>
      <c r="AF5" s="5088" t="e">
        <f>AVERAGE(AF4:AI4)</f>
        <v>#DIV/0!</v>
      </c>
      <c r="AG5" s="5088"/>
      <c r="AH5" s="5088"/>
      <c r="AI5" s="5088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1365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1366</v>
      </c>
      <c r="B7">
        <v>1.33</v>
      </c>
      <c r="C7">
        <v>0.65</v>
      </c>
    </row>
    <row r="8" spans="1:85" x14ac:dyDescent="0.25">
      <c r="A8" s="4412" t="s">
        <v>1368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1369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1371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1376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1385</v>
      </c>
      <c r="B15">
        <v>1.28</v>
      </c>
      <c r="C15">
        <v>0.79</v>
      </c>
    </row>
    <row r="16" spans="1:85" x14ac:dyDescent="0.25">
      <c r="A16" s="619" t="s">
        <v>1398</v>
      </c>
      <c r="B16" s="619"/>
      <c r="C16" s="619"/>
      <c r="D16" s="619"/>
      <c r="E16" s="619"/>
      <c r="G16" s="4808"/>
      <c r="H16" s="4808"/>
      <c r="I16" s="4808"/>
      <c r="J16" s="4808"/>
      <c r="K16" s="4808"/>
      <c r="L16" s="4808"/>
      <c r="M16" s="4808"/>
      <c r="N16" s="4808"/>
      <c r="O16" s="4808"/>
      <c r="P16" s="4808"/>
      <c r="Q16" s="4808"/>
      <c r="R16" s="4808"/>
      <c r="S16" s="4808"/>
      <c r="T16" s="4808"/>
      <c r="U16" s="4808"/>
      <c r="V16" s="4808"/>
      <c r="W16" s="4808"/>
      <c r="X16" s="4808"/>
      <c r="Y16" s="4808"/>
      <c r="Z16" s="4808"/>
      <c r="AA16" s="4808"/>
      <c r="AB16" s="4808"/>
      <c r="AC16" s="4808"/>
      <c r="AD16" s="4808"/>
      <c r="AE16" s="4808"/>
      <c r="AF16" s="4808"/>
      <c r="AG16" s="4808"/>
      <c r="AH16" s="4808"/>
      <c r="AI16" s="4808"/>
      <c r="AJ16" s="4808"/>
      <c r="AK16" s="4808"/>
      <c r="AL16" s="4808"/>
      <c r="AM16" s="4808"/>
      <c r="AN16" s="4808"/>
      <c r="AO16" s="4808"/>
      <c r="AP16" s="4808"/>
      <c r="AQ16" s="4808"/>
      <c r="AR16" s="4808"/>
      <c r="AS16" s="4808"/>
      <c r="AT16" s="4808"/>
      <c r="AU16" s="4808"/>
      <c r="AV16" s="4808"/>
      <c r="AW16" s="4808"/>
      <c r="AX16" s="4808"/>
      <c r="AY16" s="4808"/>
      <c r="AZ16" s="4808"/>
      <c r="BA16" s="4808"/>
      <c r="BB16" s="4808"/>
      <c r="BC16" s="4808"/>
      <c r="BD16" s="4808"/>
      <c r="BE16" s="4808"/>
      <c r="BF16" s="4808"/>
      <c r="BG16" s="4808"/>
      <c r="BH16" s="4808"/>
      <c r="BI16" s="4808"/>
      <c r="BJ16" s="4808"/>
      <c r="BK16" s="4808"/>
      <c r="BL16" s="4808"/>
      <c r="BM16" s="4808"/>
      <c r="BN16" s="4808"/>
      <c r="BO16" s="4808"/>
      <c r="BP16" s="4808"/>
      <c r="BQ16" s="4808"/>
      <c r="BR16" s="4808"/>
      <c r="BS16" s="4808"/>
      <c r="BT16" s="4808"/>
      <c r="BU16" s="4808"/>
      <c r="BV16" s="4808"/>
      <c r="BW16" s="4808"/>
      <c r="BX16" s="4808"/>
      <c r="BY16" s="4808"/>
      <c r="BZ16" s="4808"/>
      <c r="CA16" s="4808"/>
      <c r="CB16" s="4808"/>
      <c r="CC16" s="4808"/>
      <c r="CD16" s="4808"/>
      <c r="CE16" s="4808"/>
      <c r="CF16" s="4808"/>
      <c r="CG16" s="4808"/>
    </row>
    <row r="17" spans="1:5" x14ac:dyDescent="0.25">
      <c r="A17" s="4809" t="s">
        <v>1399</v>
      </c>
      <c r="B17">
        <v>0.98</v>
      </c>
      <c r="C17">
        <v>1.1000000000000001</v>
      </c>
    </row>
    <row r="18" spans="1:5" x14ac:dyDescent="0.25">
      <c r="A18" s="4810" t="s">
        <v>1401</v>
      </c>
      <c r="B18">
        <v>0.56000000000000005</v>
      </c>
      <c r="C18">
        <v>0.79</v>
      </c>
    </row>
    <row r="19" spans="1:5" x14ac:dyDescent="0.25">
      <c r="B19">
        <f>AVERAGE(B3:B18)</f>
        <v>1.0033333333333332</v>
      </c>
      <c r="C19" s="4150">
        <f t="shared" ref="C19:E19" si="7">AVERAGE(C3:C18)</f>
        <v>1.0272727272727273</v>
      </c>
      <c r="D19" s="4150" t="e">
        <f t="shared" si="7"/>
        <v>#DIV/0!</v>
      </c>
      <c r="E19" s="4150">
        <f t="shared" si="7"/>
        <v>1.35</v>
      </c>
    </row>
  </sheetData>
  <mergeCells count="14">
    <mergeCell ref="AB3:AE3"/>
    <mergeCell ref="AB5:AE5"/>
    <mergeCell ref="AF5:AI5"/>
    <mergeCell ref="AF3:AI3"/>
    <mergeCell ref="P5:S5"/>
    <mergeCell ref="L5:O5"/>
    <mergeCell ref="H5:K5"/>
    <mergeCell ref="T5:W5"/>
    <mergeCell ref="X5:AA5"/>
    <mergeCell ref="H3:K3"/>
    <mergeCell ref="L3:O3"/>
    <mergeCell ref="P3:S3"/>
    <mergeCell ref="T3:W3"/>
    <mergeCell ref="X3:AA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2026-03-14T07:54:40Z</dcterms:modified>
</cp:coreProperties>
</file>