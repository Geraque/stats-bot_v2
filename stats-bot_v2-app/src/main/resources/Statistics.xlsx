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B9F9824C-476F-41E8-8D11-87AC96D3CD03}" xr6:coauthVersionLast="45" xr6:coauthVersionMax="47" xr10:uidLastSave="{00000000-0000-0000-0000-000000000000}"/>
  <bookViews>
    <workbookView xWindow="-120" yWindow="-120" windowWidth="29040" windowHeight="15720" firstSheet="8" activeTab="15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I5" i="16" l="1"/>
  <c r="DH6" i="16" s="1"/>
  <c r="DJ5" i="16"/>
  <c r="DK5" i="16"/>
  <c r="DL5" i="16"/>
  <c r="DH5" i="16"/>
  <c r="CW5" i="18"/>
  <c r="CX5" i="18"/>
  <c r="CY5" i="18"/>
  <c r="CZ5" i="18"/>
  <c r="CV5" i="18"/>
  <c r="CQ5" i="18"/>
  <c r="CR5" i="18"/>
  <c r="CS5" i="18"/>
  <c r="CT5" i="18"/>
  <c r="CP5" i="18"/>
  <c r="CK5" i="18"/>
  <c r="CL5" i="18"/>
  <c r="CM5" i="18"/>
  <c r="CN5" i="18"/>
  <c r="CJ5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AV21" i="18"/>
  <c r="AW21" i="18"/>
  <c r="AX21" i="18"/>
  <c r="AY21" i="18"/>
  <c r="AZ21" i="18"/>
  <c r="BA21" i="18"/>
  <c r="BB21" i="18"/>
  <c r="BC21" i="18"/>
  <c r="BD21" i="18"/>
  <c r="BE21" i="18"/>
  <c r="BF21" i="18"/>
  <c r="BG21" i="18"/>
  <c r="BH21" i="18"/>
  <c r="BI21" i="18"/>
  <c r="BJ21" i="18"/>
  <c r="BK21" i="18"/>
  <c r="BL21" i="18"/>
  <c r="BM21" i="18"/>
  <c r="BN21" i="18"/>
  <c r="BO21" i="18"/>
  <c r="BP21" i="18"/>
  <c r="BQ21" i="18"/>
  <c r="BR21" i="18"/>
  <c r="BS21" i="18"/>
  <c r="BT21" i="18"/>
  <c r="BU21" i="18"/>
  <c r="BV21" i="18"/>
  <c r="BW21" i="18"/>
  <c r="BX21" i="18"/>
  <c r="BY21" i="18"/>
  <c r="BZ21" i="18"/>
  <c r="CA21" i="18"/>
  <c r="CB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H332" i="14"/>
  <c r="U4" i="19" l="1"/>
  <c r="V4" i="19"/>
  <c r="W4" i="19"/>
  <c r="T4" i="19"/>
  <c r="CV2" i="16" l="1"/>
  <c r="CJ2" i="16" l="1"/>
  <c r="DI2" i="18"/>
  <c r="DJ2" i="18"/>
  <c r="DK2" i="18"/>
  <c r="DL2" i="18"/>
  <c r="DH2" i="18"/>
  <c r="CW2" i="18"/>
  <c r="CX2" i="18"/>
  <c r="CY2" i="18"/>
  <c r="CZ2" i="18"/>
  <c r="CV2" i="18"/>
  <c r="CQ2" i="18"/>
  <c r="CR2" i="18"/>
  <c r="CS2" i="18"/>
  <c r="CT2" i="18"/>
  <c r="CP2" i="18"/>
  <c r="CJ2" i="18"/>
  <c r="CK2" i="18"/>
  <c r="CL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M4" i="19"/>
  <c r="N4" i="19"/>
  <c r="O4" i="19"/>
  <c r="L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DB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CV6" i="16" l="1"/>
  <c r="DB6" i="16"/>
  <c r="CP6" i="16"/>
  <c r="DH3" i="16"/>
  <c r="DB3" i="16"/>
  <c r="CV3" i="16"/>
  <c r="DB5" i="18"/>
  <c r="DC5" i="18"/>
  <c r="DD5" i="18"/>
  <c r="DE5" i="18"/>
  <c r="DF5" i="18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E16" i="19"/>
  <c r="D16" i="19"/>
  <c r="C16" i="19"/>
  <c r="B16" i="19"/>
  <c r="D21" i="18"/>
  <c r="C21" i="18"/>
  <c r="B21" i="18"/>
  <c r="BS40" i="16"/>
  <c r="BR40" i="16"/>
  <c r="BQ40" i="16"/>
  <c r="BP40" i="16"/>
  <c r="BO40" i="16"/>
  <c r="BN40" i="16"/>
  <c r="BM40" i="16"/>
  <c r="BL40" i="16"/>
  <c r="BK40" i="16"/>
  <c r="BJ40" i="16"/>
  <c r="BI40" i="16"/>
  <c r="BH40" i="16"/>
  <c r="BG40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</calcChain>
</file>

<file path=xl/sharedStrings.xml><?xml version="1.0" encoding="utf-8"?>
<sst xmlns="http://schemas.openxmlformats.org/spreadsheetml/2006/main" count="2814" uniqueCount="1407">
  <si>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</si>
  <si>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</si>
  <si>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</si>
  <si>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</si>
  <si>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</si>
  <si>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</si>
  <si>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</si>
  <si>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</si>
  <si>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</si>
  <si>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</si>
  <si>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</si>
  <si>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</si>
  <si>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</si>
  <si>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</si>
  <si>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</si>
  <si>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</si>
  <si>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</si>
  <si>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</si>
  <si>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</si>
  <si>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</si>
  <si>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</si>
  <si>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</si>
  <si>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</si>
  <si>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</si>
  <si>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</si>
  <si>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</si>
  <si>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</si>
  <si>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</si>
  <si>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</si>
  <si>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</si>
  <si>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</si>
  <si>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</si>
  <si>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</si>
  <si>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</si>
  <si>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</si>
  <si>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</si>
  <si>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</si>
  <si>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</si>
  <si>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</si>
  <si>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</si>
  <si>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</si>
  <si>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</si>
  <si>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</si>
  <si>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</si>
  <si>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</si>
  <si>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</si>
  <si>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</si>
  <si>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</si>
  <si>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</si>
  <si>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</si>
  <si>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</si>
  <si>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</si>
  <si>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</si>
  <si>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</si>
  <si>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</si>
  <si>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</si>
  <si>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</si>
  <si>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</si>
  <si>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</si>
  <si>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</si>
  <si>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</si>
  <si>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</si>
  <si>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</si>
  <si>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</si>
  <si>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</si>
  <si>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</si>
  <si>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</si>
  <si>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</si>
  <si>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</si>
  <si>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</si>
  <si>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</si>
  <si>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</si>
  <si>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</si>
  <si>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</si>
  <si>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</si>
  <si>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</si>
  <si>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</si>
  <si>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</si>
  <si>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</si>
  <si>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</si>
  <si>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</si>
  <si>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</si>
  <si>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</si>
  <si>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</si>
  <si>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</si>
  <si>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</si>
  <si>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</si>
  <si>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</si>
  <si>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</si>
  <si>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</si>
  <si>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</si>
  <si>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</si>
  <si>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</si>
  <si>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</si>
  <si>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</si>
  <si>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</si>
  <si>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</si>
  <si>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</si>
  <si>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</si>
  <si>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</si>
  <si>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</si>
  <si>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</si>
  <si>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</si>
  <si>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</si>
  <si>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</si>
  <si>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</si>
  <si>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</si>
  <si>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</si>
  <si>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</si>
  <si>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</si>
  <si>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</si>
  <si>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</si>
  <si>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</si>
  <si>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</si>
  <si>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</si>
  <si>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</si>
  <si>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</si>
  <si>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</si>
  <si>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</si>
  <si>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</si>
  <si>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</si>
  <si>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</si>
  <si>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</si>
  <si>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</si>
  <si>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</si>
  <si>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</si>
  <si>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</si>
  <si>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</si>
  <si>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</si>
  <si>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</si>
  <si>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</si>
  <si>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</si>
  <si>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</si>
  <si>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</si>
  <si>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</si>
  <si>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</si>
  <si>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</si>
  <si>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</si>
  <si>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</si>
  <si>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</si>
  <si>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</si>
  <si>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</si>
  <si>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</si>
  <si>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</si>
  <si>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</si>
  <si>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</si>
  <si>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</si>
  <si>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</si>
  <si>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</si>
  <si>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</si>
  <si>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</si>
  <si>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</si>
  <si>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</si>
  <si>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</si>
  <si>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</si>
  <si>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</si>
  <si>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</si>
  <si>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</si>
  <si>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</si>
  <si>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</si>
  <si>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</si>
  <si>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</si>
  <si>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</si>
  <si>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</si>
  <si>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</si>
  <si>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</si>
  <si>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</si>
  <si>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</si>
  <si>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</si>
  <si>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</si>
  <si>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</si>
  <si>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</si>
  <si>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</si>
  <si>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</si>
  <si>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</si>
  <si>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</si>
  <si>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</si>
  <si>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</si>
  <si>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</si>
  <si>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</si>
  <si>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</si>
  <si>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</si>
  <si>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</si>
  <si>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</si>
  <si>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</si>
  <si>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</si>
  <si>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</si>
  <si>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</si>
  <si>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</si>
  <si>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</si>
  <si>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</si>
  <si>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</si>
  <si>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</si>
  <si>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</si>
  <si>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</si>
  <si>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</si>
  <si>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</si>
  <si>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</si>
  <si>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</si>
  <si>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</si>
  <si>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</si>
  <si>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</si>
  <si>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</si>
  <si>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</si>
  <si>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</si>
  <si>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</si>
  <si>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</si>
  <si>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</si>
  <si>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</si>
  <si>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</si>
  <si>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</si>
  <si>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</si>
  <si>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</si>
  <si>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</si>
  <si>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</si>
  <si>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</si>
  <si>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</si>
  <si>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</si>
  <si>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</si>
  <si>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</si>
  <si>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</si>
  <si>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</si>
  <si>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</si>
  <si>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</si>
  <si>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</si>
  <si>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</si>
  <si>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</si>
  <si>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</si>
  <si>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</si>
  <si>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</si>
  <si>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</si>
  <si>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</si>
  <si>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</si>
  <si>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</si>
  <si>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</si>
  <si>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</si>
  <si>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</si>
  <si>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</si>
  <si>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</si>
  <si>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</si>
  <si>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</si>
  <si>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</si>
  <si>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</si>
  <si>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</si>
  <si>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</si>
  <si>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</si>
  <si>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</si>
  <si>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</si>
  <si>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</si>
  <si>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</si>
  <si>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</si>
  <si>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</si>
  <si>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</si>
  <si>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</si>
  <si>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</si>
  <si>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</si>
  <si>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</si>
  <si>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</si>
  <si>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</si>
  <si>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</si>
  <si>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</si>
  <si>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</si>
  <si>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</si>
  <si>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</si>
  <si>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</si>
  <si>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</si>
  <si>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</si>
  <si>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</si>
  <si>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</si>
  <si>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</si>
  <si>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</si>
  <si>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</si>
  <si>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</si>
  <si>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</si>
  <si>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</si>
  <si>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</si>
  <si>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</si>
  <si>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</si>
  <si>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</si>
  <si>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</si>
  <si>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</si>
  <si>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</si>
  <si>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</si>
  <si>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</si>
  <si>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</si>
  <si>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</si>
  <si>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</si>
  <si>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</si>
  <si>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</si>
  <si>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</si>
  <si>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</si>
  <si>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</si>
  <si>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</si>
  <si>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</si>
  <si>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</si>
  <si>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</si>
  <si>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</si>
  <si>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</si>
  <si>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</si>
  <si>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</si>
  <si>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</si>
  <si>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</si>
  <si>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</si>
  <si>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</si>
  <si>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</si>
  <si>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</si>
  <si>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</si>
  <si>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</si>
  <si>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</si>
  <si>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</si>
  <si>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</si>
  <si>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</si>
  <si>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</si>
  <si>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</si>
  <si>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</si>
  <si>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</si>
  <si>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</si>
  <si>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</si>
  <si>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</si>
  <si>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</si>
  <si>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</si>
  <si>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</si>
  <si>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</si>
  <si>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</si>
  <si>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</si>
  <si>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</si>
  <si>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</si>
  <si>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</si>
  <si>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</si>
  <si>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</si>
  <si>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</si>
  <si>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</si>
  <si>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</si>
  <si>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</si>
  <si>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</si>
  <si>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</si>
  <si>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</si>
  <si>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</si>
  <si>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</si>
  <si>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</si>
  <si>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</si>
  <si>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</si>
  <si>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</si>
  <si>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</si>
  <si>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</si>
  <si>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</si>
  <si>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</si>
  <si>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</si>
  <si>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</si>
  <si>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</si>
  <si>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</si>
  <si>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</si>
  <si>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</si>
  <si>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</si>
  <si>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</si>
  <si>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</si>
  <si>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</si>
  <si>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</si>
  <si>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</si>
  <si>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</si>
  <si>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</si>
  <si>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</si>
  <si>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</si>
  <si>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</si>
  <si>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</si>
  <si>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</si>
  <si>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</si>
  <si>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</si>
  <si>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</si>
  <si>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</si>
  <si>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</si>
  <si>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</si>
  <si>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</si>
  <si>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</si>
  <si>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</si>
  <si>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</si>
  <si>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</si>
  <si>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</si>
  <si>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</si>
  <si>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</si>
  <si>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</si>
  <si>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</si>
  <si>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</si>
  <si>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</si>
  <si>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</si>
  <si>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</si>
  <si>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</si>
  <si>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</si>
  <si>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</si>
  <si>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</si>
  <si>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</si>
  <si>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</si>
  <si>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</si>
  <si>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</si>
  <si>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</si>
  <si>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</si>
  <si>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</si>
  <si>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</si>
  <si>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</si>
  <si>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</si>
  <si>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</si>
  <si>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</si>
  <si>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</si>
  <si>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</si>
  <si>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</si>
  <si>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</si>
  <si>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</si>
  <si>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</si>
  <si>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</si>
  <si>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</si>
  <si>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</si>
  <si>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</si>
  <si>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</si>
  <si>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</si>
  <si>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</si>
  <si>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</si>
  <si>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</si>
  <si>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</si>
  <si>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</si>
  <si>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</si>
  <si>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</si>
  <si>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</si>
  <si>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</si>
  <si>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</si>
  <si>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</si>
  <si>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</si>
  <si>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</si>
  <si>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</si>
  <si>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</si>
  <si>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</si>
  <si>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</si>
  <si>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</si>
  <si>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</si>
  <si>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</si>
  <si>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</si>
  <si>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</si>
  <si>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</si>
  <si>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</si>
  <si>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</si>
  <si>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</si>
  <si>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</si>
  <si>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</si>
  <si>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</si>
  <si>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</si>
  <si>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</si>
  <si>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</si>
  <si>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</si>
  <si>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</si>
  <si>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</si>
  <si>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</si>
  <si>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</si>
  <si>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</si>
  <si>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</si>
  <si>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</si>
  <si>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</si>
  <si>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</si>
  <si>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</si>
  <si>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</si>
  <si>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</si>
  <si>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</si>
  <si>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</si>
  <si>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</si>
  <si>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</si>
  <si>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</si>
  <si>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</si>
  <si>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</si>
  <si>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</si>
  <si>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</si>
  <si>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</si>
  <si>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</si>
  <si>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</si>
  <si>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</si>
  <si>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</si>
  <si>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</si>
  <si>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</si>
  <si>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</si>
  <si>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</si>
  <si>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</si>
  <si>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</si>
  <si>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</si>
  <si>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</si>
  <si>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</si>
  <si>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</si>
  <si>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</si>
  <si>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</si>
  <si>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</si>
  <si>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</si>
  <si>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</si>
  <si>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</si>
  <si>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</si>
  <si>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</si>
  <si>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</si>
  <si>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</si>
  <si>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</si>
  <si>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</si>
  <si>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</si>
  <si>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</si>
  <si>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</si>
  <si>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</si>
  <si>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</si>
  <si>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</si>
  <si>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</si>
  <si>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</si>
  <si>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</si>
  <si>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</si>
  <si>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</si>
  <si>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</si>
  <si>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</si>
  <si>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</si>
  <si>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</si>
  <si>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</si>
  <si>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</si>
  <si>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</si>
  <si>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</si>
  <si>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</si>
  <si>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</si>
  <si>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</si>
  <si>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</si>
  <si>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</si>
  <si>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</si>
  <si>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</si>
  <si>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</si>
  <si>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</si>
  <si>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</si>
  <si>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</si>
  <si>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</si>
  <si>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</si>
  <si>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</si>
  <si>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</si>
  <si>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</si>
  <si>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</si>
  <si>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</si>
  <si>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</si>
  <si>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</si>
  <si>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</si>
  <si>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</si>
  <si>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</si>
  <si>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</si>
  <si>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</si>
  <si>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</si>
  <si>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</si>
  <si>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</si>
  <si>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</si>
  <si>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</si>
  <si>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</si>
  <si>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</si>
  <si>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</si>
  <si>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</si>
  <si>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</si>
  <si>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</si>
  <si>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</si>
  <si>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</si>
  <si>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</si>
  <si>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</si>
  <si>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</si>
  <si>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</si>
  <si>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</si>
  <si>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</si>
  <si>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</si>
  <si>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</si>
  <si>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</si>
  <si>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</si>
  <si>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</si>
  <si>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</si>
  <si>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</si>
  <si>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</si>
  <si>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</si>
  <si>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</si>
  <si>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</si>
  <si>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</si>
  <si>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</si>
  <si>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</si>
  <si>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</si>
  <si>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</si>
  <si>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</si>
  <si>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</si>
  <si>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</si>
  <si>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</si>
  <si>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</si>
  <si>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</si>
  <si>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</si>
  <si>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</si>
  <si>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</si>
  <si>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</si>
  <si>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</si>
  <si>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</si>
  <si>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</si>
  <si>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</si>
  <si>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</si>
  <si>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</si>
  <si>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</si>
  <si>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</si>
  <si>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</si>
  <si>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</si>
  <si>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</si>
  <si>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</si>
  <si>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</si>
  <si>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</si>
  <si>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</si>
  <si>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</si>
  <si>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</si>
  <si>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</si>
  <si>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</si>
  <si>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</si>
  <si>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</si>
  <si>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</si>
  <si>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</si>
  <si>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</si>
  <si>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</si>
  <si>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</si>
  <si>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</si>
  <si>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</si>
  <si>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</si>
  <si>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</si>
  <si>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</si>
  <si>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</si>
  <si>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</si>
  <si>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</si>
  <si>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</si>
  <si>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</si>
  <si>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</si>
  <si>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</si>
  <si>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</si>
  <si>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</si>
  <si>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</si>
  <si>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</si>
  <si>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</si>
  <si>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</si>
  <si>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</si>
  <si>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</si>
  <si>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</si>
  <si>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</si>
  <si>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</si>
  <si>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</si>
  <si>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</si>
  <si>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</si>
  <si>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</si>
  <si>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</si>
  <si>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</si>
  <si>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</si>
  <si>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</si>
  <si>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</si>
  <si>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</si>
  <si>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</si>
  <si>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</si>
  <si>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</si>
  <si>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</si>
  <si>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</si>
  <si>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</si>
  <si>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</si>
  <si>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</si>
  <si>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</si>
  <si>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</si>
  <si>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</si>
  <si>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</si>
  <si>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</si>
  <si>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</si>
  <si>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</si>
  <si>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</si>
  <si>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</si>
  <si>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</si>
  <si>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</si>
  <si>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</si>
  <si>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</si>
  <si>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</si>
  <si>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</si>
  <si>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</si>
  <si>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</si>
  <si>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</si>
  <si>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</si>
  <si>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</si>
  <si>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</si>
  <si>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</si>
  <si>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</si>
  <si>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</si>
  <si>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</si>
  <si>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</si>
  <si>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</si>
  <si>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</si>
  <si>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</si>
  <si>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</si>
  <si>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</si>
  <si>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</si>
  <si>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</si>
  <si>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</si>
  <si>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</si>
  <si>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</si>
  <si>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</si>
  <si>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</si>
  <si>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</si>
  <si>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</si>
  <si>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</si>
  <si>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</si>
  <si>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</si>
  <si>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</si>
  <si>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</si>
  <si>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</si>
  <si>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</si>
  <si>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</si>
  <si>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</si>
  <si>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</si>
  <si>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</si>
  <si>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</si>
  <si>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</si>
  <si>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</si>
  <si>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</si>
  <si>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</si>
  <si>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</si>
  <si>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</si>
  <si>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</si>
  <si>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</si>
  <si>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</si>
  <si>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</si>
  <si>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</si>
  <si>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</si>
  <si>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</si>
  <si>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</si>
  <si>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</si>
  <si>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</si>
  <si>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</si>
  <si>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</si>
  <si>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</si>
  <si>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</si>
  <si>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</si>
  <si>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</si>
  <si>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</si>
  <si>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</si>
  <si>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</si>
  <si>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</si>
  <si>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</si>
  <si>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</si>
  <si>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</si>
  <si>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</si>
  <si>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</si>
  <si>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</si>
  <si>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</si>
  <si>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</si>
  <si>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</si>
  <si>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</si>
  <si>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</si>
  <si>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</si>
  <si>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</si>
  <si>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</si>
  <si>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</si>
  <si>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</si>
  <si>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</si>
  <si>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</si>
  <si>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</si>
  <si>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</si>
  <si>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</si>
  <si>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</si>
  <si>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</si>
  <si>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</si>
  <si>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</si>
  <si>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</si>
  <si>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</si>
  <si>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</si>
  <si>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</si>
  <si>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</si>
  <si>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</si>
  <si>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</si>
  <si>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</si>
  <si>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</si>
  <si>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</si>
  <si>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</si>
  <si>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</si>
  <si>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</si>
  <si>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</si>
  <si>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</si>
  <si>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</si>
  <si>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</si>
  <si>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</si>
  <si>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</si>
  <si>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</si>
  <si>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</si>
  <si>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</si>
  <si>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</si>
  <si>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</si>
  <si>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</si>
  <si>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</si>
  <si>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</si>
  <si>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</si>
  <si>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</si>
  <si>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</si>
  <si>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</si>
  <si>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</si>
  <si>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</si>
  <si>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</si>
  <si>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</si>
  <si>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</si>
  <si>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</si>
  <si>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</si>
  <si>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</si>
  <si>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</si>
  <si>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</si>
  <si>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</si>
  <si>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</si>
  <si>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</si>
  <si>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</si>
  <si>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</si>
  <si>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</si>
  <si>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</si>
  <si>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</si>
  <si>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</si>
  <si>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</si>
  <si>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</si>
  <si>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</si>
  <si>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</si>
  <si>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</si>
  <si>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</si>
  <si>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</si>
  <si>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</si>
  <si>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</si>
  <si>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</si>
  <si>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</si>
  <si>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</si>
  <si>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</si>
  <si>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</si>
  <si>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</si>
  <si>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</si>
  <si>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</si>
  <si>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</si>
  <si>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</si>
  <si>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</si>
  <si>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</si>
  <si>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</si>
  <si>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</si>
  <si>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</si>
  <si>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</si>
  <si>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</si>
  <si>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</si>
  <si>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</si>
  <si>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</si>
  <si>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</si>
  <si>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</si>
  <si>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</si>
  <si>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</si>
  <si>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</si>
  <si>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</si>
  <si>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</si>
  <si>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</si>
  <si>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</si>
  <si>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</si>
  <si>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</si>
  <si>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</si>
  <si>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</si>
  <si>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</si>
  <si>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</si>
  <si>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</si>
  <si>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</si>
  <si>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</si>
  <si>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</si>
  <si>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</si>
  <si>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</si>
  <si>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</si>
  <si>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</si>
  <si>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</si>
  <si>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</si>
  <si>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</si>
  <si>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</si>
  <si>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</si>
  <si>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</si>
  <si>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</si>
  <si>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</si>
  <si>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</si>
  <si>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</si>
  <si>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</si>
  <si>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</si>
  <si>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</si>
  <si>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</si>
  <si>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</si>
  <si>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</si>
  <si>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</si>
  <si>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</si>
  <si>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</si>
  <si>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</si>
  <si>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</si>
  <si>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</si>
  <si>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</si>
  <si>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</si>
  <si>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</si>
  <si>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</si>
  <si>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</si>
  <si>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</si>
  <si>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</si>
  <si>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</si>
  <si>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</si>
  <si>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</si>
  <si>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</si>
  <si>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</si>
  <si>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</si>
  <si>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</si>
  <si>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</si>
  <si>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</si>
  <si>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</si>
  <si>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</si>
  <si>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</si>
  <si>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</si>
  <si>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</si>
  <si>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</si>
  <si>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</si>
  <si>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</si>
  <si>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</si>
  <si>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</si>
  <si>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</si>
  <si>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</si>
  <si>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</si>
  <si>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</si>
  <si>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</si>
  <si>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</si>
  <si>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</si>
  <si>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</si>
  <si>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</si>
  <si>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</si>
  <si>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</si>
  <si>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</si>
  <si>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</si>
  <si>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</si>
  <si>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</si>
  <si>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</si>
  <si>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</si>
  <si>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</si>
  <si>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</si>
  <si>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</si>
  <si>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</si>
  <si>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</si>
  <si>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</si>
  <si>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</si>
  <si>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</si>
  <si>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</si>
  <si>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</si>
  <si>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</si>
  <si>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</si>
  <si>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</si>
  <si>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</si>
  <si>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</si>
  <si>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</si>
  <si>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</si>
  <si>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</si>
  <si>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</si>
  <si>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</si>
  <si>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</si>
  <si>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</si>
  <si>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</si>
  <si>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</si>
  <si>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</si>
  <si>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</si>
  <si>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</si>
  <si>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</si>
  <si>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</si>
  <si>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</si>
  <si>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</si>
  <si>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</si>
  <si>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</si>
  <si>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</si>
  <si>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</si>
  <si>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</si>
  <si>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</si>
  <si>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</si>
  <si>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</si>
  <si>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</si>
  <si>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</si>
  <si>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</si>
  <si>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</si>
  <si>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</si>
  <si>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</si>
  <si>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</si>
  <si>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</si>
  <si>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</si>
  <si>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</si>
  <si>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</si>
  <si>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</si>
  <si>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</si>
  <si>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</si>
  <si>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</si>
  <si>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</si>
  <si>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</si>
  <si>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</si>
  <si>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</si>
  <si>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</si>
  <si>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</si>
  <si>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</si>
  <si>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</si>
  <si>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</si>
  <si>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</si>
  <si>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</si>
  <si>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</si>
  <si>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</si>
  <si>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</si>
  <si>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</si>
  <si>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</si>
  <si>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</si>
  <si>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</si>
  <si>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</si>
  <si>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</si>
  <si>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</si>
  <si>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</si>
  <si>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</si>
  <si>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</si>
  <si>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</si>
  <si>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</si>
  <si>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</si>
  <si>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</si>
  <si>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</si>
  <si>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</si>
  <si>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</si>
  <si>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</si>
  <si>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</si>
  <si>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</si>
  <si>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</si>
  <si>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</si>
  <si>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</si>
  <si>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</si>
  <si>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</si>
  <si>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</si>
  <si>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</si>
  <si>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</si>
  <si>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</si>
  <si>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</si>
  <si>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</si>
  <si>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</si>
  <si>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</si>
  <si>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</si>
  <si>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</si>
  <si>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</si>
  <si>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</si>
  <si>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</si>
  <si>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</si>
  <si>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</si>
  <si>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</si>
  <si>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</si>
  <si>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</si>
  <si>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</si>
  <si>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</si>
  <si>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</si>
  <si>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</si>
  <si>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</si>
  <si>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</si>
  <si>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</si>
  <si>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</si>
  <si>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</si>
  <si>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</si>
  <si>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</si>
  <si>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</si>
  <si>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</si>
  <si>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</si>
  <si>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</si>
  <si>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</si>
  <si>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</si>
  <si>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</si>
  <si>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</si>
  <si>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</si>
  <si>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</si>
  <si>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</si>
  <si>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</si>
  <si>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</si>
  <si>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</si>
  <si>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</si>
  <si>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</si>
  <si>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</si>
  <si>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</si>
  <si>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</si>
  <si>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</si>
  <si>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</si>
  <si>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</si>
  <si>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</si>
  <si>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</si>
  <si>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</si>
  <si>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</si>
  <si>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</si>
  <si>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</si>
  <si>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</si>
  <si>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</si>
  <si>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</si>
  <si>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</si>
  <si>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</si>
  <si>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</si>
  <si>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</si>
  <si>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</si>
  <si>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</si>
  <si>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</si>
  <si>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</si>
  <si>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</si>
  <si>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</si>
  <si>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</si>
  <si>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</si>
  <si>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</si>
  <si>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</si>
  <si>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</si>
  <si>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</si>
  <si>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</si>
  <si>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</si>
  <si>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</si>
  <si>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</si>
  <si>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</si>
  <si>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</si>
  <si>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</si>
  <si>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</si>
  <si>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</si>
  <si>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</si>
  <si>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</si>
  <si>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</si>
  <si>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</si>
  <si>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</si>
  <si>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</si>
  <si>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</si>
  <si>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</si>
  <si>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</si>
  <si>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</si>
  <si>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</si>
  <si>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</si>
  <si>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</si>
  <si>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</si>
  <si>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</si>
  <si>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</si>
  <si>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</si>
  <si>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</si>
  <si>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</si>
  <si>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</si>
  <si>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</si>
  <si>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</si>
  <si>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</si>
  <si>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</si>
  <si>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</si>
  <si>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</si>
  <si>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</si>
  <si>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</si>
  <si>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</si>
  <si>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</si>
  <si>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</si>
  <si>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</si>
  <si>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</si>
  <si>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</si>
  <si>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</si>
  <si>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</si>
  <si>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</si>
  <si>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</si>
  <si>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</si>
  <si>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</si>
  <si>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</si>
  <si>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</si>
  <si>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</si>
  <si>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</si>
  <si>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</si>
  <si>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</si>
  <si>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</si>
  <si>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</si>
  <si>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</si>
  <si>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</si>
  <si>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</si>
  <si>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</si>
  <si>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</si>
  <si>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</si>
  <si>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</si>
  <si>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</si>
  <si>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</si>
  <si>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</si>
  <si>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</si>
  <si>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</si>
  <si>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</si>
  <si>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</si>
  <si>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</si>
  <si>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</si>
  <si>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</si>
  <si>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</si>
  <si>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</si>
  <si>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</si>
  <si>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</si>
  <si>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</si>
  <si>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</si>
  <si>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</si>
  <si>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</si>
  <si>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</si>
  <si>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</si>
  <si>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</si>
  <si>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</si>
  <si>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</si>
  <si>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</si>
  <si>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</si>
  <si>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</si>
  <si>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</si>
  <si>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</si>
  <si>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</si>
  <si>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</si>
  <si>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</si>
  <si>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</si>
  <si>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</si>
  <si>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</si>
  <si>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</si>
  <si>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</si>
  <si>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</si>
  <si>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</si>
  <si>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</si>
  <si>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</si>
  <si>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</si>
  <si>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</si>
  <si>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</si>
  <si>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</si>
  <si>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</si>
  <si>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</si>
  <si>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</si>
  <si>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</si>
  <si>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</si>
  <si>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</si>
  <si>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</si>
  <si>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</si>
  <si>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</si>
  <si>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</si>
  <si>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</si>
  <si>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</si>
  <si>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</si>
  <si>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</si>
  <si>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</si>
  <si>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</si>
  <si>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</si>
  <si>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</si>
  <si>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</si>
  <si>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</si>
  <si>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</si>
  <si>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</si>
  <si>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</si>
  <si>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</si>
  <si>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</si>
  <si>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</si>
  <si>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</si>
  <si>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</si>
  <si>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</si>
  <si>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</si>
  <si>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</si>
  <si>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</si>
  <si>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</si>
  <si>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</si>
  <si>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</si>
  <si>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</si>
  <si>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</si>
  <si>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</si>
  <si>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</si>
  <si>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</si>
  <si>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</si>
  <si>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</si>
  <si>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</si>
  <si>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</si>
  <si>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</si>
  <si>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</si>
  <si>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</si>
  <si>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</si>
  <si>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</si>
  <si>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</si>
  <si>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</si>
  <si>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</si>
  <si>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</si>
  <si>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</si>
  <si>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</si>
  <si>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</si>
  <si>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</si>
  <si>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</si>
  <si>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</si>
  <si>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</si>
  <si>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</si>
  <si>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</si>
  <si>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</si>
  <si>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</si>
  <si>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</si>
  <si>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</si>
  <si>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</si>
  <si>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</si>
  <si>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</si>
  <si>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</si>
  <si>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</si>
  <si>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</si>
  <si>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</si>
  <si>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</si>
  <si>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</si>
  <si>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</si>
  <si>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</si>
  <si>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</si>
  <si>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</si>
  <si>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</si>
  <si>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</si>
  <si>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</si>
  <si>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</si>
  <si>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</si>
  <si>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</si>
  <si>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</si>
  <si>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</si>
  <si>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</si>
  <si>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</si>
  <si>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</si>
  <si>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</si>
  <si>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</si>
  <si>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</si>
  <si>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</si>
  <si>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</si>
  <si>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</si>
  <si>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</si>
  <si>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</si>
  <si>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</si>
  <si>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</si>
  <si>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</si>
  <si>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</si>
  <si>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</si>
  <si>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</si>
  <si>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</si>
  <si>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</si>
  <si>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</si>
  <si>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</si>
  <si>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</si>
  <si>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</si>
  <si>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</si>
  <si>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</si>
  <si>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</si>
  <si>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</si>
  <si>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</si>
  <si>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</si>
  <si>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</si>
  <si>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</si>
  <si>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</si>
  <si>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</si>
  <si>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</si>
  <si>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</si>
  <si>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</si>
  <si>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</si>
  <si>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</si>
  <si>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</si>
  <si>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</si>
  <si>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</si>
  <si>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</si>
  <si>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</si>
  <si>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</si>
  <si>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</si>
  <si>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</si>
  <si>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</si>
  <si>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</si>
  <si>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</si>
  <si>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</si>
  <si>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</si>
  <si>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</si>
  <si>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</si>
  <si>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</si>
  <si>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</si>
  <si>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</si>
  <si>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</si>
  <si>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</si>
  <si>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</si>
  <si>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</si>
  <si>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</si>
  <si>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</si>
  <si>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</si>
  <si>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</si>
  <si>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</si>
  <si>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</si>
  <si>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</si>
  <si>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</si>
  <si>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</si>
  <si>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</si>
  <si>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</si>
  <si>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</si>
  <si>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</si>
  <si>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</si>
  <si>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</si>
  <si>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</si>
  <si>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</si>
  <si>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OVERPASS (1/0/0)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</si>
  <si>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</si>
  <si>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</si>
  <si>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</si>
  <si>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</si>
  <si>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</si>
  <si>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</si>
  <si>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</si>
  <si>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</si>
  <si>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</si>
  <si>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</si>
  <si>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nuke (2)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</si>
  <si>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</si>
  <si>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</si>
  <si>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</si>
  <si>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</si>
  <si>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</si>
  <si>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</si>
  <si>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</si>
  <si>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</si>
  <si>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NUKE (3/1/0)</t>
  </si>
  <si>
    <t>ANCIENT (1/2/0)</t>
  </si>
  <si>
    <t>6 map (dust)</t>
  </si>
  <si>
    <t>NUKE (1/0/0)</t>
  </si>
  <si>
    <t>22 map (train)</t>
  </si>
  <si>
    <t>26 map (anc)</t>
  </si>
  <si>
    <t>10, 9, 7, 9, 10 lvls</t>
  </si>
  <si>
    <t>10 map (vert)</t>
  </si>
  <si>
    <t>vertigo (2)</t>
  </si>
  <si>
    <t>07.03.2026</t>
  </si>
  <si>
    <t>28 map (off)</t>
  </si>
  <si>
    <t>29 map (inf)</t>
  </si>
  <si>
    <t>INFERNO (2/2/0)</t>
  </si>
  <si>
    <t>30 map (vert)</t>
  </si>
  <si>
    <t>VERTIGO (2/1/0)</t>
  </si>
  <si>
    <t>31 map (off)</t>
  </si>
  <si>
    <t>10 map (dust)</t>
  </si>
  <si>
    <t>11 map (dust)</t>
  </si>
  <si>
    <t>DUST (3/2/0)</t>
  </si>
  <si>
    <t>13 map (nuke)</t>
  </si>
  <si>
    <t>NUKE (1/1/0)</t>
  </si>
  <si>
    <t>ANCIENT (1/0/0)</t>
  </si>
  <si>
    <t>15 map (mir)</t>
  </si>
  <si>
    <t>MIRAGE (3/2/0)</t>
  </si>
  <si>
    <t>OFFICE (1/4/0)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</si>
</sst>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4859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7" borderId="0" xfId="0" applyFont="1" applyFill="1" applyAlignment="1">
      <alignment horizontal="center"/>
    </xf>
    <xf numFmtId="0" fontId="23" fillId="14" borderId="0" xfId="1" applyAlignment="1">
      <alignment horizontal="center"/>
    </xf>
    <xf numFmtId="0" fontId="25" fillId="16" borderId="0" xfId="4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/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4808" t="s">
        <v>0</v>
      </c>
      <c r="C1" s="4809"/>
      <c r="D1" s="4810" t="s">
        <v>1</v>
      </c>
      <c r="E1" s="4809"/>
      <c r="F1" s="4811" t="s">
        <v>177</v>
      </c>
      <c r="G1" s="4809"/>
      <c r="H1" s="4808" t="s">
        <v>174</v>
      </c>
      <c r="I1" s="4809"/>
      <c r="J1" s="4810" t="s">
        <v>175</v>
      </c>
      <c r="K1" s="4809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812" t="str">
        <f>"Mirage"&amp;" "&amp;H5/SUM(H5:I5)*100</f>
        <v>Mirage 25</v>
      </c>
      <c r="I3" s="4813"/>
      <c r="J3" s="4812" t="str">
        <f>"Inferno"&amp;" "&amp;ROUND(J5/SUM(J5:K5)*100,0)</f>
        <v>Inferno 40</v>
      </c>
      <c r="K3" s="4813"/>
      <c r="L3" s="4812" t="str">
        <f>"Overpass"&amp;" "&amp;ROUND(L5/SUM(L5:M5)*100,0)</f>
        <v>Overpass 67</v>
      </c>
      <c r="M3" s="4813"/>
      <c r="N3" s="4812" t="str">
        <f>"Vertigo"&amp;" "&amp;ROUND(N5/SUM(N5:O5)*100,0)</f>
        <v>Vertigo 80</v>
      </c>
      <c r="O3" s="4813"/>
      <c r="P3" s="4812" t="str">
        <f>"Ancient"&amp;" "&amp;ROUND(P5/SUM(P5:Q5)*100,0)</f>
        <v>Ancient 50</v>
      </c>
      <c r="Q3" s="4813"/>
      <c r="R3" s="4812" t="str">
        <f>"Anubis"&amp;" "&amp;ROUND(R5/SUM(R5:S5)*100,0)</f>
        <v>Anubis 67</v>
      </c>
      <c r="S3" s="4813"/>
      <c r="T3" s="4812" t="str">
        <f>"Dust II"&amp;" "&amp;ROUND(T5/SUM(T5:U5)*100,0)</f>
        <v>Dust II 100</v>
      </c>
      <c r="U3" s="4813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812" t="s">
        <v>206</v>
      </c>
      <c r="I7" s="4813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812" t="s">
        <v>373</v>
      </c>
      <c r="G3" s="4813"/>
      <c r="H3" s="4813"/>
      <c r="I3" s="4812" t="s">
        <v>374</v>
      </c>
      <c r="J3" s="4813"/>
      <c r="K3" s="4813"/>
      <c r="L3" s="4812" t="s">
        <v>375</v>
      </c>
      <c r="M3" s="4813"/>
      <c r="N3" s="4813"/>
      <c r="O3" s="4812" t="s">
        <v>376</v>
      </c>
      <c r="P3" s="4813"/>
      <c r="Q3" s="4813"/>
      <c r="R3" s="4812" t="s">
        <v>377</v>
      </c>
      <c r="S3" s="4813"/>
      <c r="T3" s="4812" t="s">
        <v>378</v>
      </c>
      <c r="U3" s="4813"/>
      <c r="V3" s="4812" t="s">
        <v>379</v>
      </c>
      <c r="W3" s="4813"/>
      <c r="X3" s="4813"/>
      <c r="Y3" s="4812" t="s">
        <v>380</v>
      </c>
      <c r="Z3" s="4813"/>
      <c r="AA3" s="4813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4808" t="s">
        <v>641</v>
      </c>
      <c r="B1" s="4817"/>
      <c r="C1" s="4817"/>
      <c r="D1" s="4809"/>
      <c r="E1" s="4810" t="s">
        <v>642</v>
      </c>
      <c r="F1" s="4817"/>
      <c r="G1" s="4817"/>
      <c r="H1" s="4817"/>
      <c r="I1" s="4817"/>
      <c r="J1" s="4809"/>
      <c r="K1" s="4811" t="s">
        <v>643</v>
      </c>
      <c r="L1" s="4817"/>
      <c r="M1" s="4817"/>
      <c r="N1" s="4809"/>
      <c r="O1" s="4818" t="s">
        <v>644</v>
      </c>
      <c r="P1" s="4819"/>
      <c r="Q1" s="4819"/>
      <c r="R1" s="4819"/>
      <c r="S1" s="4820"/>
      <c r="T1" s="4821" t="s">
        <v>645</v>
      </c>
      <c r="U1" s="4822"/>
      <c r="V1" s="4822"/>
      <c r="W1" s="4822"/>
      <c r="X1" s="4823"/>
      <c r="Y1" s="4824" t="s">
        <v>646</v>
      </c>
      <c r="Z1" s="4825"/>
      <c r="AA1" s="4825"/>
      <c r="AB1" s="4826"/>
      <c r="AC1" s="4827" t="s">
        <v>647</v>
      </c>
      <c r="AD1" s="4817"/>
      <c r="AE1" s="4817"/>
      <c r="AF1" s="4817"/>
      <c r="AG1" s="4809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812" t="s">
        <v>651</v>
      </c>
      <c r="B8" s="4813"/>
      <c r="C8" s="4813"/>
      <c r="D8" s="4813"/>
      <c r="E8" s="4813"/>
      <c r="F8" s="4813"/>
      <c r="G8" s="4813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814" t="s">
        <v>710</v>
      </c>
      <c r="C20" s="4815"/>
      <c r="D20" s="4815"/>
      <c r="E20" s="4815"/>
      <c r="F20" s="4815"/>
      <c r="G20" s="4815"/>
      <c r="H20" s="4816"/>
    </row>
    <row r="21" spans="1:13" ht="15.75" customHeight="1" x14ac:dyDescent="0.25"/>
    <row r="22" spans="1:13" ht="15.75" customHeight="1" x14ac:dyDescent="0.25">
      <c r="A22" s="4814" t="s">
        <v>711</v>
      </c>
      <c r="B22" s="4815"/>
      <c r="C22" s="4816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832" t="s">
        <v>1293</v>
      </c>
      <c r="I3" s="4833"/>
      <c r="J3" s="4833"/>
      <c r="K3" s="4833"/>
      <c r="L3" s="4830" t="s">
        <v>1322</v>
      </c>
      <c r="M3" s="4834"/>
      <c r="N3" s="4834"/>
      <c r="O3" s="4834"/>
      <c r="P3" s="4831" t="s">
        <v>944</v>
      </c>
      <c r="Q3" s="4835"/>
      <c r="R3" s="4835"/>
      <c r="S3" s="4835"/>
      <c r="T3" s="4836" t="s">
        <v>941</v>
      </c>
      <c r="U3" s="4813"/>
      <c r="V3" s="4813"/>
      <c r="W3" s="4813"/>
      <c r="X3" s="4837" t="s">
        <v>1324</v>
      </c>
      <c r="Y3" s="4813"/>
      <c r="Z3" s="4813"/>
      <c r="AA3" s="4813"/>
      <c r="AB3" s="4829" t="s">
        <v>1289</v>
      </c>
      <c r="AC3" s="4813"/>
      <c r="AD3" s="4813"/>
      <c r="AE3" s="4813"/>
      <c r="AF3" s="4831" t="s">
        <v>1029</v>
      </c>
      <c r="AG3" s="4831"/>
      <c r="AH3" s="4831"/>
      <c r="AI3" s="4831"/>
      <c r="AJ3" s="4831" t="s">
        <v>1030</v>
      </c>
      <c r="AK3" s="4831"/>
      <c r="AL3" s="4831"/>
      <c r="AM3" s="4831"/>
      <c r="AN3" s="4830" t="s">
        <v>1231</v>
      </c>
      <c r="AO3" s="4830"/>
      <c r="AP3" s="4830"/>
      <c r="AQ3" s="4830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828">
        <f>AVERAGE(H4:I4)</f>
        <v>1.0193362533692722</v>
      </c>
      <c r="I5" s="4828"/>
      <c r="J5" s="4828"/>
      <c r="K5" s="4828"/>
      <c r="L5" s="4828">
        <f>AVERAGE(L4:M4)</f>
        <v>1.0659129143988122</v>
      </c>
      <c r="M5" s="4828"/>
      <c r="N5" s="4828"/>
      <c r="O5" s="4828"/>
      <c r="P5" s="4828">
        <f>AVERAGE(P4:Q4)</f>
        <v>0.92159926470588238</v>
      </c>
      <c r="Q5" s="4828"/>
      <c r="R5" s="4828"/>
      <c r="S5" s="4828"/>
      <c r="T5" s="4828">
        <f>AVERAGE(T4:U4)</f>
        <v>1.1372058823529412</v>
      </c>
      <c r="U5" s="4828"/>
      <c r="V5" s="4828"/>
      <c r="W5" s="4828"/>
      <c r="X5" s="4828">
        <f>AVERAGE(X4:Y4)</f>
        <v>1.1944506048387096</v>
      </c>
      <c r="Y5" s="4828"/>
      <c r="Z5" s="4828"/>
      <c r="AA5" s="4828"/>
      <c r="AB5" s="4828">
        <f>AVERAGE(AB4:AC4)</f>
        <v>1.0036596218020022</v>
      </c>
      <c r="AC5" s="4828"/>
      <c r="AD5" s="4828"/>
      <c r="AE5" s="4828"/>
      <c r="AF5" s="4828">
        <f>AVERAGE(AF4:AG4)</f>
        <v>0.74166666666666659</v>
      </c>
      <c r="AG5" s="4828"/>
      <c r="AH5" s="4828"/>
      <c r="AI5" s="4828"/>
      <c r="AJ5" s="4828">
        <f>AVERAGE(AJ4:AK4)</f>
        <v>0.75</v>
      </c>
      <c r="AK5" s="4828"/>
      <c r="AL5" s="4828"/>
      <c r="AM5" s="4828"/>
      <c r="AN5" s="4828">
        <f>AVERAGE(AN4:AO4)</f>
        <v>1.4249999999999998</v>
      </c>
      <c r="AO5" s="4828"/>
      <c r="AP5" s="4828"/>
      <c r="AQ5" s="4828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840" t="s">
        <v>1340</v>
      </c>
      <c r="CK1" s="4840"/>
      <c r="CL1" s="4840"/>
      <c r="CM1" s="4840"/>
      <c r="CN1" s="4840"/>
      <c r="CO1" s="4840"/>
      <c r="CP1" s="4836" t="s">
        <v>1332</v>
      </c>
      <c r="CQ1" s="4836"/>
      <c r="CR1" s="4836"/>
      <c r="CS1" s="4836"/>
      <c r="CT1" s="4836"/>
      <c r="CU1" s="4836"/>
      <c r="CV1" s="4829" t="s">
        <v>1306</v>
      </c>
      <c r="CW1" s="4829"/>
      <c r="CX1" s="4829"/>
      <c r="CY1" s="4829"/>
      <c r="CZ1" s="4829"/>
      <c r="DA1" s="4829"/>
      <c r="DB1" s="4839" t="s">
        <v>1272</v>
      </c>
      <c r="DC1" s="4839"/>
      <c r="DD1" s="4839"/>
      <c r="DE1" s="4839"/>
      <c r="DF1" s="4839"/>
      <c r="DG1" s="4839"/>
      <c r="DH1" s="4829" t="s">
        <v>1333</v>
      </c>
      <c r="DI1" s="4829"/>
      <c r="DJ1" s="4829"/>
      <c r="DK1" s="4829"/>
      <c r="DL1" s="4829"/>
      <c r="DM1" s="4829"/>
      <c r="DN1" s="4836" t="s">
        <v>997</v>
      </c>
      <c r="DO1" s="4836"/>
      <c r="DP1" s="4836"/>
      <c r="DQ1" s="4836"/>
      <c r="DR1" s="4836"/>
      <c r="DS1" s="4836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812">
        <f>_xlfn.AGGREGATE(1,6,CJ2:CO2)</f>
        <v>1.0302314814814812</v>
      </c>
      <c r="CK3" s="4812"/>
      <c r="CL3" s="4812"/>
      <c r="CM3" s="4812"/>
      <c r="CN3" s="4812"/>
      <c r="CO3" s="4812"/>
      <c r="CP3" s="4812">
        <f t="shared" ref="CP3" si="6">_xlfn.AGGREGATE(1,6,CP2:CU2)</f>
        <v>1.1007646356033451</v>
      </c>
      <c r="CQ3" s="4812"/>
      <c r="CR3" s="4812"/>
      <c r="CS3" s="4812"/>
      <c r="CT3" s="4812"/>
      <c r="CU3" s="4812"/>
      <c r="CV3" s="4812">
        <f t="shared" ref="CV3" si="7">_xlfn.AGGREGATE(1,6,CV2:DA2)</f>
        <v>1.0716666666666665</v>
      </c>
      <c r="CW3" s="4812"/>
      <c r="CX3" s="4812"/>
      <c r="CY3" s="4812"/>
      <c r="CZ3" s="4812"/>
      <c r="DA3" s="4812"/>
      <c r="DB3" s="4812">
        <f t="shared" ref="DB3" si="8">_xlfn.AGGREGATE(1,6,DB2:DG2)</f>
        <v>1.1828888888888889</v>
      </c>
      <c r="DC3" s="4812"/>
      <c r="DD3" s="4812"/>
      <c r="DE3" s="4812"/>
      <c r="DF3" s="4812"/>
      <c r="DG3" s="4812"/>
      <c r="DH3" s="4812">
        <f t="shared" ref="DH3" si="9">_xlfn.AGGREGATE(1,6,DH2:DM2)</f>
        <v>1.1250000000000002</v>
      </c>
      <c r="DI3" s="4812"/>
      <c r="DJ3" s="4812"/>
      <c r="DK3" s="4812"/>
      <c r="DL3" s="4812"/>
      <c r="DM3" s="4812"/>
      <c r="DN3" s="4812" t="e">
        <f t="shared" ref="DN3" si="10">_xlfn.AGGREGATE(1,6,DN2:DS2)</f>
        <v>#DIV/0!</v>
      </c>
      <c r="DO3" s="4812"/>
      <c r="DP3" s="4812"/>
      <c r="DQ3" s="4812"/>
      <c r="DR3" s="4812"/>
      <c r="DS3" s="4812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829" t="s">
        <v>1303</v>
      </c>
      <c r="CK4" s="4829"/>
      <c r="CL4" s="4829"/>
      <c r="CM4" s="4829"/>
      <c r="CN4" s="4829"/>
      <c r="CO4" s="4829"/>
      <c r="CP4" s="4838" t="s">
        <v>993</v>
      </c>
      <c r="CQ4" s="4838"/>
      <c r="CR4" s="4838"/>
      <c r="CS4" s="4838"/>
      <c r="CT4" s="4838"/>
      <c r="CU4" s="4838"/>
      <c r="CV4" s="4836" t="s">
        <v>994</v>
      </c>
      <c r="CW4" s="4836"/>
      <c r="CX4" s="4836"/>
      <c r="CY4" s="4836"/>
      <c r="CZ4" s="4836"/>
      <c r="DA4" s="4836"/>
      <c r="DB4" s="4829" t="s">
        <v>995</v>
      </c>
      <c r="DC4" s="4829"/>
      <c r="DD4" s="4829"/>
      <c r="DE4" s="4829"/>
      <c r="DF4" s="4829"/>
      <c r="DG4" s="4829"/>
      <c r="DH4" s="4836" t="s">
        <v>996</v>
      </c>
      <c r="DI4" s="4836"/>
      <c r="DJ4" s="4836"/>
      <c r="DK4" s="4836"/>
      <c r="DL4" s="4836"/>
      <c r="DM4" s="4836"/>
      <c r="DN4" s="4839" t="s">
        <v>1308</v>
      </c>
      <c r="DO4" s="4839"/>
      <c r="DP4" s="4839"/>
      <c r="DQ4" s="4839"/>
      <c r="DR4" s="4839"/>
      <c r="DS4" s="4839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812">
        <f>_xlfn.AGGREGATE(1,6,CJ5:CO5)</f>
        <v>1.098888888888889</v>
      </c>
      <c r="CK6" s="4812"/>
      <c r="CL6" s="4812"/>
      <c r="CM6" s="4812"/>
      <c r="CN6" s="4812"/>
      <c r="CO6" s="4812"/>
      <c r="CP6" s="4812" t="e">
        <f t="shared" ref="CP6" si="17">_xlfn.AGGREGATE(1,6,CP5:CU5)</f>
        <v>#DIV/0!</v>
      </c>
      <c r="CQ6" s="4812"/>
      <c r="CR6" s="4812"/>
      <c r="CS6" s="4812"/>
      <c r="CT6" s="4812"/>
      <c r="CU6" s="4812"/>
      <c r="CV6" s="4812" t="e">
        <f t="shared" ref="CV6" si="18">_xlfn.AGGREGATE(1,6,CV5:DA5)</f>
        <v>#DIV/0!</v>
      </c>
      <c r="CW6" s="4812"/>
      <c r="CX6" s="4812"/>
      <c r="CY6" s="4812"/>
      <c r="CZ6" s="4812"/>
      <c r="DA6" s="4812"/>
      <c r="DB6" s="4812">
        <f t="shared" ref="DB6" si="19">_xlfn.AGGREGATE(1,6,DB5:DG5)</f>
        <v>1.0416666666666667</v>
      </c>
      <c r="DC6" s="4812"/>
      <c r="DD6" s="4812"/>
      <c r="DE6" s="4812"/>
      <c r="DF6" s="4812"/>
      <c r="DG6" s="4812"/>
      <c r="DH6" s="4812" t="e">
        <f t="shared" ref="DH6" si="20">_xlfn.AGGREGATE(1,6,DH5:DM5)</f>
        <v>#DIV/0!</v>
      </c>
      <c r="DI6" s="4812"/>
      <c r="DJ6" s="4812"/>
      <c r="DK6" s="4812"/>
      <c r="DL6" s="4812"/>
      <c r="DM6" s="4812"/>
      <c r="DN6" s="4812">
        <f t="shared" ref="DN6" si="21">_xlfn.AGGREGATE(1,6,DN5:DS5)</f>
        <v>1.0967878787878786</v>
      </c>
      <c r="DO6" s="4812"/>
      <c r="DP6" s="4812"/>
      <c r="DQ6" s="4812"/>
      <c r="DR6" s="4812"/>
      <c r="DS6" s="4812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852" t="s">
        <v>1326</v>
      </c>
      <c r="CK1" s="4848"/>
      <c r="CL1" s="4848"/>
      <c r="CM1" s="4848"/>
      <c r="CN1" s="4848"/>
      <c r="CO1" s="4849"/>
      <c r="CP1" s="4851" t="s">
        <v>1338</v>
      </c>
      <c r="CQ1" s="4845"/>
      <c r="CR1" s="4845"/>
      <c r="CS1" s="4845"/>
      <c r="CT1" s="4845"/>
      <c r="CU1" s="4846"/>
      <c r="CV1" s="4852" t="s">
        <v>1313</v>
      </c>
      <c r="CW1" s="4848"/>
      <c r="CX1" s="4848"/>
      <c r="CY1" s="4848"/>
      <c r="CZ1" s="4848"/>
      <c r="DA1" s="4849"/>
      <c r="DB1" s="4853" t="s">
        <v>1336</v>
      </c>
      <c r="DC1" s="4848"/>
      <c r="DD1" s="4848"/>
      <c r="DE1" s="4848"/>
      <c r="DF1" s="4848"/>
      <c r="DG1" s="4849"/>
      <c r="DH1" s="4854" t="s">
        <v>1282</v>
      </c>
      <c r="DI1" s="4855"/>
      <c r="DJ1" s="4855"/>
      <c r="DK1" s="4855"/>
      <c r="DL1" s="4855"/>
      <c r="DM1" s="4856"/>
      <c r="DN1" s="4851" t="s">
        <v>991</v>
      </c>
      <c r="DO1" s="4845"/>
      <c r="DP1" s="4845"/>
      <c r="DQ1" s="4845"/>
      <c r="DR1" s="4845"/>
      <c r="DS1" s="4846"/>
      <c r="DT1" s="4851" t="s">
        <v>992</v>
      </c>
      <c r="DU1" s="4845"/>
      <c r="DV1" s="4845"/>
      <c r="DW1" s="4845"/>
      <c r="DX1" s="4845"/>
      <c r="DY1" s="4846"/>
      <c r="DZ1" s="4841" t="s">
        <v>1121</v>
      </c>
      <c r="EA1" s="4842"/>
      <c r="EB1" s="4842"/>
      <c r="EC1" s="4842"/>
      <c r="ED1" s="4842"/>
      <c r="EE1" s="4843"/>
      <c r="EF1" s="4841" t="s">
        <v>1178</v>
      </c>
      <c r="EG1" s="4842"/>
      <c r="EH1" s="4842"/>
      <c r="EI1" s="4842"/>
      <c r="EJ1" s="4842"/>
      <c r="EK1" s="484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812">
        <f>_xlfn.AGGREGATE(1,3,CJ2:CL2)</f>
        <v>1.2020329670329672</v>
      </c>
      <c r="CK3" s="4813"/>
      <c r="CL3" s="4813"/>
      <c r="CM3" s="4813"/>
      <c r="CN3" s="4813"/>
      <c r="CO3" s="4813"/>
      <c r="CP3" s="4812">
        <f>_xlfn.AGGREGATE(1,3,CP2:CR2)</f>
        <v>1.1494795008912657</v>
      </c>
      <c r="CQ3" s="4813"/>
      <c r="CR3" s="4813"/>
      <c r="CS3" s="4813"/>
      <c r="CT3" s="4813"/>
      <c r="CU3" s="4813"/>
      <c r="CV3" s="4812">
        <f>_xlfn.AGGREGATE(1,3,CV2:CX2)</f>
        <v>1.0901058201058202</v>
      </c>
      <c r="CW3" s="4813"/>
      <c r="CX3" s="4813"/>
      <c r="CY3" s="4813"/>
      <c r="CZ3" s="4813"/>
      <c r="DA3" s="4813"/>
      <c r="DB3" s="4812">
        <f>_xlfn.AGGREGATE(1,3,DB2:DD2)</f>
        <v>1.2281853623958889</v>
      </c>
      <c r="DC3" s="4813"/>
      <c r="DD3" s="4813"/>
      <c r="DE3" s="4813"/>
      <c r="DF3" s="4813"/>
      <c r="DG3" s="4813"/>
      <c r="DH3" s="4812">
        <f>_xlfn.AGGREGATE(1,3,DH2:DJ2)</f>
        <v>1.0894419306184009</v>
      </c>
      <c r="DI3" s="4813"/>
      <c r="DJ3" s="4813"/>
      <c r="DK3" s="4813"/>
      <c r="DL3" s="4813"/>
      <c r="DM3" s="4813"/>
      <c r="DN3" s="4812">
        <f t="shared" ref="DN3" si="9">_xlfn.AGGREGATE(1,6,DN2:DS2)</f>
        <v>1.2135555555555557</v>
      </c>
      <c r="DO3" s="4813"/>
      <c r="DP3" s="4813"/>
      <c r="DQ3" s="4813"/>
      <c r="DR3" s="4813"/>
      <c r="DS3" s="4813"/>
      <c r="DT3" s="4812">
        <f>_xlfn.AGGREGATE(1,3,DT2:DV2)</f>
        <v>1.355</v>
      </c>
      <c r="DU3" s="4813"/>
      <c r="DV3" s="4813"/>
      <c r="DW3" s="4813"/>
      <c r="DX3" s="4813"/>
      <c r="DY3" s="4813"/>
      <c r="DZ3" s="4812">
        <f>_xlfn.AGGREGATE(1,3,DZ2:EB2)</f>
        <v>1.0728333333333335</v>
      </c>
      <c r="EA3" s="4813"/>
      <c r="EB3" s="4813"/>
      <c r="EC3" s="4813"/>
      <c r="ED3" s="4813"/>
      <c r="EE3" s="4813"/>
      <c r="EF3" s="4812">
        <f>_xlfn.AGGREGATE(1,3,EF2:EH2)</f>
        <v>0.94666666666666666</v>
      </c>
      <c r="EG3" s="4813"/>
      <c r="EH3" s="4813"/>
      <c r="EI3" s="4813"/>
      <c r="EJ3" s="4813"/>
      <c r="EK3" s="4813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844" t="s">
        <v>1330</v>
      </c>
      <c r="CK4" s="4845"/>
      <c r="CL4" s="4845"/>
      <c r="CM4" s="4845"/>
      <c r="CN4" s="4845"/>
      <c r="CO4" s="4846"/>
      <c r="CP4" s="4847" t="s">
        <v>1311</v>
      </c>
      <c r="CQ4" s="4848"/>
      <c r="CR4" s="4848"/>
      <c r="CS4" s="4848"/>
      <c r="CT4" s="4848"/>
      <c r="CU4" s="4849"/>
      <c r="CV4" s="4850" t="s">
        <v>1316</v>
      </c>
      <c r="CW4" s="4845"/>
      <c r="CX4" s="4845"/>
      <c r="CY4" s="4845"/>
      <c r="CZ4" s="4845"/>
      <c r="DA4" s="4846"/>
      <c r="DB4" s="4847" t="s">
        <v>1280</v>
      </c>
      <c r="DC4" s="4848"/>
      <c r="DD4" s="4848"/>
      <c r="DE4" s="4848"/>
      <c r="DF4" s="4848"/>
      <c r="DG4" s="4849"/>
      <c r="DH4" s="4851" t="s">
        <v>946</v>
      </c>
      <c r="DI4" s="4845"/>
      <c r="DJ4" s="4845"/>
      <c r="DK4" s="4845"/>
      <c r="DL4" s="4845"/>
      <c r="DM4" s="4846"/>
      <c r="DN4" s="4841" t="s">
        <v>1191</v>
      </c>
      <c r="DO4" s="4842"/>
      <c r="DP4" s="4842"/>
      <c r="DQ4" s="4842"/>
      <c r="DR4" s="4842"/>
      <c r="DS4" s="4843"/>
      <c r="DT4" s="4851" t="s">
        <v>1328</v>
      </c>
      <c r="DU4" s="4845"/>
      <c r="DV4" s="4845"/>
      <c r="DW4" s="4845"/>
      <c r="DX4" s="4845"/>
      <c r="DY4" s="4846"/>
      <c r="DZ4" s="4841" t="s">
        <v>1205</v>
      </c>
      <c r="EA4" s="4842"/>
      <c r="EB4" s="4842"/>
      <c r="EC4" s="4842"/>
      <c r="ED4" s="4842"/>
      <c r="EE4" s="484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812">
        <f>_xlfn.AGGREGATE(1,3,CJ5:CL5)</f>
        <v>1.1417748538011698</v>
      </c>
      <c r="CK6" s="4813"/>
      <c r="CL6" s="4813"/>
      <c r="CM6" s="4813"/>
      <c r="CN6" s="4813"/>
      <c r="CO6" s="4813"/>
      <c r="CP6" s="4812">
        <f>_xlfn.AGGREGATE(1,3,CP5:CR5)</f>
        <v>1.2262257187257186</v>
      </c>
      <c r="CQ6" s="4813"/>
      <c r="CR6" s="4813"/>
      <c r="CS6" s="4813"/>
      <c r="CT6" s="4813"/>
      <c r="CU6" s="4813"/>
      <c r="CV6" s="4812">
        <f>_xlfn.AGGREGATE(1,3,CV5:CX5)</f>
        <v>1.1702931473984102</v>
      </c>
      <c r="CW6" s="4813"/>
      <c r="CX6" s="4813"/>
      <c r="CY6" s="4813"/>
      <c r="CZ6" s="4813"/>
      <c r="DA6" s="4813"/>
      <c r="DB6" s="4812">
        <f>_xlfn.AGGREGATE(1,3,DB5:DD5)</f>
        <v>1.2373106060606061</v>
      </c>
      <c r="DC6" s="4813"/>
      <c r="DD6" s="4813"/>
      <c r="DE6" s="4813"/>
      <c r="DF6" s="4813"/>
      <c r="DG6" s="4813"/>
      <c r="DH6" s="4812">
        <f>_xlfn.AGGREGATE(1,3,DH5:DJ5)</f>
        <v>1.1100000000000001</v>
      </c>
      <c r="DI6" s="4813"/>
      <c r="DJ6" s="4813"/>
      <c r="DK6" s="4813"/>
      <c r="DL6" s="4813"/>
      <c r="DM6" s="4813"/>
      <c r="DN6" s="4812">
        <f>_xlfn.AGGREGATE(1,3,DN5:DP5)</f>
        <v>1.0518518518518516</v>
      </c>
      <c r="DO6" s="4813"/>
      <c r="DP6" s="4813"/>
      <c r="DQ6" s="4813"/>
      <c r="DR6" s="4813"/>
      <c r="DS6" s="4813"/>
      <c r="DT6" s="4812">
        <f>_xlfn.AGGREGATE(1,3,DT5:DV5)</f>
        <v>1.2530952380952383</v>
      </c>
      <c r="DU6" s="4813"/>
      <c r="DV6" s="4813"/>
      <c r="DW6" s="4813"/>
      <c r="DX6" s="4813"/>
      <c r="DY6" s="4813"/>
      <c r="DZ6" s="4812">
        <f>_xlfn.AGGREGATE(1,3,DZ5:EB5)</f>
        <v>0.91333333333333344</v>
      </c>
      <c r="EA6" s="4813"/>
      <c r="EB6" s="4813"/>
      <c r="EC6" s="4813"/>
      <c r="ED6" s="4813"/>
      <c r="EE6" s="4813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840" t="s">
        <v>1100</v>
      </c>
      <c r="CK1" s="4840"/>
      <c r="CL1" s="4840"/>
      <c r="CM1" s="4840"/>
      <c r="CN1" s="4840"/>
      <c r="CO1" s="4840"/>
      <c r="CP1" s="4857" t="s">
        <v>1111</v>
      </c>
      <c r="CQ1" s="4838"/>
      <c r="CR1" s="4838"/>
      <c r="CS1" s="4838"/>
      <c r="CT1" s="4838"/>
      <c r="CU1" s="4838"/>
      <c r="CV1" s="4839" t="s">
        <v>1101</v>
      </c>
      <c r="CW1" s="4839"/>
      <c r="CX1" s="4839"/>
      <c r="CY1" s="4839"/>
      <c r="CZ1" s="4839"/>
      <c r="DA1" s="4839"/>
      <c r="DB1" s="4829" t="s">
        <v>1102</v>
      </c>
      <c r="DC1" s="4829"/>
      <c r="DD1" s="4829"/>
      <c r="DE1" s="4829"/>
      <c r="DF1" s="4829"/>
      <c r="DG1" s="4829"/>
      <c r="DH1" s="4839" t="s">
        <v>1104</v>
      </c>
      <c r="DI1" s="4839"/>
      <c r="DJ1" s="4839"/>
      <c r="DK1" s="4839"/>
      <c r="DL1" s="4839"/>
      <c r="DM1" s="4839"/>
      <c r="DN1" s="4836" t="s">
        <v>997</v>
      </c>
      <c r="DO1" s="4836"/>
      <c r="DP1" s="4836"/>
      <c r="DQ1" s="4836"/>
      <c r="DR1" s="4836"/>
      <c r="DS1" s="4836"/>
      <c r="DT1" s="4836" t="s">
        <v>998</v>
      </c>
      <c r="DU1" s="4836"/>
      <c r="DV1" s="4836"/>
      <c r="DW1" s="4836"/>
      <c r="DX1" s="4836"/>
      <c r="DY1" s="4836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812" t="e">
        <f>_xlfn.AGGREGATE(1,6,CJ2:CO2)</f>
        <v>#DIV/0!</v>
      </c>
      <c r="CK3" s="4812"/>
      <c r="CL3" s="4812"/>
      <c r="CM3" s="4812"/>
      <c r="CN3" s="4812"/>
      <c r="CO3" s="4812"/>
      <c r="CP3" s="4812">
        <f t="shared" ref="CP3" si="1">_xlfn.AGGREGATE(1,6,CP2:CU2)</f>
        <v>1.4500000000000002</v>
      </c>
      <c r="CQ3" s="4812"/>
      <c r="CR3" s="4812"/>
      <c r="CS3" s="4812"/>
      <c r="CT3" s="4812"/>
      <c r="CU3" s="4812"/>
      <c r="CV3" s="4812" t="e">
        <f t="shared" ref="CV3" si="2">_xlfn.AGGREGATE(1,6,CV2:DA2)</f>
        <v>#DIV/0!</v>
      </c>
      <c r="CW3" s="4812"/>
      <c r="CX3" s="4812"/>
      <c r="CY3" s="4812"/>
      <c r="CZ3" s="4812"/>
      <c r="DA3" s="4812"/>
      <c r="DB3" s="4812" t="e">
        <f t="shared" ref="DB3" si="3">_xlfn.AGGREGATE(1,6,DB2:DG2)</f>
        <v>#DIV/0!</v>
      </c>
      <c r="DC3" s="4812"/>
      <c r="DD3" s="4812"/>
      <c r="DE3" s="4812"/>
      <c r="DF3" s="4812"/>
      <c r="DG3" s="4812"/>
      <c r="DH3" s="4812" t="e">
        <f t="shared" ref="DH3" si="4">_xlfn.AGGREGATE(1,6,DH2:DM2)</f>
        <v>#DIV/0!</v>
      </c>
      <c r="DI3" s="4812"/>
      <c r="DJ3" s="4812"/>
      <c r="DK3" s="4812"/>
      <c r="DL3" s="4812"/>
      <c r="DM3" s="4812"/>
      <c r="DN3" s="4812" t="e">
        <f t="shared" ref="DN3" si="5">_xlfn.AGGREGATE(1,6,DN2:DS2)</f>
        <v>#DIV/0!</v>
      </c>
      <c r="DO3" s="4812"/>
      <c r="DP3" s="4812"/>
      <c r="DQ3" s="4812"/>
      <c r="DR3" s="4812"/>
      <c r="DS3" s="4812"/>
      <c r="DT3" s="4812" t="e">
        <f t="shared" ref="DT3" si="6">_xlfn.AGGREGATE(1,6,DT2:DY2)</f>
        <v>#DIV/0!</v>
      </c>
      <c r="DU3" s="4812"/>
      <c r="DV3" s="4812"/>
      <c r="DW3" s="4812"/>
      <c r="DX3" s="4812"/>
      <c r="DY3" s="4812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829" t="s">
        <v>1099</v>
      </c>
      <c r="CK4" s="4829"/>
      <c r="CL4" s="4829"/>
      <c r="CM4" s="4829"/>
      <c r="CN4" s="4829"/>
      <c r="CO4" s="4829"/>
      <c r="CP4" s="4838" t="s">
        <v>993</v>
      </c>
      <c r="CQ4" s="4838"/>
      <c r="CR4" s="4838"/>
      <c r="CS4" s="4838"/>
      <c r="CT4" s="4838"/>
      <c r="CU4" s="4838"/>
      <c r="CV4" s="4836" t="s">
        <v>994</v>
      </c>
      <c r="CW4" s="4836"/>
      <c r="CX4" s="4836"/>
      <c r="CY4" s="4836"/>
      <c r="CZ4" s="4836"/>
      <c r="DA4" s="4836"/>
      <c r="DB4" s="4829" t="s">
        <v>1103</v>
      </c>
      <c r="DC4" s="4829"/>
      <c r="DD4" s="4829"/>
      <c r="DE4" s="4829"/>
      <c r="DF4" s="4829"/>
      <c r="DG4" s="4829"/>
      <c r="DH4" s="4836" t="s">
        <v>996</v>
      </c>
      <c r="DI4" s="4836"/>
      <c r="DJ4" s="4836"/>
      <c r="DK4" s="4836"/>
      <c r="DL4" s="4836"/>
      <c r="DM4" s="4836"/>
      <c r="DN4" s="4837" t="s">
        <v>1105</v>
      </c>
      <c r="DO4" s="4836"/>
      <c r="DP4" s="4836"/>
      <c r="DQ4" s="4836"/>
      <c r="DR4" s="4836"/>
      <c r="DS4" s="4836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40"/>
  <sheetViews>
    <sheetView tabSelected="1" topLeftCell="CH1" workbookViewId="0">
      <pane ySplit="1" topLeftCell="A2" activePane="bottomLeft" state="frozen"/>
      <selection pane="bottomLeft" activeCell="CS11" sqref="CS11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840" t="s">
        <v>1381</v>
      </c>
      <c r="CK1" s="4840"/>
      <c r="CL1" s="4840"/>
      <c r="CM1" s="4840"/>
      <c r="CN1" s="4840"/>
      <c r="CO1" s="4840"/>
      <c r="CP1" s="4838" t="s">
        <v>1379</v>
      </c>
      <c r="CQ1" s="4838"/>
      <c r="CR1" s="4838"/>
      <c r="CS1" s="4838"/>
      <c r="CT1" s="4838"/>
      <c r="CU1" s="4838"/>
      <c r="CV1" s="4838" t="s">
        <v>1394</v>
      </c>
      <c r="CW1" s="4838"/>
      <c r="CX1" s="4838"/>
      <c r="CY1" s="4838"/>
      <c r="CZ1" s="4838"/>
      <c r="DA1" s="4838"/>
      <c r="DB1" s="4839" t="s">
        <v>1380</v>
      </c>
      <c r="DC1" s="4839"/>
      <c r="DD1" s="4839"/>
      <c r="DE1" s="4839"/>
      <c r="DF1" s="4839"/>
      <c r="DG1" s="4839"/>
      <c r="DH1" s="4840" t="s">
        <v>1382</v>
      </c>
      <c r="DI1" s="4840"/>
      <c r="DJ1" s="4840"/>
      <c r="DK1" s="4840"/>
      <c r="DL1" s="4840"/>
      <c r="DM1" s="4840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AVERAGE(B3,B21,B34,B37)</f>
        <v>0.97000000000000008</v>
      </c>
      <c r="CW2" s="1">
        <f>AVERAGE(C3,C21,C34,C37)</f>
        <v>1.1166666666666667</v>
      </c>
      <c r="CX2" s="1">
        <f>AVERAGE(D3,D21,D34,D37)</f>
        <v>1.1299999999999999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4858">
        <f>_xlfn.AGGREGATE(1,6,CJ2:CO2)</f>
        <v>1.2085416666666666</v>
      </c>
      <c r="CK3" s="4858"/>
      <c r="CL3" s="4858"/>
      <c r="CM3" s="4858"/>
      <c r="CN3" s="4858"/>
      <c r="CO3" s="4858"/>
      <c r="CP3" s="4858">
        <f t="shared" ref="CP3" si="0">_xlfn.AGGREGATE(1,6,CP2:CU2)</f>
        <v>0.84299999999999997</v>
      </c>
      <c r="CQ3" s="4858"/>
      <c r="CR3" s="4858"/>
      <c r="CS3" s="4858"/>
      <c r="CT3" s="4858"/>
      <c r="CU3" s="4858"/>
      <c r="CV3" s="4858">
        <f t="shared" ref="CV3" si="1">_xlfn.AGGREGATE(1,6,CV2:DA2)</f>
        <v>1.0722222222222222</v>
      </c>
      <c r="CW3" s="4858"/>
      <c r="CX3" s="4858"/>
      <c r="CY3" s="4858"/>
      <c r="CZ3" s="4858"/>
      <c r="DA3" s="4858"/>
      <c r="DB3" s="4858">
        <f t="shared" ref="DB3" si="2">_xlfn.AGGREGATE(1,6,DB2:DG2)</f>
        <v>1.0822222222222224</v>
      </c>
      <c r="DC3" s="4858"/>
      <c r="DD3" s="4858"/>
      <c r="DE3" s="4858"/>
      <c r="DF3" s="4858"/>
      <c r="DG3" s="4858"/>
      <c r="DH3" s="4858">
        <f t="shared" ref="DH3" si="3">_xlfn.AGGREGATE(1,6,DH2:DM2)</f>
        <v>1.0249999999999999</v>
      </c>
      <c r="DI3" s="4858"/>
      <c r="DJ3" s="4858"/>
      <c r="DK3" s="4858"/>
      <c r="DL3" s="4858"/>
      <c r="DM3" s="4858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4832" t="s">
        <v>1383</v>
      </c>
      <c r="CK4" s="4832"/>
      <c r="CL4" s="4832"/>
      <c r="CM4" s="4832"/>
      <c r="CN4" s="4832"/>
      <c r="CO4" s="4832"/>
      <c r="CP4" s="4829" t="s">
        <v>1396</v>
      </c>
      <c r="CQ4" s="4829"/>
      <c r="CR4" s="4829"/>
      <c r="CS4" s="4829"/>
      <c r="CT4" s="4829"/>
      <c r="CU4" s="4829"/>
      <c r="CV4" s="4836" t="s">
        <v>1356</v>
      </c>
      <c r="CW4" s="4836"/>
      <c r="CX4" s="4836"/>
      <c r="CY4" s="4836"/>
      <c r="CZ4" s="4836"/>
      <c r="DA4" s="4836"/>
      <c r="DB4" s="4829" t="s">
        <v>1362</v>
      </c>
      <c r="DC4" s="4829"/>
      <c r="DD4" s="4829"/>
      <c r="DE4" s="4829"/>
      <c r="DF4" s="4829"/>
      <c r="DG4" s="4829"/>
      <c r="DH4" s="4839" t="s">
        <v>1406</v>
      </c>
      <c r="DI4" s="4839"/>
      <c r="DJ4" s="4839"/>
      <c r="DK4" s="4839"/>
      <c r="DL4" s="4839"/>
      <c r="DM4" s="4839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AVERAGE(B8,B18,B38)</f>
        <v>0.71500000000000008</v>
      </c>
      <c r="CQ5" s="4150">
        <f t="shared" ref="CQ5:CU5" si="4">AVERAGE(C8,C18,C38)</f>
        <v>1.0466666666666666</v>
      </c>
      <c r="CR5" s="4150">
        <f t="shared" si="4"/>
        <v>1.1200000000000001</v>
      </c>
      <c r="CS5" s="4150" t="e">
        <f t="shared" si="4"/>
        <v>#DIV/0!</v>
      </c>
      <c r="CT5" s="4150" t="e">
        <f t="shared" si="4"/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5">AVERAGE(C16)</f>
        <v>1.64</v>
      </c>
      <c r="CX5" s="4150">
        <f t="shared" si="5"/>
        <v>1</v>
      </c>
      <c r="CY5" s="4150" t="e">
        <f t="shared" si="5"/>
        <v>#DIV/0!</v>
      </c>
      <c r="CZ5" s="4150" t="e">
        <f t="shared" si="5"/>
        <v>#DIV/0!</v>
      </c>
      <c r="DA5" s="4150">
        <f t="shared" si="5"/>
        <v>1</v>
      </c>
      <c r="DB5" s="4149">
        <f>AVERAGE(B23)</f>
        <v>1.08</v>
      </c>
      <c r="DC5" s="4150">
        <f t="shared" ref="DC5:DG5" si="6">AVERAGE(C23)</f>
        <v>1.55</v>
      </c>
      <c r="DD5" s="4150" t="e">
        <f t="shared" si="6"/>
        <v>#DIV/0!</v>
      </c>
      <c r="DE5" s="4150" t="e">
        <f t="shared" si="6"/>
        <v>#DIV/0!</v>
      </c>
      <c r="DF5" s="4150" t="e">
        <f t="shared" si="6"/>
        <v>#DIV/0!</v>
      </c>
      <c r="DG5" s="4150">
        <f t="shared" si="6"/>
        <v>0</v>
      </c>
      <c r="DH5" s="1">
        <f>AVERAGE(B13,B27,B31,B36,B39)</f>
        <v>1.2100000000000002</v>
      </c>
      <c r="DI5" s="1">
        <f t="shared" ref="DI5:DM5" si="7">AVERAGE(C13,C27,C31,C36,C39)</f>
        <v>0.63400000000000012</v>
      </c>
      <c r="DJ5" s="1">
        <f t="shared" si="7"/>
        <v>0.89600000000000013</v>
      </c>
      <c r="DK5" s="1" t="e">
        <f t="shared" si="7"/>
        <v>#DIV/0!</v>
      </c>
      <c r="DL5" s="1" t="e">
        <f t="shared" si="7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4828">
        <f>_xlfn.AGGREGATE(1,6,CJ5:CO5)</f>
        <v>1.1372222222222224</v>
      </c>
      <c r="CK6" s="4828"/>
      <c r="CL6" s="4828"/>
      <c r="CM6" s="4828"/>
      <c r="CN6" s="4828"/>
      <c r="CO6" s="4828"/>
      <c r="CP6" s="4828">
        <f t="shared" ref="CP6" si="8">_xlfn.AGGREGATE(1,6,CP5:CU5)</f>
        <v>0.96055555555555561</v>
      </c>
      <c r="CQ6" s="4828"/>
      <c r="CR6" s="4828"/>
      <c r="CS6" s="4828"/>
      <c r="CT6" s="4828"/>
      <c r="CU6" s="4828"/>
      <c r="CV6" s="4828">
        <f t="shared" ref="CV6" si="9">_xlfn.AGGREGATE(1,6,CV5:DA5)</f>
        <v>1.2549999999999999</v>
      </c>
      <c r="CW6" s="4828"/>
      <c r="CX6" s="4828"/>
      <c r="CY6" s="4828"/>
      <c r="CZ6" s="4828"/>
      <c r="DA6" s="4828"/>
      <c r="DB6" s="4828">
        <f t="shared" ref="DB6" si="10">_xlfn.AGGREGATE(1,6,DB5:DG5)</f>
        <v>0.87666666666666659</v>
      </c>
      <c r="DC6" s="4828"/>
      <c r="DD6" s="4828"/>
      <c r="DE6" s="4828"/>
      <c r="DF6" s="4828"/>
      <c r="DG6" s="4828"/>
      <c r="DH6" s="4812">
        <f>_xlfn.AGGREGATE(1,3,DH5:DJ5)</f>
        <v>0.91333333333333344</v>
      </c>
      <c r="DI6" s="4813"/>
      <c r="DJ6" s="4813"/>
      <c r="DK6" s="4813"/>
      <c r="DL6" s="4813"/>
      <c r="DM6" s="4813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1364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1365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1378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1386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1387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113" x14ac:dyDescent="0.25">
      <c r="A35" s="40" t="s">
        <v>1391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113" x14ac:dyDescent="0.25">
      <c r="A36" s="4666" t="s">
        <v>1392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113" x14ac:dyDescent="0.25">
      <c r="A37" s="4679" t="s">
        <v>1393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113" x14ac:dyDescent="0.25">
      <c r="A38" s="4692" t="s">
        <v>1395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113" x14ac:dyDescent="0.25">
      <c r="A39" s="4705" t="s">
        <v>1397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113" x14ac:dyDescent="0.25">
      <c r="B40" s="4070">
        <f t="shared" ref="B40:AG40" si="11">AVERAGE(B3:B39)</f>
        <v>1.0990322580645162</v>
      </c>
      <c r="C40" s="4470">
        <f t="shared" si="11"/>
        <v>1.0323333333333333</v>
      </c>
      <c r="D40" s="4470">
        <f t="shared" si="11"/>
        <v>1.0285</v>
      </c>
      <c r="E40" s="4470">
        <f t="shared" si="11"/>
        <v>1.19</v>
      </c>
      <c r="F40" s="4470">
        <f t="shared" si="11"/>
        <v>0.73</v>
      </c>
      <c r="G40" s="4150">
        <f>AVERAGE(G3:G39)</f>
        <v>0.83870967741935487</v>
      </c>
      <c r="H40" s="4150">
        <f t="shared" si="11"/>
        <v>1.7096774193548387</v>
      </c>
      <c r="I40" s="4150">
        <f t="shared" si="11"/>
        <v>0.77419354838709675</v>
      </c>
      <c r="J40" s="4150">
        <f t="shared" si="11"/>
        <v>0.19354838709677419</v>
      </c>
      <c r="K40" s="4150">
        <f t="shared" si="11"/>
        <v>0</v>
      </c>
      <c r="L40" s="4150">
        <f t="shared" si="11"/>
        <v>0.19354838709677419</v>
      </c>
      <c r="M40" s="4150">
        <f t="shared" si="11"/>
        <v>1.903225806451613</v>
      </c>
      <c r="N40" s="4150">
        <f t="shared" si="11"/>
        <v>0.67741935483870963</v>
      </c>
      <c r="O40" s="4150">
        <f t="shared" si="11"/>
        <v>0.22580645161290322</v>
      </c>
      <c r="P40" s="4150">
        <f t="shared" si="11"/>
        <v>6.4516129032258063E-2</v>
      </c>
      <c r="Q40" s="4150">
        <f t="shared" si="11"/>
        <v>3.2258064516129031E-2</v>
      </c>
      <c r="R40" s="4150">
        <f t="shared" si="11"/>
        <v>0</v>
      </c>
      <c r="S40" s="4150">
        <f t="shared" si="11"/>
        <v>0</v>
      </c>
      <c r="T40" s="4150">
        <f t="shared" si="11"/>
        <v>0.36666666666666664</v>
      </c>
      <c r="U40" s="4150">
        <f t="shared" si="11"/>
        <v>0.66666666666666663</v>
      </c>
      <c r="V40" s="4150">
        <f t="shared" si="11"/>
        <v>0.56666666666666665</v>
      </c>
      <c r="W40" s="4150">
        <f t="shared" si="11"/>
        <v>0.2</v>
      </c>
      <c r="X40" s="4150">
        <f t="shared" si="11"/>
        <v>0</v>
      </c>
      <c r="Y40" s="4150">
        <f t="shared" si="11"/>
        <v>0</v>
      </c>
      <c r="Z40" s="4150">
        <f t="shared" si="11"/>
        <v>2.9333333333333331</v>
      </c>
      <c r="AA40" s="4150">
        <f t="shared" si="11"/>
        <v>0.46666666666666667</v>
      </c>
      <c r="AB40" s="4150">
        <f t="shared" si="11"/>
        <v>0.3</v>
      </c>
      <c r="AC40" s="4150">
        <f t="shared" si="11"/>
        <v>6.6666666666666666E-2</v>
      </c>
      <c r="AD40" s="4150">
        <f t="shared" si="11"/>
        <v>6.6666666666666666E-2</v>
      </c>
      <c r="AE40" s="4150">
        <f t="shared" si="11"/>
        <v>0</v>
      </c>
      <c r="AF40" s="4150">
        <f t="shared" si="11"/>
        <v>0</v>
      </c>
      <c r="AG40" s="4150">
        <f t="shared" si="11"/>
        <v>0.85</v>
      </c>
      <c r="AH40" s="4150">
        <f t="shared" ref="AH40:BM40" si="12">AVERAGE(AH3:AH39)</f>
        <v>1.75</v>
      </c>
      <c r="AI40" s="4150">
        <f t="shared" si="12"/>
        <v>1</v>
      </c>
      <c r="AJ40" s="4150">
        <f t="shared" si="12"/>
        <v>0.15</v>
      </c>
      <c r="AK40" s="4150">
        <f t="shared" si="12"/>
        <v>0.05</v>
      </c>
      <c r="AL40" s="4150">
        <f t="shared" si="12"/>
        <v>0.45</v>
      </c>
      <c r="AM40" s="4150">
        <f t="shared" si="12"/>
        <v>2.5499999999999998</v>
      </c>
      <c r="AN40" s="4150">
        <f t="shared" si="12"/>
        <v>0.2</v>
      </c>
      <c r="AO40" s="4150">
        <f t="shared" si="12"/>
        <v>0.45</v>
      </c>
      <c r="AP40" s="4150">
        <f t="shared" si="12"/>
        <v>0.2</v>
      </c>
      <c r="AQ40" s="4150">
        <f t="shared" si="12"/>
        <v>0.05</v>
      </c>
      <c r="AR40" s="4150">
        <f t="shared" si="12"/>
        <v>0</v>
      </c>
      <c r="AS40" s="4150">
        <f t="shared" si="12"/>
        <v>0</v>
      </c>
      <c r="AT40" s="4150">
        <f t="shared" si="12"/>
        <v>0</v>
      </c>
      <c r="AU40" s="4150">
        <f t="shared" si="12"/>
        <v>1</v>
      </c>
      <c r="AV40" s="4150">
        <f t="shared" si="12"/>
        <v>1</v>
      </c>
      <c r="AW40" s="4150">
        <f t="shared" si="12"/>
        <v>1</v>
      </c>
      <c r="AX40" s="4150">
        <f t="shared" si="12"/>
        <v>0</v>
      </c>
      <c r="AY40" s="4150">
        <f t="shared" si="12"/>
        <v>0</v>
      </c>
      <c r="AZ40" s="4150">
        <f t="shared" si="12"/>
        <v>3</v>
      </c>
      <c r="BA40" s="4150">
        <f t="shared" si="12"/>
        <v>2</v>
      </c>
      <c r="BB40" s="4150">
        <f t="shared" si="12"/>
        <v>0</v>
      </c>
      <c r="BC40" s="4150">
        <f t="shared" si="12"/>
        <v>0</v>
      </c>
      <c r="BD40" s="4150">
        <f t="shared" si="12"/>
        <v>0</v>
      </c>
      <c r="BE40" s="4150">
        <f t="shared" si="12"/>
        <v>0</v>
      </c>
      <c r="BF40" s="4150">
        <f t="shared" si="12"/>
        <v>0</v>
      </c>
      <c r="BG40" s="4150">
        <f t="shared" si="12"/>
        <v>2</v>
      </c>
      <c r="BH40" s="4150">
        <f t="shared" si="12"/>
        <v>3</v>
      </c>
      <c r="BI40" s="4150">
        <f t="shared" si="12"/>
        <v>0</v>
      </c>
      <c r="BJ40" s="4150">
        <f t="shared" si="12"/>
        <v>0</v>
      </c>
      <c r="BK40" s="4150">
        <f t="shared" si="12"/>
        <v>0</v>
      </c>
      <c r="BL40" s="4150">
        <f t="shared" si="12"/>
        <v>0</v>
      </c>
      <c r="BM40" s="4150">
        <f t="shared" si="12"/>
        <v>3</v>
      </c>
      <c r="BN40" s="4150">
        <f t="shared" ref="BN40:BS40" si="13">AVERAGE(BN3:BN39)</f>
        <v>0</v>
      </c>
      <c r="BO40" s="4150">
        <f t="shared" si="13"/>
        <v>0</v>
      </c>
      <c r="BP40" s="4150">
        <f t="shared" si="13"/>
        <v>0</v>
      </c>
      <c r="BQ40" s="4150">
        <f t="shared" si="13"/>
        <v>0</v>
      </c>
      <c r="BR40" s="4150">
        <f t="shared" si="13"/>
        <v>0</v>
      </c>
      <c r="BS40" s="4150">
        <f t="shared" si="13"/>
        <v>0</v>
      </c>
      <c r="CK40" s="4150"/>
      <c r="CL40" s="4150"/>
      <c r="CM40" s="4150"/>
      <c r="CN40" s="4150"/>
      <c r="CO40" s="4150"/>
      <c r="CP40" s="4150"/>
      <c r="CQ40" s="4150"/>
      <c r="CR40" s="4150"/>
      <c r="CS40" s="4150"/>
      <c r="CT40" s="4150"/>
      <c r="CU40" s="4150"/>
      <c r="CV40" s="4150"/>
      <c r="CW40" s="4150"/>
      <c r="CX40" s="4150"/>
      <c r="CY40" s="4150"/>
      <c r="CZ40" s="4150"/>
      <c r="DA40" s="4150"/>
      <c r="DB40" s="4150"/>
      <c r="DC40" s="4150"/>
      <c r="DD40" s="4150"/>
      <c r="DE40" s="4150"/>
      <c r="DF40" s="4150"/>
      <c r="DG40" s="4150"/>
      <c r="DH40" s="4150"/>
      <c r="DI40" s="4150"/>
    </row>
  </sheetData>
  <mergeCells count="20">
    <mergeCell ref="DH6:DM6"/>
    <mergeCell ref="CJ6:CO6"/>
    <mergeCell ref="CP6:CU6"/>
    <mergeCell ref="CV6:DA6"/>
    <mergeCell ref="DB6:DG6"/>
    <mergeCell ref="CJ1:CO1"/>
    <mergeCell ref="CP1:CU1"/>
    <mergeCell ref="CV1:DA1"/>
    <mergeCell ref="DB1:DG1"/>
    <mergeCell ref="CP3:CU3"/>
    <mergeCell ref="CV3:DA3"/>
    <mergeCell ref="DB3:DG3"/>
    <mergeCell ref="CJ4:CO4"/>
    <mergeCell ref="CP4:CU4"/>
    <mergeCell ref="CV4:DA4"/>
    <mergeCell ref="DB4:DG4"/>
    <mergeCell ref="DH1:DM1"/>
    <mergeCell ref="CJ3:CO3"/>
    <mergeCell ref="DH3:DM3"/>
    <mergeCell ref="DH4:DM4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21"/>
  <sheetViews>
    <sheetView topLeftCell="CL1" workbookViewId="0">
      <selection activeCell="CY22" sqref="CY22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840" t="s">
        <v>1400</v>
      </c>
      <c r="CK1" s="4840"/>
      <c r="CL1" s="4840"/>
      <c r="CM1" s="4840"/>
      <c r="CN1" s="4840" t="s">
        <v>1111</v>
      </c>
      <c r="CO1" s="4840"/>
      <c r="CP1" s="4857" t="s">
        <v>1405</v>
      </c>
      <c r="CQ1" s="4838"/>
      <c r="CR1" s="4838"/>
      <c r="CS1" s="4838"/>
      <c r="CT1" s="4838" t="s">
        <v>1363</v>
      </c>
      <c r="CU1" s="4838"/>
      <c r="CV1" s="4839" t="s">
        <v>1363</v>
      </c>
      <c r="CW1" s="4839"/>
      <c r="CX1" s="4839"/>
      <c r="CY1" s="4839"/>
      <c r="CZ1" s="4839"/>
      <c r="DA1" s="4839"/>
      <c r="DB1" s="4829" t="s">
        <v>1102</v>
      </c>
      <c r="DC1" s="4829"/>
      <c r="DD1" s="4829"/>
      <c r="DE1" s="4829"/>
      <c r="DF1" s="4829" t="s">
        <v>1385</v>
      </c>
      <c r="DG1" s="4829"/>
      <c r="DH1" s="4839" t="s">
        <v>1402</v>
      </c>
      <c r="DI1" s="4839"/>
      <c r="DJ1" s="4839"/>
      <c r="DK1" s="4839"/>
      <c r="DL1" s="4839"/>
      <c r="DM1" s="4839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AVERAGE(B6,B10,B12,B15,B16)</f>
        <v>0.92333333333333334</v>
      </c>
      <c r="CK2" s="1">
        <f t="shared" ref="CK2:CN2" si="0">AVERAGE(C6,C10,C12,C15,C16)</f>
        <v>1.1599999999999999</v>
      </c>
      <c r="CL2" s="1">
        <f t="shared" si="0"/>
        <v>0.87999999999999989</v>
      </c>
      <c r="CM2" s="1" t="e">
        <f t="shared" si="0"/>
        <v>#DIV/0!</v>
      </c>
      <c r="CN2" s="1" t="e">
        <f t="shared" si="0"/>
        <v>#DIV/0!</v>
      </c>
      <c r="CO2" s="1"/>
      <c r="CP2" s="1">
        <f>AVERAGE(B3,B7,B8,B17,B20)</f>
        <v>1.2933333333333332</v>
      </c>
      <c r="CQ2" s="1">
        <f t="shared" ref="CQ2:CT2" si="1">AVERAGE(C3,C7,C8,C17,C20)</f>
        <v>1.2166666666666668</v>
      </c>
      <c r="CR2" s="1">
        <f t="shared" si="1"/>
        <v>0.98</v>
      </c>
      <c r="CS2" s="1" t="e">
        <f t="shared" si="1"/>
        <v>#DIV/0!</v>
      </c>
      <c r="CT2" s="1" t="e">
        <f t="shared" si="1"/>
        <v>#DIV/0!</v>
      </c>
      <c r="CU2" s="1"/>
      <c r="CV2" s="1">
        <f>AVERAGE(B5,B13)</f>
        <v>1.27</v>
      </c>
      <c r="CW2" s="1">
        <f t="shared" ref="CW2:CZ2" si="2">AVERAGE(C5,C13)</f>
        <v>0.98</v>
      </c>
      <c r="CX2" s="1">
        <f t="shared" si="2"/>
        <v>1.1499999999999999</v>
      </c>
      <c r="CY2" s="1" t="e">
        <f t="shared" si="2"/>
        <v>#DIV/0!</v>
      </c>
      <c r="CZ2" s="1" t="e">
        <f t="shared" si="2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AVERAGE(B11,B18)</f>
        <v>1.77</v>
      </c>
      <c r="DI2" s="1">
        <f t="shared" ref="DI2:DL2" si="3">AVERAGE(C11,C18)</f>
        <v>1.07</v>
      </c>
      <c r="DJ2" s="1">
        <f t="shared" si="3"/>
        <v>1.58</v>
      </c>
      <c r="DK2" s="1" t="e">
        <f t="shared" si="3"/>
        <v>#DIV/0!</v>
      </c>
      <c r="DL2" s="1" t="e">
        <f t="shared" si="3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4812">
        <f>_xlfn.AGGREGATE(1,6,CJ2:CO2)</f>
        <v>0.98777777777777764</v>
      </c>
      <c r="CK3" s="4812"/>
      <c r="CL3" s="4812"/>
      <c r="CM3" s="4812"/>
      <c r="CN3" s="4812"/>
      <c r="CO3" s="4812"/>
      <c r="CP3" s="4812">
        <f t="shared" ref="CP3" si="4">_xlfn.AGGREGATE(1,6,CP2:CU2)</f>
        <v>1.1633333333333333</v>
      </c>
      <c r="CQ3" s="4812"/>
      <c r="CR3" s="4812"/>
      <c r="CS3" s="4812"/>
      <c r="CT3" s="4812"/>
      <c r="CU3" s="4812"/>
      <c r="CV3" s="4812">
        <f t="shared" ref="CV3" si="5">_xlfn.AGGREGATE(1,6,CV2:DA2)</f>
        <v>1.1333333333333333</v>
      </c>
      <c r="CW3" s="4812"/>
      <c r="CX3" s="4812"/>
      <c r="CY3" s="4812"/>
      <c r="CZ3" s="4812"/>
      <c r="DA3" s="4812"/>
      <c r="DB3" s="4812" t="e">
        <f t="shared" ref="DB3" si="6">_xlfn.AGGREGATE(1,6,DB2:DG2)</f>
        <v>#DIV/0!</v>
      </c>
      <c r="DC3" s="4812"/>
      <c r="DD3" s="4812"/>
      <c r="DE3" s="4812"/>
      <c r="DF3" s="4812"/>
      <c r="DG3" s="4812"/>
      <c r="DH3" s="4812">
        <f t="shared" ref="DH3" si="7">_xlfn.AGGREGATE(1,6,DH2:DM2)</f>
        <v>1.4733333333333334</v>
      </c>
      <c r="DI3" s="4812"/>
      <c r="DJ3" s="4812"/>
      <c r="DK3" s="4812"/>
      <c r="DL3" s="4812"/>
      <c r="DM3" s="4812"/>
    </row>
    <row r="4" spans="1:117" x14ac:dyDescent="0.25">
      <c r="A4" s="4457" t="s">
        <v>1366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4829" t="s">
        <v>1403</v>
      </c>
      <c r="CK4" s="4829"/>
      <c r="CL4" s="4829"/>
      <c r="CM4" s="4829"/>
      <c r="CN4" s="4829"/>
      <c r="CO4" s="4829"/>
      <c r="CP4" s="4836" t="s">
        <v>994</v>
      </c>
      <c r="CQ4" s="4836"/>
      <c r="CR4" s="4836"/>
      <c r="CS4" s="4836"/>
      <c r="CT4" s="4836"/>
      <c r="CU4" s="4836"/>
      <c r="CV4" s="4829" t="s">
        <v>1103</v>
      </c>
      <c r="CW4" s="4829"/>
      <c r="CX4" s="4829"/>
      <c r="CY4" s="4829"/>
      <c r="CZ4" s="4829"/>
      <c r="DA4" s="4829"/>
      <c r="DB4" s="4837" t="s">
        <v>1105</v>
      </c>
      <c r="DC4" s="4837"/>
      <c r="DD4" s="4837"/>
      <c r="DE4" s="4837"/>
      <c r="DF4" s="4837"/>
      <c r="DG4" s="4837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AVERAGE(B19)</f>
        <v>0.93</v>
      </c>
      <c r="CK5" s="4653">
        <f t="shared" ref="CK5:CN5" si="8">AVERAGE(C19)</f>
        <v>0.84</v>
      </c>
      <c r="CL5" s="4653">
        <f t="shared" si="8"/>
        <v>1.27</v>
      </c>
      <c r="CM5" s="4653" t="e">
        <f t="shared" si="8"/>
        <v>#DIV/0!</v>
      </c>
      <c r="CN5" s="4653" t="e">
        <f t="shared" si="8"/>
        <v>#DIV/0!</v>
      </c>
      <c r="CO5" s="4470"/>
      <c r="CP5" s="4149" t="e">
        <f>AVERAGE(CP8)</f>
        <v>#DIV/0!</v>
      </c>
      <c r="CQ5" s="4653" t="e">
        <f t="shared" ref="CQ5:CT5" si="9">AVERAGE(CQ8)</f>
        <v>#DIV/0!</v>
      </c>
      <c r="CR5" s="4653" t="e">
        <f t="shared" si="9"/>
        <v>#DIV/0!</v>
      </c>
      <c r="CS5" s="4653" t="e">
        <f t="shared" si="9"/>
        <v>#DIV/0!</v>
      </c>
      <c r="CT5" s="4653" t="e">
        <f t="shared" si="9"/>
        <v>#DIV/0!</v>
      </c>
      <c r="CU5" s="4149"/>
      <c r="CV5" s="4149" t="e">
        <f>AVERAGE(CV8)</f>
        <v>#DIV/0!</v>
      </c>
      <c r="CW5" s="4653" t="e">
        <f t="shared" ref="CW5:CZ5" si="10">AVERAGE(CW8)</f>
        <v>#DIV/0!</v>
      </c>
      <c r="CX5" s="4653" t="e">
        <f t="shared" si="10"/>
        <v>#DIV/0!</v>
      </c>
      <c r="CY5" s="4653" t="e">
        <f t="shared" si="10"/>
        <v>#DIV/0!</v>
      </c>
      <c r="CZ5" s="4653" t="e">
        <f t="shared" si="10"/>
        <v>#DIV/0!</v>
      </c>
      <c r="DA5" s="4149"/>
      <c r="DB5" s="4149" t="e">
        <f>AVERAGE(#REF!)</f>
        <v>#REF!</v>
      </c>
      <c r="DC5" s="4149" t="e">
        <f>AVERAGE(#REF!)</f>
        <v>#REF!</v>
      </c>
      <c r="DD5" s="4149" t="e">
        <f>AVERAGE(#REF!)</f>
        <v>#REF!</v>
      </c>
      <c r="DE5" s="4149" t="e">
        <f>AVERAGE(#REF!)</f>
        <v>#REF!</v>
      </c>
      <c r="DF5" s="4149" t="e">
        <f>AVERAGE(#REF!)</f>
        <v>#REF!</v>
      </c>
      <c r="DG5" s="4149"/>
    </row>
    <row r="6" spans="1:117" x14ac:dyDescent="0.25">
      <c r="A6" s="4443" t="s">
        <v>1377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4812">
        <f>_xlfn.AGGREGATE(1,6,CJ5:CO5)</f>
        <v>1.0133333333333334</v>
      </c>
      <c r="CK6" s="4812"/>
      <c r="CL6" s="4812"/>
      <c r="CM6" s="4812"/>
      <c r="CN6" s="4812"/>
      <c r="CO6" s="4812"/>
      <c r="CP6" s="4812" t="e">
        <f>_xlfn.AGGREGATE(1,6,CP5:CU5)</f>
        <v>#DIV/0!</v>
      </c>
      <c r="CQ6" s="4812"/>
      <c r="CR6" s="4812"/>
      <c r="CS6" s="4812"/>
      <c r="CT6" s="4812"/>
      <c r="CU6" s="4812"/>
      <c r="CV6" s="4812" t="e">
        <f>_xlfn.AGGREGATE(1,6,CV5:DA5)</f>
        <v>#DIV/0!</v>
      </c>
      <c r="CW6" s="4812"/>
      <c r="CX6" s="4812"/>
      <c r="CY6" s="4812"/>
      <c r="CZ6" s="4812"/>
      <c r="DA6" s="4812"/>
      <c r="DB6" s="4812" t="e">
        <f>_xlfn.AGGREGATE(1,6,DB5:DG5)</f>
        <v>#DIV/0!</v>
      </c>
      <c r="DC6" s="4812"/>
      <c r="DD6" s="4812"/>
      <c r="DE6" s="4812"/>
      <c r="DF6" s="4812"/>
      <c r="DG6" s="4812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1378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1384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1388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1391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1398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1399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0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0" x14ac:dyDescent="0.25">
      <c r="A18" s="4769" t="s">
        <v>1401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0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0" x14ac:dyDescent="0.25">
      <c r="A20" s="4795" t="s">
        <v>1404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0" x14ac:dyDescent="0.25">
      <c r="B21">
        <f>AVERAGE(B3:B20)</f>
        <v>1.0506666666666669</v>
      </c>
      <c r="C21" s="4469">
        <f t="shared" ref="C21:BN21" si="11">AVERAGE(C3:C20)</f>
        <v>1.0093333333333334</v>
      </c>
      <c r="D21" s="4469">
        <f t="shared" si="11"/>
        <v>1.0585714285714285</v>
      </c>
      <c r="E21" s="4653"/>
      <c r="F21" s="4653"/>
      <c r="G21" s="4653">
        <f t="shared" si="11"/>
        <v>1.3333333333333333</v>
      </c>
      <c r="H21" s="4653">
        <f t="shared" si="11"/>
        <v>1.7333333333333334</v>
      </c>
      <c r="I21" s="4653">
        <f t="shared" si="11"/>
        <v>0.93333333333333335</v>
      </c>
      <c r="J21" s="4653">
        <f t="shared" si="11"/>
        <v>0</v>
      </c>
      <c r="K21" s="4653">
        <f t="shared" si="11"/>
        <v>0.13333333333333333</v>
      </c>
      <c r="L21" s="4653">
        <f t="shared" si="11"/>
        <v>0.2</v>
      </c>
      <c r="M21" s="4653">
        <f t="shared" si="11"/>
        <v>2.5333333333333332</v>
      </c>
      <c r="N21" s="4653">
        <f t="shared" si="11"/>
        <v>0.53333333333333333</v>
      </c>
      <c r="O21" s="4653">
        <f t="shared" si="11"/>
        <v>0.4</v>
      </c>
      <c r="P21" s="4653">
        <f t="shared" si="11"/>
        <v>6.6666666666666666E-2</v>
      </c>
      <c r="Q21" s="4653">
        <f t="shared" si="11"/>
        <v>6.6666666666666666E-2</v>
      </c>
      <c r="R21" s="4653">
        <f t="shared" si="11"/>
        <v>0</v>
      </c>
      <c r="S21" s="4653">
        <f t="shared" si="11"/>
        <v>0</v>
      </c>
      <c r="T21" s="4653">
        <f t="shared" si="11"/>
        <v>0.46666666666666667</v>
      </c>
      <c r="U21" s="4653">
        <f t="shared" si="11"/>
        <v>0.8666666666666667</v>
      </c>
      <c r="V21" s="4653">
        <f t="shared" si="11"/>
        <v>0.33333333333333331</v>
      </c>
      <c r="W21" s="4653">
        <f t="shared" si="11"/>
        <v>0.33333333333333331</v>
      </c>
      <c r="X21" s="4653">
        <f t="shared" si="11"/>
        <v>0</v>
      </c>
      <c r="Y21" s="4653">
        <f t="shared" si="11"/>
        <v>6.6666666666666666E-2</v>
      </c>
      <c r="Z21" s="4653">
        <f t="shared" si="11"/>
        <v>2.9333333333333331</v>
      </c>
      <c r="AA21" s="4653">
        <f t="shared" si="11"/>
        <v>0.6</v>
      </c>
      <c r="AB21" s="4653">
        <f t="shared" si="11"/>
        <v>0.13333333333333333</v>
      </c>
      <c r="AC21" s="4653">
        <f t="shared" si="11"/>
        <v>0.26666666666666666</v>
      </c>
      <c r="AD21" s="4653">
        <f t="shared" si="11"/>
        <v>0</v>
      </c>
      <c r="AE21" s="4653">
        <f t="shared" si="11"/>
        <v>0</v>
      </c>
      <c r="AF21" s="4653">
        <f t="shared" si="11"/>
        <v>0</v>
      </c>
      <c r="AG21" s="4653">
        <f t="shared" si="11"/>
        <v>0.7857142857142857</v>
      </c>
      <c r="AH21" s="4653">
        <f t="shared" si="11"/>
        <v>1.7857142857142858</v>
      </c>
      <c r="AI21" s="4653">
        <f t="shared" si="11"/>
        <v>0.5714285714285714</v>
      </c>
      <c r="AJ21" s="4653">
        <f t="shared" si="11"/>
        <v>0.21428571428571427</v>
      </c>
      <c r="AK21" s="4653">
        <f t="shared" si="11"/>
        <v>0</v>
      </c>
      <c r="AL21" s="4653">
        <f t="shared" si="11"/>
        <v>0.2857142857142857</v>
      </c>
      <c r="AM21" s="4653">
        <f t="shared" si="11"/>
        <v>3</v>
      </c>
      <c r="AN21" s="4653">
        <f t="shared" si="11"/>
        <v>0.9285714285714286</v>
      </c>
      <c r="AO21" s="4653">
        <f t="shared" si="11"/>
        <v>0.21428571428571427</v>
      </c>
      <c r="AP21" s="4653">
        <f t="shared" si="11"/>
        <v>0.21428571428571427</v>
      </c>
      <c r="AQ21" s="4653">
        <f t="shared" si="11"/>
        <v>0</v>
      </c>
      <c r="AR21" s="4653">
        <f t="shared" si="11"/>
        <v>0</v>
      </c>
      <c r="AS21" s="4653">
        <f t="shared" si="11"/>
        <v>0</v>
      </c>
      <c r="AT21" s="4653" t="e">
        <f t="shared" si="11"/>
        <v>#DIV/0!</v>
      </c>
      <c r="AU21" s="4653" t="e">
        <f t="shared" si="11"/>
        <v>#DIV/0!</v>
      </c>
      <c r="AV21" s="4653" t="e">
        <f t="shared" si="11"/>
        <v>#DIV/0!</v>
      </c>
      <c r="AW21" s="4653" t="e">
        <f t="shared" si="11"/>
        <v>#DIV/0!</v>
      </c>
      <c r="AX21" s="4653" t="e">
        <f t="shared" si="11"/>
        <v>#DIV/0!</v>
      </c>
      <c r="AY21" s="4653" t="e">
        <f t="shared" si="11"/>
        <v>#DIV/0!</v>
      </c>
      <c r="AZ21" s="4653" t="e">
        <f t="shared" si="11"/>
        <v>#DIV/0!</v>
      </c>
      <c r="BA21" s="4653" t="e">
        <f t="shared" si="11"/>
        <v>#DIV/0!</v>
      </c>
      <c r="BB21" s="4653" t="e">
        <f t="shared" si="11"/>
        <v>#DIV/0!</v>
      </c>
      <c r="BC21" s="4653" t="e">
        <f t="shared" si="11"/>
        <v>#DIV/0!</v>
      </c>
      <c r="BD21" s="4653" t="e">
        <f t="shared" si="11"/>
        <v>#DIV/0!</v>
      </c>
      <c r="BE21" s="4653" t="e">
        <f t="shared" si="11"/>
        <v>#DIV/0!</v>
      </c>
      <c r="BF21" s="4653" t="e">
        <f t="shared" si="11"/>
        <v>#DIV/0!</v>
      </c>
      <c r="BG21" s="4653" t="e">
        <f t="shared" si="11"/>
        <v>#DIV/0!</v>
      </c>
      <c r="BH21" s="4653" t="e">
        <f t="shared" si="11"/>
        <v>#DIV/0!</v>
      </c>
      <c r="BI21" s="4653" t="e">
        <f t="shared" si="11"/>
        <v>#DIV/0!</v>
      </c>
      <c r="BJ21" s="4653" t="e">
        <f t="shared" si="11"/>
        <v>#DIV/0!</v>
      </c>
      <c r="BK21" s="4653" t="e">
        <f t="shared" si="11"/>
        <v>#DIV/0!</v>
      </c>
      <c r="BL21" s="4653" t="e">
        <f t="shared" si="11"/>
        <v>#DIV/0!</v>
      </c>
      <c r="BM21" s="4653" t="e">
        <f t="shared" si="11"/>
        <v>#DIV/0!</v>
      </c>
      <c r="BN21" s="4653" t="e">
        <f t="shared" si="11"/>
        <v>#DIV/0!</v>
      </c>
      <c r="BO21" s="4653" t="e">
        <f t="shared" ref="BO21:CB21" si="12">AVERAGE(BO3:BO20)</f>
        <v>#DIV/0!</v>
      </c>
      <c r="BP21" s="4653" t="e">
        <f t="shared" si="12"/>
        <v>#DIV/0!</v>
      </c>
      <c r="BQ21" s="4653" t="e">
        <f t="shared" si="12"/>
        <v>#DIV/0!</v>
      </c>
      <c r="BR21" s="4653" t="e">
        <f t="shared" si="12"/>
        <v>#DIV/0!</v>
      </c>
      <c r="BS21" s="4653" t="e">
        <f t="shared" si="12"/>
        <v>#DIV/0!</v>
      </c>
      <c r="BT21" s="4653" t="e">
        <f t="shared" si="12"/>
        <v>#DIV/0!</v>
      </c>
      <c r="BU21" s="4653" t="e">
        <f t="shared" si="12"/>
        <v>#DIV/0!</v>
      </c>
      <c r="BV21" s="4653" t="e">
        <f t="shared" si="12"/>
        <v>#DIV/0!</v>
      </c>
      <c r="BW21" s="4653" t="e">
        <f t="shared" si="12"/>
        <v>#DIV/0!</v>
      </c>
      <c r="BX21" s="4653" t="e">
        <f t="shared" si="12"/>
        <v>#DIV/0!</v>
      </c>
      <c r="BY21" s="4653" t="e">
        <f t="shared" si="12"/>
        <v>#DIV/0!</v>
      </c>
      <c r="BZ21" s="4653" t="e">
        <f t="shared" si="12"/>
        <v>#DIV/0!</v>
      </c>
      <c r="CA21" s="4653" t="e">
        <f t="shared" si="12"/>
        <v>#DIV/0!</v>
      </c>
      <c r="CB21" s="4653" t="e">
        <f t="shared" si="12"/>
        <v>#DIV/0!</v>
      </c>
    </row>
  </sheetData>
  <mergeCells count="18">
    <mergeCell ref="CJ6:CO6"/>
    <mergeCell ref="CP6:CU6"/>
    <mergeCell ref="CV6:DA6"/>
    <mergeCell ref="DB6:DG6"/>
    <mergeCell ref="CJ1:CO1"/>
    <mergeCell ref="CP1:CU1"/>
    <mergeCell ref="CV1:DA1"/>
    <mergeCell ref="DB1:DG1"/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4840" t="s">
        <v>1100</v>
      </c>
      <c r="CM1" s="4840"/>
      <c r="CN1" s="4840"/>
      <c r="CO1" s="4840"/>
      <c r="CP1" s="4840"/>
      <c r="CQ1" s="4840"/>
      <c r="CR1" s="4857" t="s">
        <v>1343</v>
      </c>
      <c r="CS1" s="4838"/>
      <c r="CT1" s="4838"/>
      <c r="CU1" s="4838"/>
      <c r="CV1" s="4838"/>
      <c r="CW1" s="4838"/>
      <c r="CX1" s="4839" t="s">
        <v>1101</v>
      </c>
      <c r="CY1" s="4839"/>
      <c r="CZ1" s="4839"/>
      <c r="DA1" s="4839"/>
      <c r="DB1" s="4839"/>
      <c r="DC1" s="4839"/>
      <c r="DD1" s="4829" t="s">
        <v>1102</v>
      </c>
      <c r="DE1" s="4829"/>
      <c r="DF1" s="4829"/>
      <c r="DG1" s="4829"/>
      <c r="DH1" s="4829"/>
      <c r="DI1" s="4829"/>
      <c r="DJ1" s="4839" t="s">
        <v>1104</v>
      </c>
      <c r="DK1" s="4839"/>
      <c r="DL1" s="4839"/>
      <c r="DM1" s="4839"/>
      <c r="DN1" s="4839"/>
      <c r="DO1" s="4839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4812" t="e">
        <f>_xlfn.AGGREGATE(1,6,CL2:CQ2)</f>
        <v>#DIV/0!</v>
      </c>
      <c r="CM3" s="4812"/>
      <c r="CN3" s="4812"/>
      <c r="CO3" s="4812"/>
      <c r="CP3" s="4812"/>
      <c r="CQ3" s="4812"/>
      <c r="CR3" s="4812" t="e">
        <f t="shared" ref="CR3" si="1">_xlfn.AGGREGATE(1,6,CR2:CW2)</f>
        <v>#DIV/0!</v>
      </c>
      <c r="CS3" s="4812"/>
      <c r="CT3" s="4812"/>
      <c r="CU3" s="4812"/>
      <c r="CV3" s="4812"/>
      <c r="CW3" s="4812"/>
      <c r="CX3" s="4812" t="e">
        <f t="shared" ref="CX3" si="2">_xlfn.AGGREGATE(1,6,CX2:DC2)</f>
        <v>#DIV/0!</v>
      </c>
      <c r="CY3" s="4812"/>
      <c r="CZ3" s="4812"/>
      <c r="DA3" s="4812"/>
      <c r="DB3" s="4812"/>
      <c r="DC3" s="4812"/>
      <c r="DD3" s="4812" t="e">
        <f t="shared" ref="DD3" si="3">_xlfn.AGGREGATE(1,6,DD2:DI2)</f>
        <v>#DIV/0!</v>
      </c>
      <c r="DE3" s="4812"/>
      <c r="DF3" s="4812"/>
      <c r="DG3" s="4812"/>
      <c r="DH3" s="4812"/>
      <c r="DI3" s="4812"/>
      <c r="DJ3" s="4812" t="e">
        <f t="shared" ref="DJ3" si="4">_xlfn.AGGREGATE(1,6,DJ2:DO2)</f>
        <v>#DIV/0!</v>
      </c>
      <c r="DK3" s="4812"/>
      <c r="DL3" s="4812"/>
      <c r="DM3" s="4812"/>
      <c r="DN3" s="4812"/>
      <c r="DO3" s="4812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4829" t="s">
        <v>1099</v>
      </c>
      <c r="CM4" s="4829"/>
      <c r="CN4" s="4829"/>
      <c r="CO4" s="4829"/>
      <c r="CP4" s="4829"/>
      <c r="CQ4" s="4829"/>
      <c r="CR4" s="4836" t="s">
        <v>994</v>
      </c>
      <c r="CS4" s="4836"/>
      <c r="CT4" s="4836"/>
      <c r="CU4" s="4836"/>
      <c r="CV4" s="4836"/>
      <c r="CW4" s="4836"/>
      <c r="CX4" s="4829" t="s">
        <v>1103</v>
      </c>
      <c r="CY4" s="4829"/>
      <c r="CZ4" s="4829"/>
      <c r="DA4" s="4829"/>
      <c r="DB4" s="4829"/>
      <c r="DC4" s="4829"/>
      <c r="DD4" s="4837" t="s">
        <v>1105</v>
      </c>
      <c r="DE4" s="4836"/>
      <c r="DF4" s="4836"/>
      <c r="DG4" s="4836"/>
      <c r="DH4" s="4836"/>
      <c r="DI4" s="4836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DJ3:DO3"/>
    <mergeCell ref="CL1:CQ1"/>
    <mergeCell ref="CR1:CW1"/>
    <mergeCell ref="CX1:DC1"/>
    <mergeCell ref="DD1:DI1"/>
    <mergeCell ref="DJ1:DO1"/>
    <mergeCell ref="CL4:CQ4"/>
    <mergeCell ref="CR4:CW4"/>
    <mergeCell ref="CX4:DC4"/>
    <mergeCell ref="DD4:DI4"/>
    <mergeCell ref="CL3:CQ3"/>
    <mergeCell ref="CR3:CW3"/>
    <mergeCell ref="CX3:DC3"/>
    <mergeCell ref="DD3:D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6"/>
  <sheetViews>
    <sheetView workbookViewId="0">
      <selection activeCell="U14" sqref="U14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4832" t="s">
        <v>1374</v>
      </c>
      <c r="I3" s="4832"/>
      <c r="J3" s="4832"/>
      <c r="K3" s="4832"/>
      <c r="L3" s="4830" t="s">
        <v>1373</v>
      </c>
      <c r="M3" s="4830"/>
      <c r="N3" s="4830"/>
      <c r="O3" s="4830"/>
      <c r="P3" s="4837" t="s">
        <v>1371</v>
      </c>
      <c r="Q3" s="4837"/>
      <c r="R3" s="4837"/>
      <c r="S3" s="4837"/>
      <c r="T3" s="4829" t="s">
        <v>1390</v>
      </c>
      <c r="U3" s="4829"/>
      <c r="V3" s="4829"/>
      <c r="W3" s="4829"/>
      <c r="X3" s="4829" t="s">
        <v>1376</v>
      </c>
      <c r="Y3" s="4829"/>
      <c r="Z3" s="4829"/>
      <c r="AA3" s="4829"/>
      <c r="AB3" s="4831" t="s">
        <v>1368</v>
      </c>
      <c r="AC3" s="4831"/>
      <c r="AD3" s="4831"/>
      <c r="AE3" s="4831"/>
      <c r="AF3" s="4831" t="s">
        <v>1375</v>
      </c>
      <c r="AG3" s="4831"/>
      <c r="AH3" s="4831"/>
      <c r="AI3" s="4831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AVERAGE(B11,B12)</f>
        <v>1.37</v>
      </c>
      <c r="M4" s="1">
        <f t="shared" ref="M4:O4" si="1">AVERAGE(C11,C12)</f>
        <v>1.23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AVERAGE(B9,B15)</f>
        <v>1.07</v>
      </c>
      <c r="U4" s="1">
        <f t="shared" ref="U4:W4" si="3">AVERAGE(C9,C15)</f>
        <v>0.87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4828" t="e">
        <f>AVERAGE(H4:K4)</f>
        <v>#DIV/0!</v>
      </c>
      <c r="I5" s="4828"/>
      <c r="J5" s="4828"/>
      <c r="K5" s="4828"/>
      <c r="L5" s="4828" t="e">
        <f>AVERAGE(L4:O4)</f>
        <v>#DIV/0!</v>
      </c>
      <c r="M5" s="4828"/>
      <c r="N5" s="4828"/>
      <c r="O5" s="4828"/>
      <c r="P5" s="4828" t="e">
        <f>AVERAGE(P4:S4)</f>
        <v>#DIV/0!</v>
      </c>
      <c r="Q5" s="4828"/>
      <c r="R5" s="4828"/>
      <c r="S5" s="4828"/>
      <c r="T5" s="4828" t="e">
        <f>AVERAGE(T4:W4)</f>
        <v>#DIV/0!</v>
      </c>
      <c r="U5" s="4828"/>
      <c r="V5" s="4828"/>
      <c r="W5" s="4828"/>
      <c r="X5" s="4828" t="e">
        <f>AVERAGE(X4:AA4)</f>
        <v>#DIV/0!</v>
      </c>
      <c r="Y5" s="4828"/>
      <c r="Z5" s="4828"/>
      <c r="AA5" s="4828"/>
      <c r="AB5" s="4828" t="e">
        <f t="shared" ref="AB5" si="6">AVERAGE(AB4:AE4)</f>
        <v>#DIV/0!</v>
      </c>
      <c r="AC5" s="4828"/>
      <c r="AD5" s="4828"/>
      <c r="AE5" s="4828"/>
      <c r="AF5" s="4828" t="e">
        <f>AVERAGE(AF4:AI4)</f>
        <v>#DIV/0!</v>
      </c>
      <c r="AG5" s="4828"/>
      <c r="AH5" s="4828"/>
      <c r="AI5" s="4828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1366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1367</v>
      </c>
      <c r="B7">
        <v>1.33</v>
      </c>
      <c r="C7">
        <v>0.65</v>
      </c>
    </row>
    <row r="8" spans="1:85" x14ac:dyDescent="0.25">
      <c r="A8" s="4412" t="s">
        <v>1369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1370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1372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1378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1389</v>
      </c>
      <c r="B15">
        <v>1.28</v>
      </c>
      <c r="C15">
        <v>0.79</v>
      </c>
    </row>
    <row r="16" spans="1:85" x14ac:dyDescent="0.25">
      <c r="B16">
        <f>AVERAGE(B3:B15)</f>
        <v>1.0499999999999998</v>
      </c>
      <c r="C16" s="4150">
        <f t="shared" ref="C16:E16" si="7">AVERAGE(C3:C15)</f>
        <v>1.0455555555555556</v>
      </c>
      <c r="D16" s="4150" t="e">
        <f t="shared" si="7"/>
        <v>#DIV/0!</v>
      </c>
      <c r="E16" s="4150">
        <f t="shared" si="7"/>
        <v>1.35</v>
      </c>
    </row>
  </sheetData>
  <mergeCells count="14">
    <mergeCell ref="L5:O5"/>
    <mergeCell ref="H5:K5"/>
    <mergeCell ref="T5:W5"/>
    <mergeCell ref="X5:AA5"/>
    <mergeCell ref="H3:K3"/>
    <mergeCell ref="L3:O3"/>
    <mergeCell ref="P3:S3"/>
    <mergeCell ref="T3:W3"/>
    <mergeCell ref="X3:AA3"/>
    <mergeCell ref="AB3:AE3"/>
    <mergeCell ref="AB5:AE5"/>
    <mergeCell ref="AF5:AI5"/>
    <mergeCell ref="AF3:AI3"/>
    <mergeCell ref="P5:S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2026-03-07T20:20:50Z</dcterms:modified>
</cp:coreProperties>
</file>