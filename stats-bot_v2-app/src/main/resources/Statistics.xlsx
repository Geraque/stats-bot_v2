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27CA41CC-31B1-48FC-9798-C8E18797FD81}" xr6:coauthVersionLast="45" xr6:coauthVersionMax="47" xr10:uidLastSave="{00000000-0000-0000-0000-000000000000}"/>
  <bookViews>
    <workbookView xWindow="-120" yWindow="-120" windowWidth="29040" windowHeight="15720" firstSheet="3" activeTab="11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CQ2" i="13"/>
  <c r="CR2" i="13"/>
  <c r="CS2" i="13"/>
  <c r="CP2" i="13"/>
  <c r="CW2" i="13"/>
  <c r="CX2" i="13"/>
  <c r="CY2" i="13"/>
  <c r="CV2" i="13"/>
  <c r="DC5" i="13"/>
  <c r="DD5" i="13"/>
  <c r="DE5" i="13"/>
  <c r="DB5" i="13"/>
  <c r="DC2" i="13"/>
  <c r="DD2" i="13"/>
  <c r="DE2" i="13"/>
  <c r="DB2" i="13"/>
  <c r="DH2" i="13"/>
  <c r="DO5" i="13"/>
  <c r="DP5" i="13"/>
  <c r="DQ5" i="13"/>
  <c r="DN5" i="13"/>
  <c r="F111" i="13"/>
  <c r="CK5" i="14"/>
  <c r="CL5" i="14"/>
  <c r="CM5" i="14"/>
  <c r="CN5" i="14"/>
  <c r="CO5" i="14"/>
  <c r="CJ5" i="14"/>
  <c r="CK2" i="14"/>
  <c r="CL2" i="14"/>
  <c r="CM2" i="14"/>
  <c r="CN2" i="14"/>
  <c r="CO2" i="14"/>
  <c r="CJ2" i="14"/>
  <c r="DB2" i="14" l="1"/>
  <c r="DC2" i="14"/>
  <c r="DD2" i="14"/>
  <c r="DE2" i="14"/>
  <c r="DF2" i="14"/>
  <c r="DG2" i="14"/>
  <c r="AN5" i="12" l="1"/>
  <c r="AJ5" i="12"/>
  <c r="AF5" i="12"/>
  <c r="AB5" i="12"/>
  <c r="X5" i="12"/>
  <c r="T5" i="12"/>
  <c r="P5" i="12"/>
  <c r="L5" i="12"/>
  <c r="H5" i="12"/>
  <c r="DB3" i="14"/>
  <c r="DI2" i="13" l="1"/>
  <c r="DJ2" i="13"/>
  <c r="DK2" i="13"/>
  <c r="CJ5" i="13"/>
  <c r="CJ2" i="13"/>
  <c r="CK2" i="13"/>
  <c r="CL2" i="13"/>
  <c r="CM2" i="13"/>
  <c r="DI2" i="14" l="1"/>
  <c r="DJ2" i="14"/>
  <c r="DK2" i="14"/>
  <c r="DL2" i="14"/>
  <c r="DM2" i="14"/>
  <c r="CK5" i="13" l="1"/>
  <c r="CL5" i="13"/>
  <c r="CM5" i="13"/>
  <c r="EG2" i="14"/>
  <c r="EH2" i="14"/>
  <c r="EI2" i="14"/>
  <c r="EJ2" i="14"/>
  <c r="EK2" i="14"/>
  <c r="EF2" i="14"/>
  <c r="EA5" i="14"/>
  <c r="EB5" i="14"/>
  <c r="EC5" i="14"/>
  <c r="ED5" i="14"/>
  <c r="EE5" i="14"/>
  <c r="DZ5" i="14"/>
  <c r="DZ6" i="14" s="1"/>
  <c r="CP5" i="13"/>
  <c r="AO4" i="12"/>
  <c r="AP4" i="12"/>
  <c r="AQ4" i="12"/>
  <c r="AN4" i="12"/>
  <c r="EF3" i="14" l="1"/>
  <c r="DC5" i="14"/>
  <c r="DD5" i="14"/>
  <c r="DE5" i="14"/>
  <c r="DF5" i="14"/>
  <c r="DG5" i="14"/>
  <c r="DB5" i="14"/>
  <c r="DB6" i="14" s="1"/>
  <c r="DO5" i="14"/>
  <c r="DP5" i="14"/>
  <c r="DQ5" i="14"/>
  <c r="DR5" i="14"/>
  <c r="DS5" i="14"/>
  <c r="DN5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Z3" i="14" s="1"/>
  <c r="DU2" i="14"/>
  <c r="DV2" i="14"/>
  <c r="DW2" i="14"/>
  <c r="DX2" i="14"/>
  <c r="DY2" i="14"/>
  <c r="DT2" i="14"/>
  <c r="DT3" i="14" s="1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6" i="14" s="1"/>
  <c r="DH2" i="14"/>
  <c r="DH3" i="14" s="1"/>
  <c r="CW5" i="14"/>
  <c r="CX5" i="14"/>
  <c r="CY5" i="14"/>
  <c r="CZ5" i="14"/>
  <c r="DA5" i="14"/>
  <c r="CV5" i="14"/>
  <c r="CW2" i="14"/>
  <c r="CX2" i="14"/>
  <c r="CY2" i="14"/>
  <c r="CZ2" i="14"/>
  <c r="DA2" i="14"/>
  <c r="CV2" i="14"/>
  <c r="CV3" i="14" s="1"/>
  <c r="CQ2" i="14"/>
  <c r="CR2" i="14"/>
  <c r="CS2" i="14"/>
  <c r="CT2" i="14"/>
  <c r="CU2" i="14"/>
  <c r="CP2" i="14"/>
  <c r="CP3" i="14" s="1"/>
  <c r="CQ5" i="14"/>
  <c r="CR5" i="14"/>
  <c r="CS5" i="14"/>
  <c r="CT5" i="14"/>
  <c r="CU5" i="14"/>
  <c r="CP5" i="14"/>
  <c r="DT6" i="14" l="1"/>
  <c r="CV6" i="14"/>
  <c r="CP6" i="14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CG318" i="14"/>
  <c r="CF318" i="14"/>
  <c r="CE318" i="14"/>
  <c r="CD318" i="14"/>
  <c r="CC318" i="14"/>
  <c r="CB318" i="14"/>
  <c r="CA318" i="14"/>
  <c r="BZ318" i="14"/>
  <c r="BY318" i="14"/>
  <c r="BX318" i="14"/>
  <c r="BW318" i="14"/>
  <c r="BV318" i="14"/>
  <c r="BU318" i="14"/>
  <c r="BT318" i="14"/>
  <c r="BS318" i="14"/>
  <c r="BR318" i="14"/>
  <c r="BQ318" i="14"/>
  <c r="BP318" i="14"/>
  <c r="BO318" i="14"/>
  <c r="BN318" i="14"/>
  <c r="BM318" i="14"/>
  <c r="BL318" i="14"/>
  <c r="BK318" i="14"/>
  <c r="BJ318" i="14"/>
  <c r="BI318" i="14"/>
  <c r="BH318" i="14"/>
  <c r="BG318" i="14"/>
  <c r="BF318" i="14"/>
  <c r="BE318" i="14"/>
  <c r="BD318" i="14"/>
  <c r="BC318" i="14"/>
  <c r="BB318" i="14"/>
  <c r="BA318" i="14"/>
  <c r="AZ318" i="14"/>
  <c r="AY318" i="14"/>
  <c r="AX318" i="14"/>
  <c r="AW318" i="14"/>
  <c r="AV318" i="14"/>
  <c r="AU318" i="14"/>
  <c r="AT318" i="14"/>
  <c r="AS318" i="14"/>
  <c r="AR318" i="14"/>
  <c r="AQ318" i="14"/>
  <c r="AP318" i="14"/>
  <c r="AO318" i="14"/>
  <c r="AN318" i="14"/>
  <c r="AM318" i="14"/>
  <c r="AL318" i="14"/>
  <c r="AK318" i="14"/>
  <c r="AJ318" i="14"/>
  <c r="AI318" i="14"/>
  <c r="AH318" i="14"/>
  <c r="AG318" i="14"/>
  <c r="AF318" i="14"/>
  <c r="AE318" i="14"/>
  <c r="AD318" i="14"/>
  <c r="AC318" i="14"/>
  <c r="AB318" i="14"/>
  <c r="AA318" i="14"/>
  <c r="Z318" i="14"/>
  <c r="Y318" i="14"/>
  <c r="X318" i="14"/>
  <c r="W318" i="14"/>
  <c r="V318" i="14"/>
  <c r="U318" i="14"/>
  <c r="T318" i="14"/>
  <c r="S318" i="14"/>
  <c r="R318" i="14"/>
  <c r="Q318" i="14"/>
  <c r="P318" i="14"/>
  <c r="O318" i="14"/>
  <c r="N318" i="14"/>
  <c r="M318" i="14"/>
  <c r="L318" i="14"/>
  <c r="K318" i="14"/>
  <c r="J318" i="14"/>
  <c r="I318" i="14"/>
  <c r="H318" i="14"/>
  <c r="G318" i="14"/>
  <c r="F318" i="14"/>
  <c r="E318" i="14"/>
  <c r="D318" i="14"/>
  <c r="C318" i="14"/>
  <c r="B318" i="14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E111" i="13"/>
  <c r="D111" i="13"/>
  <c r="C111" i="13"/>
  <c r="B111" i="13"/>
  <c r="E253" i="12"/>
  <c r="D253" i="12"/>
  <c r="C253" i="12"/>
  <c r="B253" i="12"/>
</calcChain>
</file>

<file path=xl/sharedStrings.xml><?xml version="1.0" encoding="utf-8"?>
<sst xmlns="http://schemas.openxmlformats.org/spreadsheetml/2006/main" count="2480" uniqueCount="1316">
  <si>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</si>
  <si>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</si>
  <si>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</si>
  <si>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</si>
  <si>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</si>
  <si>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</si>
  <si>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</si>
  <si>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</si>
  <si>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</si>
  <si>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</si>
  <si>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</si>
  <si>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</si>
  <si>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</si>
  <si>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</si>
  <si>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</si>
  <si>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</si>
  <si>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</si>
  <si>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</si>
  <si>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</si>
  <si>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</si>
  <si>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</si>
  <si>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</si>
  <si>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</si>
  <si>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</si>
  <si>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</si>
  <si>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</si>
  <si>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</si>
  <si>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</si>
  <si>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</si>
  <si>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</si>
  <si>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</si>
  <si>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</si>
  <si>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</si>
  <si>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</si>
  <si>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</si>
  <si>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</si>
  <si>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</si>
  <si>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</si>
  <si>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</si>
  <si>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</si>
  <si>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</si>
  <si>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</si>
  <si>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</si>
  <si>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</si>
  <si>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</si>
  <si>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</si>
  <si>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</si>
  <si>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</si>
  <si>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</si>
  <si>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</si>
  <si>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</si>
  <si>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</si>
  <si>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</si>
  <si>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</si>
  <si>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</si>
  <si>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</si>
  <si>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</si>
  <si>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</si>
  <si>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</si>
  <si>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</si>
  <si>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</si>
  <si>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</si>
  <si>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</si>
  <si>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</si>
  <si>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</si>
  <si>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</si>
  <si>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</si>
  <si>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</si>
  <si>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</si>
  <si>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</si>
  <si>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</si>
  <si>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</si>
  <si>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</si>
  <si>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</si>
  <si>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</si>
  <si>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</si>
  <si>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</si>
  <si>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</si>
  <si>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</si>
  <si>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</si>
  <si>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</si>
  <si>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</si>
  <si>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</si>
  <si>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</si>
  <si>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</si>
  <si>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</si>
  <si>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</si>
  <si>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</si>
  <si>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</si>
  <si>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</si>
  <si>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</si>
  <si>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</si>
  <si>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</si>
  <si>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</si>
  <si>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</si>
  <si>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</si>
  <si>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</si>
  <si>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</si>
  <si>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</si>
  <si>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</si>
  <si>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</si>
  <si>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</si>
  <si>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</si>
  <si>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</si>
  <si>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</si>
  <si>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</si>
  <si>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</si>
  <si>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</si>
  <si>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</si>
  <si>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</si>
  <si>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</si>
  <si>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</si>
  <si>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</si>
  <si>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</si>
  <si>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</si>
  <si>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</si>
  <si>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</si>
  <si>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</si>
  <si>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</si>
  <si>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</si>
  <si>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</si>
  <si>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</si>
  <si>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</si>
  <si>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</si>
  <si>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</si>
  <si>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</si>
  <si>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</si>
  <si>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</si>
  <si>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</si>
  <si>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</si>
  <si>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</si>
  <si>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</si>
  <si>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</si>
  <si>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</si>
  <si>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</si>
  <si>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</si>
  <si>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</si>
  <si>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</si>
  <si>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</si>
  <si>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</si>
  <si>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</si>
  <si>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</si>
  <si>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</si>
  <si>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</si>
  <si>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</si>
  <si>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</si>
  <si>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</si>
  <si>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</si>
  <si>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</si>
  <si>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</si>
  <si>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</si>
  <si>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</si>
  <si>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</si>
  <si>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</si>
  <si>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</si>
  <si>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</si>
  <si>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</si>
  <si>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</si>
  <si>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</si>
  <si>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</si>
  <si>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</si>
  <si>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</si>
  <si>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</si>
  <si>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</si>
  <si>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</si>
  <si>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</si>
  <si>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</si>
  <si>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</si>
  <si>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</si>
  <si>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</si>
  <si>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</si>
  <si>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</si>
  <si>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</si>
  <si>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</si>
  <si>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</si>
  <si>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</si>
  <si>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</si>
  <si>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</si>
  <si>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</si>
  <si>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</si>
  <si>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</si>
  <si>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</si>
  <si>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</si>
  <si>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</si>
  <si>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</si>
  <si>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</si>
  <si>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</si>
  <si>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</si>
  <si>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</si>
  <si>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</si>
  <si>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</si>
  <si>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</si>
  <si>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</si>
  <si>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</si>
  <si>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</si>
  <si>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</si>
  <si>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</si>
  <si>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</si>
  <si>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</si>
  <si>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</si>
  <si>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</si>
  <si>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</si>
  <si>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</si>
  <si>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</si>
  <si>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</si>
  <si>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</si>
  <si>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</si>
  <si>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</si>
  <si>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</si>
  <si>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</si>
  <si>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</si>
  <si>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</si>
  <si>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</si>
  <si>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</si>
  <si>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</si>
  <si>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</si>
  <si>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</si>
  <si>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</si>
  <si>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</si>
  <si>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</si>
  <si>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</si>
  <si>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</si>
  <si>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</si>
  <si>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</si>
  <si>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</si>
  <si>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</si>
  <si>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</si>
  <si>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</si>
  <si>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</si>
  <si>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</si>
  <si>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</si>
  <si>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</si>
  <si>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</si>
  <si>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</si>
  <si>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</si>
  <si>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</si>
  <si>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</si>
  <si>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</si>
  <si>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</si>
  <si>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</si>
  <si>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</si>
  <si>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</si>
  <si>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</si>
  <si>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</si>
  <si>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</si>
  <si>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</si>
  <si>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</si>
  <si>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</si>
  <si>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</si>
  <si>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</si>
  <si>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</si>
  <si>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</si>
  <si>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</si>
  <si>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</si>
  <si>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</si>
  <si>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</si>
  <si>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</si>
  <si>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</si>
  <si>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</si>
  <si>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</si>
  <si>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</si>
  <si>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</si>
  <si>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</si>
  <si>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</si>
  <si>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</si>
  <si>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</si>
  <si>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</si>
  <si>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</si>
  <si>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</si>
  <si>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</si>
  <si>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</si>
  <si>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</si>
  <si>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</si>
  <si>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</si>
  <si>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</si>
  <si>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</si>
  <si>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</si>
  <si>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</si>
  <si>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</si>
  <si>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</si>
  <si>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</si>
  <si>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</si>
  <si>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</si>
  <si>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</si>
  <si>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</si>
  <si>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</si>
  <si>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</si>
  <si>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</si>
  <si>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</si>
  <si>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</si>
  <si>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</si>
  <si>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</si>
  <si>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</si>
  <si>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</si>
  <si>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</si>
  <si>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</si>
  <si>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</si>
  <si>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</si>
  <si>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</si>
  <si>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</si>
  <si>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</si>
  <si>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</si>
  <si>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</si>
  <si>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</si>
  <si>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</si>
  <si>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</si>
  <si>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</si>
  <si>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</si>
  <si>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</si>
  <si>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</si>
  <si>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</si>
  <si>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</si>
  <si>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</si>
  <si>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</si>
  <si>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</si>
  <si>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</si>
  <si>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</si>
  <si>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</si>
  <si>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</si>
  <si>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</si>
  <si>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</si>
  <si>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</si>
  <si>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</si>
  <si>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</si>
  <si>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</si>
  <si>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</si>
  <si>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</si>
  <si>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</si>
  <si>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</si>
  <si>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</si>
  <si>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</si>
  <si>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</si>
  <si>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</si>
  <si>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</si>
  <si>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</si>
  <si>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</si>
  <si>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</si>
  <si>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</si>
  <si>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</si>
  <si>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</si>
  <si>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</si>
  <si>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</si>
  <si>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</si>
  <si>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</si>
  <si>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</si>
  <si>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</si>
  <si>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</si>
  <si>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</si>
  <si>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</si>
  <si>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</si>
  <si>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</si>
  <si>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</si>
  <si>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</si>
  <si>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</si>
  <si>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</si>
  <si>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</si>
  <si>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</si>
  <si>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</si>
  <si>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</si>
  <si>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</si>
  <si>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</si>
  <si>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</si>
  <si>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</si>
  <si>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</si>
  <si>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</si>
  <si>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</si>
  <si>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</si>
  <si>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</si>
  <si>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</si>
  <si>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</si>
  <si>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</si>
  <si>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</si>
  <si>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</si>
  <si>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</si>
  <si>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</si>
  <si>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</si>
  <si>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</si>
  <si>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</si>
  <si>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</si>
  <si>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</si>
  <si>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</si>
  <si>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</si>
  <si>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</si>
  <si>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</si>
  <si>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</si>
  <si>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</si>
  <si>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</si>
  <si>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</si>
  <si>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</si>
  <si>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</si>
  <si>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</si>
  <si>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</si>
  <si>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</si>
  <si>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</si>
  <si>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</si>
  <si>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</si>
  <si>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</si>
  <si>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</si>
  <si>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</si>
  <si>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</si>
  <si>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</si>
  <si>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</si>
  <si>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</si>
  <si>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</si>
  <si>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</si>
  <si>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</si>
  <si>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</si>
  <si>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</si>
  <si>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</si>
  <si>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</si>
  <si>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</si>
  <si>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</si>
  <si>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</si>
  <si>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</si>
  <si>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</si>
  <si>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</si>
  <si>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</si>
  <si>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</si>
  <si>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</si>
  <si>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</si>
  <si>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</si>
  <si>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</si>
  <si>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</si>
  <si>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</si>
  <si>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</si>
  <si>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</si>
  <si>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</si>
  <si>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</si>
  <si>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</si>
  <si>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</si>
  <si>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</si>
  <si>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</si>
  <si>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</si>
  <si>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</si>
  <si>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</si>
  <si>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</si>
  <si>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</si>
  <si>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</si>
  <si>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</si>
  <si>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</si>
  <si>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</si>
  <si>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</si>
  <si>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</si>
  <si>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</si>
  <si>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</si>
  <si>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</si>
  <si>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</si>
  <si>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</si>
  <si>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</si>
  <si>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</si>
  <si>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</si>
  <si>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</si>
  <si>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</si>
  <si>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</si>
  <si>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</si>
  <si>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</si>
  <si>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</si>
  <si>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</si>
  <si>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</si>
  <si>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</si>
  <si>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</si>
  <si>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</si>
  <si>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</si>
  <si>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</si>
  <si>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</si>
  <si>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</si>
  <si>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</si>
  <si>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</si>
  <si>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</si>
  <si>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</si>
  <si>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</si>
  <si>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</si>
  <si>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</si>
  <si>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</si>
  <si>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</si>
  <si>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</si>
  <si>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</si>
  <si>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</si>
  <si>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</si>
  <si>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</si>
  <si>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</si>
  <si>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</si>
  <si>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</si>
  <si>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</si>
  <si>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</si>
  <si>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</si>
  <si>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</si>
  <si>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</si>
  <si>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</si>
  <si>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</si>
  <si>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</si>
  <si>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</si>
  <si>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</si>
  <si>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</si>
  <si>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</si>
  <si>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</si>
  <si>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</si>
  <si>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</si>
  <si>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</si>
  <si>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</si>
  <si>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</si>
  <si>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</si>
  <si>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</si>
  <si>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</si>
  <si>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</si>
  <si>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</si>
  <si>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</si>
  <si>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</si>
  <si>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</si>
  <si>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</si>
  <si>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</si>
  <si>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</si>
  <si>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</si>
  <si>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</si>
  <si>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</si>
  <si>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</si>
  <si>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</si>
  <si>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</si>
  <si>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</si>
  <si>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</si>
  <si>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</si>
  <si>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</si>
  <si>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</si>
  <si>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</si>
  <si>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</si>
  <si>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</si>
  <si>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</si>
  <si>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</si>
  <si>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</si>
  <si>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</si>
  <si>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</si>
  <si>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</si>
  <si>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</si>
  <si>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</si>
  <si>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</si>
  <si>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</si>
  <si>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</si>
  <si>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</si>
  <si>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</si>
  <si>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</si>
  <si>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</si>
  <si>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</si>
  <si>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</si>
  <si>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</si>
  <si>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</si>
  <si>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</si>
  <si>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</si>
  <si>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</si>
  <si>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</si>
  <si>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</si>
  <si>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</si>
  <si>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</si>
  <si>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</si>
  <si>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</si>
  <si>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</si>
  <si>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</si>
  <si>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</si>
  <si>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</si>
  <si>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</si>
  <si>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</si>
  <si>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</si>
  <si>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</si>
  <si>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</si>
  <si>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</si>
  <si>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</si>
  <si>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</si>
  <si>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</si>
  <si>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</si>
  <si>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</si>
  <si>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</si>
  <si>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</si>
  <si>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</si>
  <si>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</si>
  <si>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</si>
  <si>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</si>
  <si>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</si>
  <si>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</si>
  <si>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</si>
  <si>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</si>
  <si>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</si>
  <si>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</si>
  <si>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</si>
  <si>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</si>
  <si>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</si>
  <si>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</si>
  <si>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</si>
  <si>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</si>
  <si>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</si>
  <si>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</si>
  <si>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</si>
  <si>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</si>
  <si>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</si>
  <si>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</si>
  <si>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</si>
  <si>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</si>
  <si>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</si>
  <si>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</si>
  <si>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</si>
  <si>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</si>
  <si>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</si>
  <si>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</si>
  <si>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</si>
  <si>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</si>
  <si>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</si>
  <si>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</si>
  <si>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</si>
  <si>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</si>
  <si>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</si>
  <si>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</si>
  <si>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</si>
  <si>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</si>
  <si>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</si>
  <si>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</si>
  <si>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</si>
  <si>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</si>
  <si>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</si>
  <si>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</si>
  <si>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</si>
  <si>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</si>
  <si>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</si>
  <si>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</si>
  <si>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</si>
  <si>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</si>
  <si>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</si>
  <si>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</si>
  <si>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</si>
  <si>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</si>
  <si>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</si>
  <si>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</si>
  <si>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</si>
  <si>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</si>
  <si>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</si>
  <si>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</si>
  <si>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</si>
  <si>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</si>
  <si>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</si>
  <si>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</si>
  <si>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</si>
  <si>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</si>
  <si>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</si>
  <si>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</si>
  <si>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</si>
  <si>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</si>
  <si>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</si>
  <si>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</si>
  <si>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</si>
  <si>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</si>
  <si>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</si>
  <si>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</si>
  <si>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</si>
  <si>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</si>
  <si>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</si>
  <si>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</si>
  <si>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</si>
  <si>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</si>
  <si>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</si>
  <si>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</si>
  <si>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</si>
  <si>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</si>
  <si>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</si>
  <si>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</si>
  <si>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</si>
  <si>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</si>
  <si>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</si>
  <si>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</si>
  <si>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</si>
  <si>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</si>
  <si>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</si>
  <si>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</si>
  <si>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</si>
  <si>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</si>
  <si>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</si>
  <si>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</si>
  <si>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</si>
  <si>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</si>
  <si>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</si>
  <si>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</si>
  <si>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</si>
  <si>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</si>
  <si>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</si>
  <si>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</si>
  <si>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</si>
  <si>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</si>
  <si>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</si>
  <si>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</si>
  <si>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</si>
  <si>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</si>
  <si>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</si>
  <si>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</si>
  <si>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</si>
  <si>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</si>
  <si>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</si>
  <si>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</si>
  <si>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</si>
  <si>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</si>
  <si>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</si>
  <si>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</si>
  <si>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</si>
  <si>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</si>
  <si>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</si>
  <si>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</si>
  <si>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</si>
  <si>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</si>
  <si>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</si>
  <si>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</si>
  <si>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</si>
  <si>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</si>
  <si>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</si>
  <si>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</si>
  <si>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</si>
  <si>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</si>
  <si>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</si>
  <si>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</si>
  <si>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</si>
  <si>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</si>
  <si>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</si>
  <si>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</si>
  <si>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</si>
  <si>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</si>
  <si>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</si>
  <si>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</si>
  <si>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</si>
  <si>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</si>
  <si>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</si>
  <si>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</si>
  <si>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</si>
  <si>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</si>
  <si>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</si>
  <si>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</si>
  <si>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</si>
  <si>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</si>
  <si>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</si>
  <si>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</si>
  <si>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</si>
  <si>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</si>
  <si>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</si>
  <si>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</si>
  <si>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</si>
  <si>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</si>
  <si>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</si>
  <si>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</si>
  <si>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</si>
  <si>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</si>
  <si>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</si>
  <si>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</si>
  <si>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</si>
  <si>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</si>
  <si>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</si>
  <si>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</si>
  <si>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</si>
  <si>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</si>
  <si>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</si>
  <si>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</si>
  <si>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</si>
  <si>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</si>
  <si>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</si>
  <si>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</si>
  <si>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</si>
  <si>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</si>
  <si>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</si>
  <si>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</si>
  <si>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</si>
  <si>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</si>
  <si>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</si>
  <si>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</si>
  <si>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</si>
  <si>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</si>
  <si>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</si>
  <si>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</si>
  <si>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</si>
  <si>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</si>
  <si>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</si>
  <si>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</si>
  <si>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</si>
  <si>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</si>
  <si>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</si>
  <si>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</si>
  <si>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</si>
  <si>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</si>
  <si>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</si>
  <si>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</si>
  <si>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</si>
  <si>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</si>
  <si>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</si>
  <si>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</si>
  <si>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</si>
  <si>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</si>
  <si>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</si>
  <si>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</si>
  <si>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</si>
  <si>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</si>
  <si>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</si>
  <si>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</si>
  <si>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</si>
  <si>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</si>
  <si>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</si>
  <si>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</si>
  <si>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</si>
  <si>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</si>
  <si>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</si>
  <si>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</si>
  <si>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</si>
  <si>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</si>
  <si>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</si>
  <si>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</si>
  <si>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</si>
  <si>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</si>
  <si>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</si>
  <si>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</si>
  <si>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</si>
  <si>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</si>
  <si>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</si>
  <si>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</si>
  <si>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</si>
  <si>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</si>
  <si>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</si>
  <si>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</si>
  <si>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</si>
  <si>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</si>
  <si>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</si>
  <si>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</si>
  <si>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</si>
  <si>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</si>
  <si>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</si>
  <si>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</si>
  <si>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</si>
  <si>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</si>
  <si>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</si>
  <si>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</si>
  <si>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</si>
  <si>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</si>
  <si>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</si>
  <si>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</si>
  <si>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</si>
  <si>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</si>
  <si>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</si>
  <si>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</si>
  <si>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</si>
  <si>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</si>
  <si>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</si>
  <si>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</si>
  <si>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</si>
  <si>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</si>
  <si>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</si>
  <si>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</si>
  <si>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</si>
  <si>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</si>
  <si>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</si>
  <si>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</si>
  <si>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</si>
  <si>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</si>
  <si>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</si>
  <si>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</si>
  <si>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</si>
  <si>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</si>
  <si>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</si>
  <si>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</si>
  <si>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</si>
  <si>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</si>
  <si>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</si>
  <si>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</si>
  <si>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</si>
  <si>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</si>
  <si>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</si>
  <si>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</si>
  <si>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</si>
  <si>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</si>
  <si>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</si>
  <si>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</si>
  <si>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</si>
  <si>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</si>
  <si>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</si>
  <si>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</si>
  <si>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</si>
  <si>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</si>
  <si>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</si>
  <si>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</si>
  <si>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</si>
  <si>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</si>
  <si>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</si>
  <si>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</si>
  <si>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</si>
  <si>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</si>
  <si>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</si>
  <si>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</si>
  <si>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</si>
  <si>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</si>
  <si>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</si>
  <si>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</si>
  <si>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</si>
  <si>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</si>
  <si>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</si>
  <si>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</si>
  <si>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</si>
  <si>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</si>
  <si>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</si>
  <si>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</si>
  <si>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</si>
  <si>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</si>
  <si>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</si>
  <si>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</si>
  <si>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</si>
  <si>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</si>
  <si>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</si>
  <si>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</si>
  <si>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</si>
  <si>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</si>
  <si>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</si>
  <si>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</si>
  <si>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</si>
  <si>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</si>
  <si>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</si>
  <si>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</si>
  <si>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</si>
  <si>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</si>
  <si>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</si>
  <si>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</si>
  <si>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</si>
  <si>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</si>
  <si>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</si>
  <si>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</si>
  <si>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</si>
  <si>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</si>
  <si>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</si>
  <si>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</si>
  <si>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</si>
  <si>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</si>
  <si>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</si>
  <si>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</si>
  <si>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</si>
  <si>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</si>
  <si>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</si>
  <si>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</si>
  <si>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</si>
  <si>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</si>
  <si>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</si>
  <si>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</si>
  <si>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</si>
  <si>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</si>
  <si>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</si>
  <si>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</si>
  <si>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</si>
  <si>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</si>
  <si>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</si>
  <si>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</si>
  <si>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</si>
  <si>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</si>
  <si>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</si>
  <si>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</si>
  <si>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</si>
  <si>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</si>
  <si>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</si>
  <si>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</si>
  <si>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</si>
  <si>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</si>
  <si>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</si>
  <si>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</si>
  <si>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</si>
  <si>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</si>
  <si>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</si>
  <si>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</si>
  <si>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</si>
  <si>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</si>
  <si>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</si>
  <si>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</si>
  <si>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</si>
  <si>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</si>
  <si>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</si>
  <si>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</si>
  <si>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</si>
  <si>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</si>
  <si>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</si>
  <si>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</si>
  <si>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</si>
  <si>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</si>
  <si>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</si>
  <si>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</si>
  <si>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</si>
  <si>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</si>
  <si>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</si>
  <si>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</si>
  <si>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</si>
  <si>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</si>
  <si>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</si>
  <si>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</si>
  <si>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</si>
  <si>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</si>
  <si>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</si>
  <si>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</si>
  <si>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</si>
  <si>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</si>
  <si>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</si>
  <si>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</si>
  <si>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</si>
  <si>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</si>
  <si>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</si>
  <si>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</si>
  <si>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</si>
  <si>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</si>
  <si>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</si>
  <si>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</si>
  <si>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</si>
  <si>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</si>
  <si>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</si>
  <si>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</si>
  <si>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</si>
  <si>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</si>
  <si>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</si>
  <si>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</si>
  <si>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</si>
  <si>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</si>
  <si>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</si>
  <si>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</si>
  <si>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</si>
  <si>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</si>
  <si>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</si>
  <si>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</si>
  <si>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</si>
  <si>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</si>
  <si>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</si>
  <si>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</si>
  <si>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</si>
  <si>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</si>
  <si>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</si>
  <si>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</si>
  <si>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</si>
  <si>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</si>
  <si>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</si>
  <si>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</si>
  <si>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</si>
  <si>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</si>
  <si>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</si>
  <si>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</si>
  <si>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</si>
  <si>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</si>
  <si>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</si>
  <si>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</si>
  <si>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</si>
  <si>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</si>
  <si>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</si>
  <si>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</si>
  <si>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</si>
  <si>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</si>
  <si>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</si>
  <si>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</si>
  <si>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</si>
  <si>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</si>
  <si>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</si>
  <si>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</si>
  <si>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</si>
  <si>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</si>
  <si>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</si>
  <si>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</si>
  <si>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</si>
  <si>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</si>
  <si>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</si>
  <si>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</si>
  <si>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</si>
  <si>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</si>
  <si>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</si>
  <si>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</si>
  <si>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</si>
  <si>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</si>
  <si>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</si>
  <si>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</si>
  <si>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</si>
  <si>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</si>
  <si>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</si>
  <si>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</si>
  <si>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</si>
  <si>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</si>
  <si>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</si>
  <si>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</si>
  <si>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</si>
  <si>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</si>
  <si>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</si>
  <si>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</si>
  <si>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</si>
  <si>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</si>
  <si>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</si>
  <si>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</si>
  <si>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</si>
  <si>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</si>
  <si>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</si>
  <si>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</si>
  <si>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</si>
  <si>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</si>
  <si>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</si>
  <si>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</si>
  <si>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</si>
  <si>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</si>
  <si>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</si>
  <si>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</si>
  <si>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</si>
  <si>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</si>
  <si>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</si>
  <si>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</si>
  <si>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</si>
  <si>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</si>
  <si>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</si>
  <si>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</si>
  <si>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</si>
  <si>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</si>
  <si>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</si>
  <si>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</si>
  <si>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</si>
  <si>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</si>
  <si>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</si>
  <si>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</si>
  <si>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</si>
  <si>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</si>
  <si>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</si>
  <si>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</si>
  <si>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</si>
  <si>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</si>
  <si>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</si>
  <si>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</si>
  <si>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</si>
  <si>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</si>
  <si>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</si>
  <si>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</si>
  <si>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</si>
  <si>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</si>
  <si>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</si>
  <si>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</si>
  <si>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</si>
  <si>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</si>
  <si>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</si>
  <si>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</si>
  <si>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</si>
  <si>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</si>
  <si>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</si>
  <si>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</si>
  <si>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</si>
  <si>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</si>
  <si>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</si>
  <si>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</si>
  <si>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</si>
  <si>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</si>
  <si>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</si>
  <si>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</si>
  <si>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</si>
  <si>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</si>
  <si>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</si>
  <si>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</si>
  <si>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</si>
  <si>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</si>
  <si>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</si>
  <si>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</si>
  <si>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</si>
  <si>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</si>
  <si>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</si>
  <si>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</si>
  <si>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</si>
  <si>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</si>
  <si>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</si>
  <si>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</si>
  <si>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</si>
  <si>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</si>
  <si>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</si>
  <si>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</si>
  <si>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</si>
  <si>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</si>
  <si>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</si>
  <si>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</si>
  <si>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</si>
  <si>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</si>
  <si>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</si>
  <si>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ANCIENT (2/2/0)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</si>
  <si>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</si>
  <si>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</si>
  <si>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</si>
  <si>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</si>
  <si>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</si>
  <si>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</si>
  <si>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</si>
  <si>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</si>
  <si>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</si>
  <si>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</si>
  <si>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</si>
  <si>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</si>
  <si>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</si>
  <si>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</si>
  <si>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</si>
  <si>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</si>
  <si>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</si>
  <si>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</si>
  <si>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</si>
  <si>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</si>
  <si>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</si>
  <si>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</si>
  <si>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</si>
  <si>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</si>
  <si>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</si>
  <si>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</si>
  <si>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</si>
  <si>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</si>
  <si>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</si>
  <si>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</si>
  <si>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</si>
  <si>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</si>
  <si>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</si>
  <si>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</si>
  <si>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</si>
  <si>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</si>
  <si>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</si>
  <si>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</si>
  <si>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</si>
  <si>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</si>
  <si>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</si>
  <si>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</si>
  <si>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</si>
  <si>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INFERNO (4/4/1)</t>
  </si>
  <si>
    <t>7, 10, 10, 4, def - lose</t>
  </si>
  <si>
    <t>01.11.2025</t>
  </si>
  <si>
    <t>74 map (dust)</t>
  </si>
  <si>
    <t>75 map (dust)</t>
  </si>
  <si>
    <t>76 map (mir)</t>
  </si>
  <si>
    <t>77 map (dust)</t>
  </si>
  <si>
    <t>DUST (13/7/0)</t>
  </si>
  <si>
    <t>78 map (mir)</t>
  </si>
  <si>
    <t>MIRAGE (16/13/0)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</si>
  <si>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</si>
  <si>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</si>
  <si>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</si>
  <si>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</si>
  <si>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</si>
  <si>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</si>
  <si>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</si>
  <si>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</si>
  <si>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</si>
  <si>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</si>
  <si>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</si>
  <si>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</si>
  <si>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</si>
  <si>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</si>
  <si>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</si>
  <si>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</si>
  <si>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</si>
  <si>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</si>
  <si>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</si>
  <si>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</si>
  <si>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</si>
  <si>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</si>
  <si>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</si>
  <si>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</si>
  <si>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</si>
  <si>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</si>
  <si>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</si>
  <si>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</si>
  <si>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</si>
  <si>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</si>
  <si>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</si>
  <si>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</si>
  <si>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</si>
  <si>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</si>
  <si>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</si>
  <si>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</si>
  <si>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</si>
  <si>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</si>
  <si>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</si>
  <si>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</si>
  <si>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</si>
  <si>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</si>
  <si>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</si>
  <si>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</si>
  <si>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</si>
  <si>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</si>
  <si>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</si>
  <si>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</si>
  <si>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</si>
  <si>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</si>
  <si>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</si>
  <si>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</si>
  <si>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</si>
  <si>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</si>
  <si>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</si>
  <si>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</si>
  <si>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</si>
  <si>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</si>
  <si>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</si>
  <si>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</si>
  <si>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</si>
  <si>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</si>
  <si>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</si>
  <si>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</si>
  <si>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</si>
  <si>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</si>
  <si>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</si>
  <si>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</si>
  <si>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MIRAGE (16/14/2)</t>
  </si>
  <si>
    <t>INFERNO (9/4/0)</t>
  </si>
  <si>
    <t>255 map (dust)</t>
  </si>
  <si>
    <t>256 map (vert)</t>
  </si>
  <si>
    <t>VERTIGO (10/6/2)</t>
  </si>
  <si>
    <t>10.12.2025</t>
  </si>
  <si>
    <t>206 map (vert)</t>
  </si>
  <si>
    <t>208 map (vert)</t>
  </si>
  <si>
    <t>vertigo (31)</t>
  </si>
  <si>
    <t>209 map (over)</t>
  </si>
  <si>
    <t>OVERPASS (32)</t>
  </si>
  <si>
    <t>210 map (nuke)</t>
  </si>
  <si>
    <t>211 map (inf)</t>
  </si>
  <si>
    <t>inferno (56)</t>
  </si>
  <si>
    <t>212 map (nuke)</t>
  </si>
  <si>
    <t>nuke (47)</t>
  </si>
  <si>
    <t>257 map (train)</t>
  </si>
  <si>
    <t>TRAIN (10/6/2)</t>
  </si>
  <si>
    <t>258 map (dust)</t>
  </si>
  <si>
    <t>DUST (22/17/2)</t>
  </si>
  <si>
    <t>259 map (off)</t>
  </si>
  <si>
    <t>OFFICE (22/16/5)</t>
  </si>
  <si>
    <t>260 map (anc)</t>
  </si>
  <si>
    <t>ANCIENT (10/7/3)</t>
  </si>
  <si>
    <t>OVERPASS (4/6/0)</t>
  </si>
  <si>
    <t>3560 elo (top 900 europe), 3208 elo, def, 8, def - 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</si>
</sst>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2" fillId="14" borderId="0" applyNumberFormat="0" applyBorder="0" applyAlignment="0" applyProtection="0"/>
    <xf numFmtId="0" fontId="8" fillId="17" borderId="2" applyNumberFormat="0" applyFont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</cellStyleXfs>
  <cellXfs count="3739">
    <xf numFmtId="0" fontId="0" fillId="0" borderId="0" xfId="0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10" fillId="3" borderId="1" xfId="0" applyFont="1" applyFill="1" applyBorder="1"/>
    <xf numFmtId="0" fontId="10" fillId="3" borderId="2" xfId="0" applyFont="1" applyFill="1" applyBorder="1"/>
    <xf numFmtId="0" fontId="11" fillId="4" borderId="1" xfId="0" applyFont="1" applyFill="1" applyBorder="1"/>
    <xf numFmtId="0" fontId="11" fillId="4" borderId="2" xfId="0" applyFont="1" applyFill="1" applyBorder="1"/>
    <xf numFmtId="0" fontId="12" fillId="5" borderId="1" xfId="0" applyFont="1" applyFill="1" applyBorder="1"/>
    <xf numFmtId="0" fontId="12" fillId="5" borderId="2" xfId="0" applyFont="1" applyFill="1" applyBorder="1"/>
    <xf numFmtId="0" fontId="13" fillId="6" borderId="1" xfId="0" applyFont="1" applyFill="1" applyBorder="1"/>
    <xf numFmtId="0" fontId="13" fillId="6" borderId="2" xfId="0" applyFont="1" applyFill="1" applyBorder="1"/>
    <xf numFmtId="14" fontId="9" fillId="2" borderId="1" xfId="0" applyNumberFormat="1" applyFont="1" applyFill="1" applyBorder="1"/>
    <xf numFmtId="0" fontId="13" fillId="7" borderId="2" xfId="0" applyFont="1" applyFill="1" applyBorder="1"/>
    <xf numFmtId="14" fontId="11" fillId="4" borderId="1" xfId="0" applyNumberFormat="1" applyFont="1" applyFill="1" applyBorder="1"/>
    <xf numFmtId="14" fontId="10" fillId="3" borderId="1" xfId="0" applyNumberFormat="1" applyFont="1" applyFill="1" applyBorder="1"/>
    <xf numFmtId="2" fontId="13" fillId="0" borderId="0" xfId="0" applyNumberFormat="1" applyFont="1"/>
    <xf numFmtId="14" fontId="13" fillId="0" borderId="0" xfId="0" applyNumberFormat="1" applyFont="1"/>
    <xf numFmtId="14" fontId="12" fillId="8" borderId="1" xfId="0" applyNumberFormat="1" applyFont="1" applyFill="1" applyBorder="1"/>
    <xf numFmtId="0" fontId="12" fillId="8" borderId="1" xfId="0" applyFont="1" applyFill="1" applyBorder="1"/>
    <xf numFmtId="49" fontId="13" fillId="0" borderId="0" xfId="0" applyNumberFormat="1" applyFont="1"/>
    <xf numFmtId="49" fontId="10" fillId="3" borderId="1" xfId="0" applyNumberFormat="1" applyFont="1" applyFill="1" applyBorder="1"/>
    <xf numFmtId="49" fontId="9" fillId="2" borderId="1" xfId="0" applyNumberFormat="1" applyFont="1" applyFill="1" applyBorder="1"/>
    <xf numFmtId="49" fontId="11" fillId="4" borderId="1" xfId="0" applyNumberFormat="1" applyFont="1" applyFill="1" applyBorder="1"/>
    <xf numFmtId="0" fontId="13" fillId="0" borderId="0" xfId="0" applyFont="1"/>
    <xf numFmtId="2" fontId="9" fillId="2" borderId="1" xfId="0" applyNumberFormat="1" applyFont="1" applyFill="1" applyBorder="1"/>
    <xf numFmtId="2" fontId="10" fillId="3" borderId="1" xfId="0" applyNumberFormat="1" applyFont="1" applyFill="1" applyBorder="1"/>
    <xf numFmtId="2" fontId="11" fillId="4" borderId="1" xfId="0" applyNumberFormat="1" applyFont="1" applyFill="1" applyBorder="1"/>
    <xf numFmtId="2" fontId="12" fillId="5" borderId="1" xfId="0" applyNumberFormat="1" applyFont="1" applyFill="1" applyBorder="1"/>
    <xf numFmtId="2" fontId="13" fillId="9" borderId="1" xfId="0" applyNumberFormat="1" applyFont="1" applyFill="1" applyBorder="1"/>
    <xf numFmtId="0" fontId="15" fillId="10" borderId="16" xfId="0" applyFont="1" applyFill="1" applyBorder="1"/>
    <xf numFmtId="0" fontId="13" fillId="11" borderId="1" xfId="0" applyFont="1" applyFill="1" applyBorder="1"/>
    <xf numFmtId="0" fontId="16" fillId="0" borderId="17" xfId="0" applyFont="1" applyBorder="1"/>
    <xf numFmtId="0" fontId="17" fillId="10" borderId="18" xfId="0" applyFont="1" applyFill="1" applyBorder="1"/>
    <xf numFmtId="164" fontId="10" fillId="3" borderId="1" xfId="0" applyNumberFormat="1" applyFont="1" applyFill="1" applyBorder="1"/>
    <xf numFmtId="0" fontId="18" fillId="0" borderId="0" xfId="0" applyFont="1"/>
    <xf numFmtId="0" fontId="18" fillId="0" borderId="0" xfId="0" applyFont="1" applyAlignment="1">
      <alignment horizontal="right"/>
    </xf>
    <xf numFmtId="0" fontId="18" fillId="4" borderId="0" xfId="0" applyFont="1" applyFill="1"/>
    <xf numFmtId="0" fontId="18" fillId="2" borderId="0" xfId="0" applyFont="1" applyFill="1"/>
    <xf numFmtId="164" fontId="18" fillId="4" borderId="0" xfId="0" applyNumberFormat="1" applyFont="1" applyFill="1"/>
    <xf numFmtId="164" fontId="19" fillId="3" borderId="0" xfId="0" applyNumberFormat="1" applyFont="1" applyFill="1"/>
    <xf numFmtId="0" fontId="19" fillId="3" borderId="0" xfId="0" applyFont="1" applyFill="1"/>
    <xf numFmtId="0" fontId="18" fillId="3" borderId="0" xfId="0" applyFont="1" applyFill="1"/>
    <xf numFmtId="0" fontId="12" fillId="5" borderId="0" xfId="0" applyFont="1" applyFill="1"/>
    <xf numFmtId="164" fontId="18" fillId="2" borderId="0" xfId="0" applyNumberFormat="1" applyFont="1" applyFill="1"/>
    <xf numFmtId="0" fontId="10" fillId="2" borderId="1" xfId="0" applyFont="1" applyFill="1" applyBorder="1"/>
    <xf numFmtId="0" fontId="20" fillId="5" borderId="1" xfId="0" applyFont="1" applyFill="1" applyBorder="1"/>
    <xf numFmtId="0" fontId="9" fillId="2" borderId="0" xfId="0" applyFont="1" applyFill="1"/>
    <xf numFmtId="0" fontId="18" fillId="12" borderId="0" xfId="0" applyFont="1" applyFill="1"/>
    <xf numFmtId="0" fontId="18" fillId="12" borderId="2" xfId="0" applyFont="1" applyFill="1" applyBorder="1"/>
    <xf numFmtId="164" fontId="18" fillId="3" borderId="0" xfId="0" applyNumberFormat="1" applyFont="1" applyFill="1"/>
    <xf numFmtId="0" fontId="10" fillId="3" borderId="16" xfId="0" applyFont="1" applyFill="1" applyBorder="1"/>
    <xf numFmtId="0" fontId="18" fillId="7" borderId="2" xfId="0" applyFont="1" applyFill="1" applyBorder="1"/>
    <xf numFmtId="0" fontId="10" fillId="3" borderId="0" xfId="0" applyFont="1" applyFill="1"/>
    <xf numFmtId="0" fontId="9" fillId="2" borderId="0" xfId="0" applyFont="1" applyFill="1" applyAlignment="1">
      <alignment horizontal="right"/>
    </xf>
    <xf numFmtId="0" fontId="18" fillId="7" borderId="22" xfId="0" applyFont="1" applyFill="1" applyBorder="1" applyAlignment="1">
      <alignment horizontal="right"/>
    </xf>
    <xf numFmtId="0" fontId="10" fillId="3" borderId="0" xfId="0" applyFont="1" applyFill="1" applyAlignment="1">
      <alignment horizontal="right"/>
    </xf>
    <xf numFmtId="0" fontId="20" fillId="13" borderId="0" xfId="0" applyFont="1" applyFill="1"/>
    <xf numFmtId="0" fontId="11" fillId="4" borderId="0" xfId="0" applyFont="1" applyFill="1"/>
    <xf numFmtId="0" fontId="18" fillId="6" borderId="0" xfId="0" applyFont="1" applyFill="1"/>
    <xf numFmtId="0" fontId="18" fillId="7" borderId="22" xfId="0" applyFont="1" applyFill="1" applyBorder="1"/>
    <xf numFmtId="0" fontId="11" fillId="4" borderId="0" xfId="0" applyFont="1" applyFill="1" applyAlignment="1">
      <alignment horizontal="right"/>
    </xf>
    <xf numFmtId="0" fontId="18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2" fillId="14" borderId="0" xfId="1" applyAlignment="1"/>
    <xf numFmtId="0" fontId="18" fillId="17" borderId="2" xfId="2" applyFont="1" applyAlignment="1"/>
    <xf numFmtId="0" fontId="23" fillId="15" borderId="0" xfId="3" applyAlignment="1"/>
    <xf numFmtId="0" fontId="7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6" fillId="21" borderId="24" xfId="0" applyFont="1" applyFill="1" applyBorder="1" applyAlignment="1">
      <alignment wrapText="1"/>
    </xf>
    <xf numFmtId="0" fontId="6" fillId="22" borderId="24" xfId="0" applyFont="1" applyFill="1" applyBorder="1" applyAlignment="1">
      <alignment wrapText="1"/>
    </xf>
    <xf numFmtId="0" fontId="6" fillId="23" borderId="24" xfId="0" applyFont="1" applyFill="1" applyBorder="1" applyAlignment="1">
      <alignment wrapText="1"/>
    </xf>
    <xf numFmtId="14" fontId="6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4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4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6" borderId="0" xfId="0" applyFont="1" applyFill="1"/>
    <xf numFmtId="0" fontId="4" fillId="15" borderId="0" xfId="0" applyFont="1" applyFill="1"/>
    <xf numFmtId="0" fontId="4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9" fillId="2" borderId="3" xfId="0" applyFont="1" applyFill="1" applyBorder="1" applyAlignment="1">
      <alignment horizontal="center"/>
    </xf>
    <xf numFmtId="0" fontId="14" fillId="0" borderId="4" xfId="0" applyFont="1" applyBorder="1"/>
    <xf numFmtId="0" fontId="10" fillId="3" borderId="3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0" xfId="0"/>
    <xf numFmtId="0" fontId="14" fillId="0" borderId="5" xfId="0" applyFont="1" applyBorder="1"/>
    <xf numFmtId="0" fontId="13" fillId="7" borderId="6" xfId="0" applyFont="1" applyFill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5" fillId="10" borderId="9" xfId="0" applyFont="1" applyFill="1" applyBorder="1" applyAlignment="1">
      <alignment horizontal="center"/>
    </xf>
    <xf numFmtId="0" fontId="14" fillId="0" borderId="10" xfId="0" applyFont="1" applyBorder="1"/>
    <xf numFmtId="0" fontId="14" fillId="0" borderId="11" xfId="0" applyFont="1" applyBorder="1"/>
    <xf numFmtId="0" fontId="13" fillId="11" borderId="12" xfId="0" applyFont="1" applyFill="1" applyBorder="1" applyAlignment="1">
      <alignment horizontal="center"/>
    </xf>
    <xf numFmtId="0" fontId="14" fillId="0" borderId="13" xfId="0" applyFont="1" applyBorder="1"/>
    <xf numFmtId="0" fontId="14" fillId="0" borderId="14" xfId="0" applyFont="1" applyBorder="1"/>
    <xf numFmtId="0" fontId="9" fillId="2" borderId="15" xfId="0" applyFont="1" applyFill="1" applyBorder="1" applyAlignment="1">
      <alignment horizontal="center"/>
    </xf>
    <xf numFmtId="0" fontId="17" fillId="10" borderId="19" xfId="0" applyFont="1" applyFill="1" applyBorder="1" applyAlignment="1">
      <alignment horizontal="center"/>
    </xf>
    <xf numFmtId="0" fontId="14" fillId="0" borderId="20" xfId="0" applyFont="1" applyBorder="1"/>
    <xf numFmtId="0" fontId="14" fillId="0" borderId="21" xfId="0" applyFont="1" applyBorder="1"/>
    <xf numFmtId="0" fontId="0" fillId="0" borderId="0" xfId="0" applyAlignment="1">
      <alignment horizontal="center"/>
    </xf>
    <xf numFmtId="0" fontId="21" fillId="3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0" fontId="13" fillId="6" borderId="0" xfId="0" applyFont="1" applyFill="1" applyAlignment="1">
      <alignment horizontal="center"/>
    </xf>
    <xf numFmtId="0" fontId="21" fillId="6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0" fontId="22" fillId="14" borderId="0" xfId="1" applyAlignment="1">
      <alignment horizontal="center"/>
    </xf>
    <xf numFmtId="0" fontId="24" fillId="16" borderId="0" xfId="4" applyAlignment="1">
      <alignment horizontal="center"/>
    </xf>
    <xf numFmtId="0" fontId="21" fillId="2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0" fontId="24" fillId="23" borderId="25" xfId="0" applyFont="1" applyFill="1" applyBorder="1" applyAlignment="1">
      <alignment horizontal="center" wrapText="1"/>
    </xf>
    <xf numFmtId="0" fontId="24" fillId="23" borderId="26" xfId="0" applyFont="1" applyFill="1" applyBorder="1" applyAlignment="1">
      <alignment horizontal="center" wrapText="1"/>
    </xf>
    <xf numFmtId="0" fontId="24" fillId="23" borderId="27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4" fillId="24" borderId="26" xfId="0" applyFont="1" applyFill="1" applyBorder="1" applyAlignment="1">
      <alignment horizontal="center" wrapText="1"/>
    </xf>
    <xf numFmtId="0" fontId="4" fillId="24" borderId="27" xfId="0" applyFont="1" applyFill="1" applyBorder="1" applyAlignment="1">
      <alignment horizontal="center" wrapText="1"/>
    </xf>
    <xf numFmtId="0" fontId="4" fillId="22" borderId="25" xfId="0" applyFont="1" applyFill="1" applyBorder="1" applyAlignment="1">
      <alignment horizontal="center" wrapText="1"/>
    </xf>
    <xf numFmtId="0" fontId="4" fillId="22" borderId="26" xfId="0" applyFont="1" applyFill="1" applyBorder="1" applyAlignment="1">
      <alignment horizontal="center" wrapText="1"/>
    </xf>
    <xf numFmtId="0" fontId="4" fillId="22" borderId="27" xfId="0" applyFont="1" applyFill="1" applyBorder="1" applyAlignment="1">
      <alignment horizontal="center" wrapText="1"/>
    </xf>
    <xf numFmtId="0" fontId="1" fillId="24" borderId="25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2" borderId="25" xfId="0" applyFont="1" applyFill="1" applyBorder="1" applyAlignment="1">
      <alignment horizontal="center" wrapText="1"/>
    </xf>
    <xf numFmtId="0" fontId="3" fillId="23" borderId="25" xfId="0" applyFont="1" applyFill="1" applyBorder="1" applyAlignment="1">
      <alignment horizontal="center" wrapText="1"/>
    </xf>
    <xf numFmtId="0" fontId="4" fillId="23" borderId="26" xfId="0" applyFont="1" applyFill="1" applyBorder="1" applyAlignment="1">
      <alignment horizontal="center" wrapText="1"/>
    </xf>
    <xf numFmtId="0" fontId="4" fillId="23" borderId="27" xfId="0" applyFont="1" applyFill="1" applyBorder="1" applyAlignment="1">
      <alignment horizontal="center" wrapText="1"/>
    </xf>
    <xf numFmtId="0" fontId="23" fillId="15" borderId="0" xfId="3" applyAlignment="1">
      <alignment horizontal="center"/>
    </xf>
    <xf numFmtId="0" fontId="23" fillId="15" borderId="0" xfId="3"/>
    <xf numFmtId="0" fontId="22" fillId="14" borderId="0" xfId="1"/>
    <xf numFmtId="0" fontId="24" fillId="16" borderId="0" xfId="4"/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689" t="s">
        <v>0</v>
      </c>
      <c r="C1" s="3690"/>
      <c r="D1" s="3691" t="s">
        <v>1</v>
      </c>
      <c r="E1" s="3690"/>
      <c r="F1" s="3692" t="s">
        <v>177</v>
      </c>
      <c r="G1" s="3690"/>
      <c r="H1" s="3689" t="s">
        <v>174</v>
      </c>
      <c r="I1" s="3690"/>
      <c r="J1" s="3691" t="s">
        <v>175</v>
      </c>
      <c r="K1" s="3690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3693" t="str">
        <f>"Mirage"&amp;" "&amp;H5/SUM(H5:I5)*100</f>
        <v>Mirage 25</v>
      </c>
      <c r="I3" s="3694"/>
      <c r="J3" s="3693" t="str">
        <f>"Inferno"&amp;" "&amp;ROUND(J5/SUM(J5:K5)*100,0)</f>
        <v>Inferno 40</v>
      </c>
      <c r="K3" s="3694"/>
      <c r="L3" s="3693" t="str">
        <f>"Overpass"&amp;" "&amp;ROUND(L5/SUM(L5:M5)*100,0)</f>
        <v>Overpass 67</v>
      </c>
      <c r="M3" s="3694"/>
      <c r="N3" s="3693" t="str">
        <f>"Vertigo"&amp;" "&amp;ROUND(N5/SUM(N5:O5)*100,0)</f>
        <v>Vertigo 80</v>
      </c>
      <c r="O3" s="3694"/>
      <c r="P3" s="3693" t="str">
        <f>"Ancient"&amp;" "&amp;ROUND(P5/SUM(P5:Q5)*100,0)</f>
        <v>Ancient 50</v>
      </c>
      <c r="Q3" s="3694"/>
      <c r="R3" s="3693" t="str">
        <f>"Anubis"&amp;" "&amp;ROUND(R5/SUM(R5:S5)*100,0)</f>
        <v>Anubis 67</v>
      </c>
      <c r="S3" s="3694"/>
      <c r="T3" s="3693" t="str">
        <f>"Dust II"&amp;" "&amp;ROUND(T5/SUM(T5:U5)*100,0)</f>
        <v>Dust II 100</v>
      </c>
      <c r="U3" s="3694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3693" t="s">
        <v>206</v>
      </c>
      <c r="I7" s="3694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3693" t="s">
        <v>373</v>
      </c>
      <c r="G3" s="3694"/>
      <c r="H3" s="3694"/>
      <c r="I3" s="3693" t="s">
        <v>374</v>
      </c>
      <c r="J3" s="3694"/>
      <c r="K3" s="3694"/>
      <c r="L3" s="3693" t="s">
        <v>375</v>
      </c>
      <c r="M3" s="3694"/>
      <c r="N3" s="3694"/>
      <c r="O3" s="3693" t="s">
        <v>376</v>
      </c>
      <c r="P3" s="3694"/>
      <c r="Q3" s="3694"/>
      <c r="R3" s="3693" t="s">
        <v>377</v>
      </c>
      <c r="S3" s="3694"/>
      <c r="T3" s="3693" t="s">
        <v>378</v>
      </c>
      <c r="U3" s="3694"/>
      <c r="V3" s="3693" t="s">
        <v>379</v>
      </c>
      <c r="W3" s="3694"/>
      <c r="X3" s="3694"/>
      <c r="Y3" s="3693" t="s">
        <v>380</v>
      </c>
      <c r="Z3" s="3694"/>
      <c r="AA3" s="3694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689" t="s">
        <v>641</v>
      </c>
      <c r="B1" s="3695"/>
      <c r="C1" s="3695"/>
      <c r="D1" s="3690"/>
      <c r="E1" s="3691" t="s">
        <v>642</v>
      </c>
      <c r="F1" s="3695"/>
      <c r="G1" s="3695"/>
      <c r="H1" s="3695"/>
      <c r="I1" s="3695"/>
      <c r="J1" s="3690"/>
      <c r="K1" s="3692" t="s">
        <v>643</v>
      </c>
      <c r="L1" s="3695"/>
      <c r="M1" s="3695"/>
      <c r="N1" s="3690"/>
      <c r="O1" s="3696" t="s">
        <v>644</v>
      </c>
      <c r="P1" s="3697"/>
      <c r="Q1" s="3697"/>
      <c r="R1" s="3697"/>
      <c r="S1" s="3698"/>
      <c r="T1" s="3699" t="s">
        <v>645</v>
      </c>
      <c r="U1" s="3700"/>
      <c r="V1" s="3700"/>
      <c r="W1" s="3700"/>
      <c r="X1" s="3701"/>
      <c r="Y1" s="3702" t="s">
        <v>646</v>
      </c>
      <c r="Z1" s="3703"/>
      <c r="AA1" s="3703"/>
      <c r="AB1" s="3704"/>
      <c r="AC1" s="3705" t="s">
        <v>647</v>
      </c>
      <c r="AD1" s="3695"/>
      <c r="AE1" s="3695"/>
      <c r="AF1" s="3695"/>
      <c r="AG1" s="3690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3693" t="s">
        <v>651</v>
      </c>
      <c r="B8" s="3694"/>
      <c r="C8" s="3694"/>
      <c r="D8" s="3694"/>
      <c r="E8" s="3694"/>
      <c r="F8" s="3694"/>
      <c r="G8" s="3694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706" t="s">
        <v>710</v>
      </c>
      <c r="C20" s="3707"/>
      <c r="D20" s="3707"/>
      <c r="E20" s="3707"/>
      <c r="F20" s="3707"/>
      <c r="G20" s="3707"/>
      <c r="H20" s="3708"/>
    </row>
    <row r="21" spans="1:13" ht="15.75" customHeight="1" x14ac:dyDescent="0.25"/>
    <row r="22" spans="1:13" ht="15.75" customHeight="1" x14ac:dyDescent="0.25">
      <c r="A22" s="3706" t="s">
        <v>711</v>
      </c>
      <c r="B22" s="3707"/>
      <c r="C22" s="3708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3"/>
  <sheetViews>
    <sheetView tabSelected="1" topLeftCell="S1" workbookViewId="0">
      <pane ySplit="1" topLeftCell="A2" activePane="bottomLeft" state="frozen"/>
      <selection pane="bottomLeft" activeCell="AI19" sqref="AI19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735" t="s">
        <v>1303</v>
      </c>
      <c r="I3" s="3736"/>
      <c r="J3" s="3736"/>
      <c r="K3" s="3736"/>
      <c r="L3" s="3715" t="s">
        <v>1305</v>
      </c>
      <c r="M3" s="3737"/>
      <c r="N3" s="3737"/>
      <c r="O3" s="3737"/>
      <c r="P3" s="3716" t="s">
        <v>944</v>
      </c>
      <c r="Q3" s="3738"/>
      <c r="R3" s="3738"/>
      <c r="S3" s="3738"/>
      <c r="T3" s="3712" t="s">
        <v>941</v>
      </c>
      <c r="U3" s="3694"/>
      <c r="V3" s="3694"/>
      <c r="W3" s="3694"/>
      <c r="X3" s="3713" t="s">
        <v>1300</v>
      </c>
      <c r="Y3" s="3694"/>
      <c r="Z3" s="3694"/>
      <c r="AA3" s="3694"/>
      <c r="AB3" s="3714" t="s">
        <v>1298</v>
      </c>
      <c r="AC3" s="3694"/>
      <c r="AD3" s="3694"/>
      <c r="AE3" s="3694"/>
      <c r="AF3" s="3716" t="s">
        <v>1029</v>
      </c>
      <c r="AG3" s="3716"/>
      <c r="AH3" s="3716"/>
      <c r="AI3" s="3716"/>
      <c r="AJ3" s="3716" t="s">
        <v>1030</v>
      </c>
      <c r="AK3" s="3716"/>
      <c r="AL3" s="3716"/>
      <c r="AM3" s="3716"/>
      <c r="AN3" s="3715" t="s">
        <v>1237</v>
      </c>
      <c r="AO3" s="3715"/>
      <c r="AP3" s="3715"/>
      <c r="AQ3" s="3715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AVERAGE(B21,B24,B39,B40,B47,B49,B51,B52,B65,B80,B82,B92,B93,B112,B130,B140,B148,B150,B153,B154,B155,B157,B161,B181,B196,B204,B222,B223,B231,B239,B243,B249)</f>
        <v>1.1440625</v>
      </c>
      <c r="Y4" s="1">
        <f t="shared" ref="Y4:AA4" si="4">AVERAGE(C21,C24,C39,C40,C47,C49,C51,C52,C65,C80,C82,C92,C93,C112,C130,C140,C148,C150,C153,C154,C155,C157,C161,C181,C196,C204,C222,C223,C231,C239,C243,C249)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709">
        <f>AVERAGE(H4:I4)</f>
        <v>1.0193362533692722</v>
      </c>
      <c r="I5" s="3709"/>
      <c r="J5" s="3709"/>
      <c r="K5" s="3709"/>
      <c r="L5" s="3709">
        <f>AVERAGE(L4:M4)</f>
        <v>1.0659129143988122</v>
      </c>
      <c r="M5" s="3709"/>
      <c r="N5" s="3709"/>
      <c r="O5" s="3709"/>
      <c r="P5" s="3709">
        <f>AVERAGE(P4:Q4)</f>
        <v>0.92159926470588238</v>
      </c>
      <c r="Q5" s="3709"/>
      <c r="R5" s="3709"/>
      <c r="S5" s="3709"/>
      <c r="T5" s="3709">
        <f>AVERAGE(T4:U4)</f>
        <v>1.1372058823529412</v>
      </c>
      <c r="U5" s="3709"/>
      <c r="V5" s="3709"/>
      <c r="W5" s="3709"/>
      <c r="X5" s="3709">
        <f>AVERAGE(X4:Y4)</f>
        <v>1.1944506048387096</v>
      </c>
      <c r="Y5" s="3709"/>
      <c r="Z5" s="3709"/>
      <c r="AA5" s="3709"/>
      <c r="AB5" s="3709">
        <f>AVERAGE(AB4:AC4)</f>
        <v>1.0036596218020022</v>
      </c>
      <c r="AC5" s="3709"/>
      <c r="AD5" s="3709"/>
      <c r="AE5" s="3709"/>
      <c r="AF5" s="3709">
        <f>AVERAGE(AF4:AG4)</f>
        <v>0.74166666666666659</v>
      </c>
      <c r="AG5" s="3709"/>
      <c r="AH5" s="3709"/>
      <c r="AI5" s="3709"/>
      <c r="AJ5" s="3709">
        <f>AVERAGE(AJ4:AK4)</f>
        <v>0.75</v>
      </c>
      <c r="AK5" s="3709"/>
      <c r="AL5" s="3709"/>
      <c r="AM5" s="3709"/>
      <c r="AN5" s="3709">
        <f>AVERAGE(AN4:AO4)</f>
        <v>1.4249999999999998</v>
      </c>
      <c r="AO5" s="3709"/>
      <c r="AP5" s="3709"/>
      <c r="AQ5" s="3709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1129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1130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1131</v>
      </c>
      <c r="B25" s="1">
        <v>1.58</v>
      </c>
      <c r="C25" s="1">
        <v>1.39</v>
      </c>
    </row>
    <row r="26" spans="1:5" ht="15.75" customHeight="1" x14ac:dyDescent="0.25">
      <c r="A26" s="1" t="s">
        <v>1132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1133</v>
      </c>
      <c r="B37" s="1">
        <v>1.24</v>
      </c>
      <c r="C37" s="1">
        <v>1.48</v>
      </c>
    </row>
    <row r="38" spans="1:7" ht="15.75" customHeight="1" x14ac:dyDescent="0.25">
      <c r="A38" s="1" t="s">
        <v>1134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1135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1136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1137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1138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1079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1080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1081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1082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1083</v>
      </c>
      <c r="B218">
        <v>0.85</v>
      </c>
      <c r="C218">
        <v>0.77</v>
      </c>
    </row>
    <row r="219" spans="1:91" x14ac:dyDescent="0.25">
      <c r="A219" s="41" t="s">
        <v>1107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1108</v>
      </c>
      <c r="B220">
        <v>0.48</v>
      </c>
      <c r="C220">
        <v>0.98</v>
      </c>
    </row>
    <row r="221" spans="1:91" x14ac:dyDescent="0.25">
      <c r="A221" s="1557" t="s">
        <v>1109</v>
      </c>
      <c r="B221">
        <v>1.54</v>
      </c>
      <c r="C221">
        <v>1.7</v>
      </c>
    </row>
    <row r="222" spans="1:91" x14ac:dyDescent="0.25">
      <c r="A222" s="1558" t="s">
        <v>1110</v>
      </c>
      <c r="B222">
        <v>1.56</v>
      </c>
      <c r="C222">
        <v>1.56</v>
      </c>
    </row>
    <row r="223" spans="1:91" x14ac:dyDescent="0.25">
      <c r="A223" s="1559" t="s">
        <v>1111</v>
      </c>
      <c r="B223">
        <v>1.64</v>
      </c>
      <c r="C223">
        <v>1.2</v>
      </c>
    </row>
    <row r="224" spans="1:91" x14ac:dyDescent="0.25">
      <c r="A224" s="41" t="s">
        <v>1139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1140</v>
      </c>
      <c r="B226">
        <v>1.44</v>
      </c>
      <c r="C226">
        <v>1.41</v>
      </c>
    </row>
    <row r="227" spans="1:87" x14ac:dyDescent="0.25">
      <c r="A227" s="1832" t="s">
        <v>1141</v>
      </c>
      <c r="B227">
        <v>0.98</v>
      </c>
      <c r="C227">
        <v>1.6</v>
      </c>
    </row>
    <row r="228" spans="1:87" x14ac:dyDescent="0.25">
      <c r="A228" s="44" t="s">
        <v>1169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1170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1232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1233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1234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1235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1236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1238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1239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1240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1241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1279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1280</v>
      </c>
      <c r="B241">
        <v>0.3</v>
      </c>
      <c r="C241">
        <v>0.75</v>
      </c>
    </row>
    <row r="242" spans="1:91" x14ac:dyDescent="0.25">
      <c r="A242" s="3472" t="s">
        <v>1281</v>
      </c>
      <c r="B242">
        <v>1.08</v>
      </c>
      <c r="C242">
        <v>1.01</v>
      </c>
    </row>
    <row r="243" spans="1:91" x14ac:dyDescent="0.25">
      <c r="A243" s="3473" t="s">
        <v>1282</v>
      </c>
      <c r="B243">
        <v>1.18</v>
      </c>
      <c r="C243">
        <v>1.69</v>
      </c>
    </row>
    <row r="244" spans="1:91" x14ac:dyDescent="0.25">
      <c r="A244" s="3474" t="s">
        <v>1192</v>
      </c>
      <c r="B244">
        <v>0.98</v>
      </c>
      <c r="C244">
        <v>0.92</v>
      </c>
    </row>
    <row r="245" spans="1:91" x14ac:dyDescent="0.25">
      <c r="A245" s="44" t="s">
        <v>1295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1296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1297</v>
      </c>
      <c r="B248">
        <v>2.2000000000000002</v>
      </c>
      <c r="C248">
        <v>1.55</v>
      </c>
    </row>
    <row r="249" spans="1:91" x14ac:dyDescent="0.25">
      <c r="A249" s="3596" t="s">
        <v>1299</v>
      </c>
      <c r="B249">
        <v>1</v>
      </c>
      <c r="C249">
        <v>1.1599999999999999</v>
      </c>
    </row>
    <row r="250" spans="1:91" x14ac:dyDescent="0.25">
      <c r="A250" s="3597" t="s">
        <v>1301</v>
      </c>
      <c r="B250">
        <v>1.22</v>
      </c>
      <c r="C250">
        <v>0.81</v>
      </c>
    </row>
    <row r="251" spans="1:91" x14ac:dyDescent="0.25">
      <c r="A251" s="3598" t="s">
        <v>1302</v>
      </c>
      <c r="B251">
        <v>1.7</v>
      </c>
      <c r="C251">
        <v>1.1100000000000001</v>
      </c>
    </row>
    <row r="252" spans="1:91" x14ac:dyDescent="0.25">
      <c r="A252" s="3599" t="s">
        <v>1304</v>
      </c>
      <c r="B252">
        <v>1.51</v>
      </c>
      <c r="C252">
        <v>0.91</v>
      </c>
    </row>
    <row r="253" spans="1:91" ht="15.75" customHeight="1" x14ac:dyDescent="0.25">
      <c r="A253" s="35"/>
      <c r="B253" s="36">
        <f>AVERAGE(B3:B252)</f>
        <v>1.085707547169811</v>
      </c>
      <c r="C253" s="36">
        <f>AVERAGE(C3:C252)</f>
        <v>1.0235858585858584</v>
      </c>
      <c r="D253" s="36">
        <f t="shared" ref="D253:E253" si="8">AVERAGE(D3:D252)</f>
        <v>0.86599999999999999</v>
      </c>
      <c r="E253" s="36">
        <f t="shared" si="8"/>
        <v>0.77888888888888896</v>
      </c>
      <c r="F253" s="36"/>
      <c r="G253" s="35"/>
      <c r="H253" s="2985"/>
      <c r="I253" s="2985"/>
      <c r="J253" s="2985"/>
      <c r="K253" s="2985"/>
      <c r="L253" s="2985"/>
      <c r="M253" s="2985"/>
      <c r="N253" s="2985"/>
      <c r="O253" s="2985"/>
      <c r="P253" s="2985"/>
      <c r="Q253" s="2985"/>
      <c r="R253" s="2985"/>
      <c r="S253" s="2985"/>
      <c r="T253" s="2985"/>
      <c r="U253" s="2985"/>
      <c r="V253" s="2985"/>
      <c r="W253" s="2985"/>
      <c r="X253" s="2985"/>
      <c r="Y253" s="2985"/>
      <c r="Z253" s="2985"/>
      <c r="AA253" s="2985"/>
      <c r="AB253" s="2985"/>
      <c r="AC253" s="2985"/>
      <c r="AD253" s="2985"/>
      <c r="AE253" s="2985"/>
      <c r="AF253" s="2985"/>
      <c r="AG253" s="2985"/>
      <c r="AH253" s="2985"/>
      <c r="AI253" s="2985"/>
      <c r="AJ253" s="2985"/>
      <c r="AK253" s="2985"/>
      <c r="AL253" s="2985"/>
      <c r="AM253" s="2985"/>
      <c r="AN253" s="2985"/>
      <c r="AO253" s="2985"/>
      <c r="AP253" s="2985"/>
      <c r="AQ253" s="2985"/>
      <c r="AR253" s="2985"/>
      <c r="AS253" s="2985"/>
      <c r="AT253" s="2985"/>
      <c r="AU253" s="2985"/>
      <c r="AV253" s="2985"/>
      <c r="AW253" s="2985"/>
      <c r="AX253" s="2985"/>
      <c r="AY253" s="2985"/>
      <c r="AZ253" s="2985"/>
      <c r="BA253" s="2985"/>
      <c r="BB253" s="2985"/>
      <c r="BC253" s="2985"/>
      <c r="BD253" s="2985"/>
      <c r="BE253" s="2985"/>
      <c r="BF253" s="2985"/>
      <c r="BG253" s="2985"/>
      <c r="BH253" s="2985"/>
      <c r="BI253" s="2985"/>
      <c r="BJ253" s="2985"/>
      <c r="BK253" s="2985"/>
      <c r="BL253" s="2985"/>
      <c r="BM253" s="2985"/>
      <c r="BN253" s="2985"/>
      <c r="BO253" s="2985"/>
      <c r="BP253" s="2985"/>
      <c r="BQ253" s="2985"/>
      <c r="BR253" s="2985"/>
      <c r="BS253" s="2985"/>
      <c r="BT253" s="2985"/>
      <c r="BU253" s="2985"/>
      <c r="BV253" s="2985"/>
      <c r="BW253" s="2985"/>
      <c r="BX253" s="2985"/>
      <c r="BY253" s="2985"/>
      <c r="BZ253" s="2985"/>
      <c r="CA253" s="2985"/>
      <c r="CB253" s="2985"/>
      <c r="CC253" s="2985"/>
      <c r="CD253" s="2985"/>
      <c r="CE253" s="2985"/>
      <c r="CF253" s="2985"/>
      <c r="CG253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11"/>
  <sheetViews>
    <sheetView topLeftCell="CG1" workbookViewId="0">
      <pane ySplit="1" topLeftCell="A2" activePane="bottomLeft" state="frozen"/>
      <selection pane="bottomLeft" activeCell="DN6" sqref="CJ1:DS6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717" t="s">
        <v>1219</v>
      </c>
      <c r="CK1" s="3717"/>
      <c r="CL1" s="3717"/>
      <c r="CM1" s="3717"/>
      <c r="CN1" s="3717"/>
      <c r="CO1" s="3717"/>
      <c r="CP1" s="3712" t="s">
        <v>1221</v>
      </c>
      <c r="CQ1" s="3712"/>
      <c r="CR1" s="3712"/>
      <c r="CS1" s="3712"/>
      <c r="CT1" s="3712"/>
      <c r="CU1" s="3712"/>
      <c r="CV1" s="3714" t="s">
        <v>1212</v>
      </c>
      <c r="CW1" s="3714"/>
      <c r="CX1" s="3714"/>
      <c r="CY1" s="3714"/>
      <c r="CZ1" s="3714"/>
      <c r="DA1" s="3714"/>
      <c r="DB1" s="3718" t="s">
        <v>1278</v>
      </c>
      <c r="DC1" s="3718"/>
      <c r="DD1" s="3718"/>
      <c r="DE1" s="3718"/>
      <c r="DF1" s="3718"/>
      <c r="DG1" s="3718"/>
      <c r="DH1" s="3714" t="s">
        <v>1066</v>
      </c>
      <c r="DI1" s="3714"/>
      <c r="DJ1" s="3714"/>
      <c r="DK1" s="3714"/>
      <c r="DL1" s="3714"/>
      <c r="DM1" s="3714"/>
      <c r="DN1" s="3712" t="s">
        <v>997</v>
      </c>
      <c r="DO1" s="3712"/>
      <c r="DP1" s="3712"/>
      <c r="DQ1" s="3712"/>
      <c r="DR1" s="3712"/>
      <c r="DS1" s="3712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AVERAGE(B14,B18,B22,B29,B32,B34,B38,B39,B45,B51,B64,B70,B74,B82,B88,B92,B96,B100,B101,B103)</f>
        <v>1.0682352941176469</v>
      </c>
      <c r="CK2" s="1">
        <f t="shared" ref="CK2:CM2" si="0">AVERAGE(C14,C18,C22,C29,C32,C34,C38,C39,C45,C51,C64,C70,C74,C82,C88,C92,C96,C100,C101,C103)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1.2431034482758621</v>
      </c>
      <c r="CQ2" s="1">
        <f t="shared" ref="CQ2:CS2" si="1">AVERAGE(C3,C7,C8,C12,C15,C19,C20,C24,C26,C28,C30,C37,C40,C46,C48,C50,C69,C72,C73,C75,C79,C81,C84,C90,C91,C94,C97,C102,C104)</f>
        <v>1.0631034482758621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AVERAGE(B9,B11,B36,B44,B52,B58,B68,B86,B98)</f>
        <v>1.2244444444444447</v>
      </c>
      <c r="CW2" s="1">
        <f t="shared" ref="CW2:CY2" si="2">AVERAGE(C9,C11,C36,C44,C52,C58,C68,C86,C98)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3693">
        <f>_xlfn.AGGREGATE(1,6,CJ2:CO2)</f>
        <v>1.0372058823529411</v>
      </c>
      <c r="CK3" s="3693"/>
      <c r="CL3" s="3693"/>
      <c r="CM3" s="3693"/>
      <c r="CN3" s="3693"/>
      <c r="CO3" s="3693"/>
      <c r="CP3" s="3693">
        <f t="shared" ref="CP3" si="6">_xlfn.AGGREGATE(1,6,CP2:CU2)</f>
        <v>1.0979948914431672</v>
      </c>
      <c r="CQ3" s="3693"/>
      <c r="CR3" s="3693"/>
      <c r="CS3" s="3693"/>
      <c r="CT3" s="3693"/>
      <c r="CU3" s="3693"/>
      <c r="CV3" s="3693">
        <f t="shared" ref="CV3" si="7">_xlfn.AGGREGATE(1,6,CV2:DA2)</f>
        <v>1.1217460317460317</v>
      </c>
      <c r="CW3" s="3693"/>
      <c r="CX3" s="3693"/>
      <c r="CY3" s="3693"/>
      <c r="CZ3" s="3693"/>
      <c r="DA3" s="3693"/>
      <c r="DB3" s="3693">
        <f t="shared" ref="DB3" si="8">_xlfn.AGGREGATE(1,6,DB2:DG2)</f>
        <v>1.1828888888888889</v>
      </c>
      <c r="DC3" s="3693"/>
      <c r="DD3" s="3693"/>
      <c r="DE3" s="3693"/>
      <c r="DF3" s="3693"/>
      <c r="DG3" s="3693"/>
      <c r="DH3" s="3693">
        <f t="shared" ref="DH3" si="9">_xlfn.AGGREGATE(1,6,DH2:DM2)</f>
        <v>0.97333333333333327</v>
      </c>
      <c r="DI3" s="3693"/>
      <c r="DJ3" s="3693"/>
      <c r="DK3" s="3693"/>
      <c r="DL3" s="3693"/>
      <c r="DM3" s="3693"/>
      <c r="DN3" s="3693" t="e">
        <f t="shared" ref="DN3" si="10">_xlfn.AGGREGATE(1,6,DN2:DS2)</f>
        <v>#DIV/0!</v>
      </c>
      <c r="DO3" s="3693"/>
      <c r="DP3" s="3693"/>
      <c r="DQ3" s="3693"/>
      <c r="DR3" s="3693"/>
      <c r="DS3" s="3693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714" t="s">
        <v>1168</v>
      </c>
      <c r="CK4" s="3714"/>
      <c r="CL4" s="3714"/>
      <c r="CM4" s="3714"/>
      <c r="CN4" s="3714"/>
      <c r="CO4" s="3714"/>
      <c r="CP4" s="3711" t="s">
        <v>993</v>
      </c>
      <c r="CQ4" s="3711"/>
      <c r="CR4" s="3711"/>
      <c r="CS4" s="3711"/>
      <c r="CT4" s="3711"/>
      <c r="CU4" s="3711"/>
      <c r="CV4" s="3712" t="s">
        <v>994</v>
      </c>
      <c r="CW4" s="3712"/>
      <c r="CX4" s="3712"/>
      <c r="CY4" s="3712"/>
      <c r="CZ4" s="3712"/>
      <c r="DA4" s="3712"/>
      <c r="DB4" s="3714" t="s">
        <v>995</v>
      </c>
      <c r="DC4" s="3714"/>
      <c r="DD4" s="3714"/>
      <c r="DE4" s="3714"/>
      <c r="DF4" s="3714"/>
      <c r="DG4" s="3714"/>
      <c r="DH4" s="3712" t="s">
        <v>996</v>
      </c>
      <c r="DI4" s="3712"/>
      <c r="DJ4" s="3712"/>
      <c r="DK4" s="3712"/>
      <c r="DL4" s="3712"/>
      <c r="DM4" s="3712"/>
      <c r="DN4" s="3718" t="s">
        <v>1314</v>
      </c>
      <c r="DO4" s="3718"/>
      <c r="DP4" s="3718"/>
      <c r="DQ4" s="3718"/>
      <c r="DR4" s="3718"/>
      <c r="DS4" s="3718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AVERAGE(B23,B54,B65,B76)</f>
        <v>1.0625</v>
      </c>
      <c r="CK5" s="1">
        <f t="shared" ref="CK5:CM5" si="11">AVERAGE(C23,C54,C65,C76)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AVERAGE(B31,B35,B43,B55,B60,B62,B66,B78,B87,B110)</f>
        <v>1.0820000000000003</v>
      </c>
      <c r="DO5" s="1">
        <f t="shared" ref="DO5:DQ5" si="16">AVERAGE(C31,C35,C43,C55,C60,C62,C66,C78,C87,C110)</f>
        <v>0.97399999999999987</v>
      </c>
      <c r="DP5" s="1">
        <f t="shared" si="16"/>
        <v>1.1277777777777775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3693">
        <f>_xlfn.AGGREGATE(1,6,CJ5:CO5)</f>
        <v>1.085</v>
      </c>
      <c r="CK6" s="3693"/>
      <c r="CL6" s="3693"/>
      <c r="CM6" s="3693"/>
      <c r="CN6" s="3693"/>
      <c r="CO6" s="3693"/>
      <c r="CP6" s="3693" t="e">
        <f t="shared" ref="CP6" si="17">_xlfn.AGGREGATE(1,6,CP5:CU5)</f>
        <v>#DIV/0!</v>
      </c>
      <c r="CQ6" s="3693"/>
      <c r="CR6" s="3693"/>
      <c r="CS6" s="3693"/>
      <c r="CT6" s="3693"/>
      <c r="CU6" s="3693"/>
      <c r="CV6" s="3693" t="e">
        <f t="shared" ref="CV6" si="18">_xlfn.AGGREGATE(1,6,CV5:DA5)</f>
        <v>#DIV/0!</v>
      </c>
      <c r="CW6" s="3693"/>
      <c r="CX6" s="3693"/>
      <c r="CY6" s="3693"/>
      <c r="CZ6" s="3693"/>
      <c r="DA6" s="3693"/>
      <c r="DB6" s="3693">
        <f t="shared" ref="DB6" si="19">_xlfn.AGGREGATE(1,6,DB5:DG5)</f>
        <v>1.0416666666666667</v>
      </c>
      <c r="DC6" s="3693"/>
      <c r="DD6" s="3693"/>
      <c r="DE6" s="3693"/>
      <c r="DF6" s="3693"/>
      <c r="DG6" s="3693"/>
      <c r="DH6" s="3693" t="e">
        <f t="shared" ref="DH6" si="20">_xlfn.AGGREGATE(1,6,DH5:DM5)</f>
        <v>#DIV/0!</v>
      </c>
      <c r="DI6" s="3693"/>
      <c r="DJ6" s="3693"/>
      <c r="DK6" s="3693"/>
      <c r="DL6" s="3693"/>
      <c r="DM6" s="3693"/>
      <c r="DN6" s="3693">
        <f t="shared" ref="DN6" si="21">_xlfn.AGGREGATE(1,6,DN5:DS5)</f>
        <v>1.0612592592592591</v>
      </c>
      <c r="DO6" s="3693"/>
      <c r="DP6" s="3693"/>
      <c r="DQ6" s="3693"/>
      <c r="DR6" s="3693"/>
      <c r="DS6" s="3693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1099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1082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1107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1126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1127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1128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1139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1150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1151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1153</v>
      </c>
    </row>
    <row r="70" spans="1:84" x14ac:dyDescent="0.25">
      <c r="A70" s="1986" t="s">
        <v>1152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1155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1164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1165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1166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1167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1169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1184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1175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1185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1186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1177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1187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1188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1193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1195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1191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1196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1197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1198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1199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1206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1209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105" x14ac:dyDescent="0.25">
      <c r="A97" s="2768" t="s">
        <v>1210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105" x14ac:dyDescent="0.25">
      <c r="A98" s="2781" t="s">
        <v>1211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105" x14ac:dyDescent="0.25">
      <c r="A99" s="40" t="s">
        <v>1214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105" x14ac:dyDescent="0.25">
      <c r="A100" s="2806" t="s">
        <v>1215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105" x14ac:dyDescent="0.25">
      <c r="A101" s="2819" t="s">
        <v>1216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105" x14ac:dyDescent="0.25">
      <c r="A102" s="2832" t="s">
        <v>1217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105" x14ac:dyDescent="0.25">
      <c r="A103" s="2845" t="s">
        <v>1218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105" x14ac:dyDescent="0.25">
      <c r="A104" s="2858" t="s">
        <v>1220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105" x14ac:dyDescent="0.25">
      <c r="A105" s="44" t="s">
        <v>1225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105" x14ac:dyDescent="0.25">
      <c r="A106" s="2972" t="s">
        <v>1227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105" x14ac:dyDescent="0.25">
      <c r="A107" s="44" t="s">
        <v>1267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105" x14ac:dyDescent="0.25">
      <c r="A108" s="3457" t="s">
        <v>1277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105" x14ac:dyDescent="0.25">
      <c r="A109" s="44" t="s">
        <v>1295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105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105" x14ac:dyDescent="0.25">
      <c r="B111" s="1">
        <f t="shared" ref="B111:G111" si="22">AVERAGE(B3:B110)</f>
        <v>1.1639506172839507</v>
      </c>
      <c r="C111" s="1">
        <f t="shared" si="22"/>
        <v>1.0662962962962967</v>
      </c>
      <c r="D111" s="1">
        <f t="shared" si="22"/>
        <v>1.0344827586206895</v>
      </c>
      <c r="E111" s="1" t="e">
        <f t="shared" si="22"/>
        <v>#DIV/0!</v>
      </c>
      <c r="F111" s="2">
        <f>AVERAGE(F3:F110)</f>
        <v>0.66666666666666663</v>
      </c>
      <c r="G111" s="2">
        <f>AVERAGE(G3:G110)</f>
        <v>2.6666666666666665</v>
      </c>
      <c r="H111" s="2">
        <f t="shared" ref="H111:AP111" si="23">AVERAGE(H3:H110)</f>
        <v>0.98765432098765427</v>
      </c>
      <c r="I111" s="2">
        <f t="shared" si="23"/>
        <v>0.13580246913580246</v>
      </c>
      <c r="J111" s="2">
        <f t="shared" si="23"/>
        <v>2.4691358024691357E-2</v>
      </c>
      <c r="K111" s="2">
        <f t="shared" si="23"/>
        <v>0.13580246913580246</v>
      </c>
      <c r="L111" s="2">
        <f t="shared" si="23"/>
        <v>2.3580246913580245</v>
      </c>
      <c r="M111" s="2">
        <f t="shared" si="23"/>
        <v>0.58024691358024694</v>
      </c>
      <c r="N111" s="2">
        <f t="shared" si="23"/>
        <v>0.25925925925925924</v>
      </c>
      <c r="O111" s="2">
        <f t="shared" si="23"/>
        <v>4.9382716049382713E-2</v>
      </c>
      <c r="P111" s="2">
        <f t="shared" si="23"/>
        <v>2.4691358024691357E-2</v>
      </c>
      <c r="Q111" s="2">
        <f t="shared" si="23"/>
        <v>0</v>
      </c>
      <c r="R111" s="2">
        <f t="shared" si="23"/>
        <v>0</v>
      </c>
      <c r="S111" s="2">
        <f t="shared" si="23"/>
        <v>0.40740740740740738</v>
      </c>
      <c r="T111" s="2">
        <f t="shared" si="23"/>
        <v>0.93827160493827155</v>
      </c>
      <c r="U111" s="2">
        <f t="shared" si="23"/>
        <v>0.66666666666666663</v>
      </c>
      <c r="V111" s="2">
        <f t="shared" si="23"/>
        <v>0.13580246913580246</v>
      </c>
      <c r="W111" s="2">
        <f t="shared" si="23"/>
        <v>4.9382716049382713E-2</v>
      </c>
      <c r="X111" s="2">
        <f t="shared" si="23"/>
        <v>0.25925925925925924</v>
      </c>
      <c r="Y111" s="2">
        <f t="shared" si="23"/>
        <v>3.1481481481481484</v>
      </c>
      <c r="Z111" s="2">
        <f t="shared" si="23"/>
        <v>0.49382716049382713</v>
      </c>
      <c r="AA111" s="2">
        <f t="shared" si="23"/>
        <v>0.27160493827160492</v>
      </c>
      <c r="AB111" s="2">
        <f t="shared" si="23"/>
        <v>0.18518518518518517</v>
      </c>
      <c r="AC111" s="2">
        <f t="shared" si="23"/>
        <v>7.407407407407407E-2</v>
      </c>
      <c r="AD111" s="2">
        <f t="shared" si="23"/>
        <v>1.2345679012345678E-2</v>
      </c>
      <c r="AE111" s="2">
        <f t="shared" si="23"/>
        <v>0</v>
      </c>
      <c r="AF111" s="2">
        <f t="shared" si="23"/>
        <v>1.0689655172413792</v>
      </c>
      <c r="AG111" s="2">
        <f t="shared" si="23"/>
        <v>1.603448275862069</v>
      </c>
      <c r="AH111" s="2">
        <f t="shared" si="23"/>
        <v>0.63793103448275867</v>
      </c>
      <c r="AI111" s="2">
        <f t="shared" si="23"/>
        <v>0.18965517241379309</v>
      </c>
      <c r="AJ111" s="2">
        <f t="shared" si="23"/>
        <v>1.7241379310344827E-2</v>
      </c>
      <c r="AK111" s="2">
        <f t="shared" si="23"/>
        <v>0.29310344827586204</v>
      </c>
      <c r="AL111" s="2">
        <f t="shared" si="23"/>
        <v>2.6724137931034484</v>
      </c>
      <c r="AM111" s="2">
        <f t="shared" si="23"/>
        <v>0.43103448275862066</v>
      </c>
      <c r="AN111" s="2">
        <f t="shared" si="23"/>
        <v>0.44827586206896552</v>
      </c>
      <c r="AO111" s="2">
        <f t="shared" si="23"/>
        <v>0.13793103448275862</v>
      </c>
      <c r="AP111" s="2">
        <f t="shared" si="23"/>
        <v>5.1724137931034482E-2</v>
      </c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I111" s="47"/>
      <c r="BJ111" s="47"/>
      <c r="BK111" s="47"/>
      <c r="BL111" s="47"/>
      <c r="BM111" s="47"/>
      <c r="BN111" s="47"/>
      <c r="BO111" s="47"/>
      <c r="BP111" s="47"/>
      <c r="BQ111" s="47"/>
      <c r="BR111" s="47"/>
      <c r="BS111" s="47"/>
      <c r="BT111" s="47"/>
      <c r="BU111" s="47"/>
      <c r="BV111" s="47"/>
      <c r="BW111" s="47"/>
      <c r="BX111" s="47"/>
      <c r="BY111" s="47"/>
      <c r="BZ111" s="47"/>
      <c r="CA111" s="47"/>
      <c r="CB111" s="47"/>
      <c r="CC111" s="47"/>
      <c r="CF111" s="344"/>
      <c r="CG111" s="344"/>
      <c r="CH111" s="344"/>
      <c r="CI111" s="344"/>
      <c r="CJ111" s="344"/>
      <c r="CK111" s="344"/>
      <c r="CL111" s="344"/>
      <c r="CM111" s="344"/>
      <c r="CN111" s="344"/>
      <c r="CO111" s="344"/>
      <c r="CP111" s="344"/>
      <c r="CQ111" s="344"/>
      <c r="CR111" s="344"/>
      <c r="CS111" s="344"/>
      <c r="CT111" s="344"/>
      <c r="CU111" s="344"/>
      <c r="CV111" s="344"/>
      <c r="CW111" s="344"/>
      <c r="CX111" s="344"/>
      <c r="CY111" s="344"/>
      <c r="CZ111" s="344"/>
      <c r="DA111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18"/>
  <sheetViews>
    <sheetView topLeftCell="DN1" workbookViewId="0">
      <pane ySplit="1" topLeftCell="A2" activePane="bottomLeft" state="frozen"/>
      <selection pane="bottomLeft" activeCell="EA34" sqref="EA34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730" t="s">
        <v>1309</v>
      </c>
      <c r="CK1" s="3726"/>
      <c r="CL1" s="3726"/>
      <c r="CM1" s="3726"/>
      <c r="CN1" s="3726"/>
      <c r="CO1" s="3727"/>
      <c r="CP1" s="3722" t="s">
        <v>1290</v>
      </c>
      <c r="CQ1" s="3723"/>
      <c r="CR1" s="3723"/>
      <c r="CS1" s="3723"/>
      <c r="CT1" s="3723"/>
      <c r="CU1" s="3724"/>
      <c r="CV1" s="3725" t="s">
        <v>1291</v>
      </c>
      <c r="CW1" s="3726"/>
      <c r="CX1" s="3726"/>
      <c r="CY1" s="3726"/>
      <c r="CZ1" s="3726"/>
      <c r="DA1" s="3727"/>
      <c r="DB1" s="3731" t="s">
        <v>1307</v>
      </c>
      <c r="DC1" s="3726"/>
      <c r="DD1" s="3726"/>
      <c r="DE1" s="3726"/>
      <c r="DF1" s="3726"/>
      <c r="DG1" s="3727"/>
      <c r="DH1" s="3732" t="s">
        <v>1288</v>
      </c>
      <c r="DI1" s="3733"/>
      <c r="DJ1" s="3733"/>
      <c r="DK1" s="3733"/>
      <c r="DL1" s="3733"/>
      <c r="DM1" s="3734"/>
      <c r="DN1" s="3722" t="s">
        <v>991</v>
      </c>
      <c r="DO1" s="3723"/>
      <c r="DP1" s="3723"/>
      <c r="DQ1" s="3723"/>
      <c r="DR1" s="3723"/>
      <c r="DS1" s="3724"/>
      <c r="DT1" s="3722" t="s">
        <v>992</v>
      </c>
      <c r="DU1" s="3723"/>
      <c r="DV1" s="3723"/>
      <c r="DW1" s="3723"/>
      <c r="DX1" s="3723"/>
      <c r="DY1" s="3724"/>
      <c r="DZ1" s="3719" t="s">
        <v>1122</v>
      </c>
      <c r="EA1" s="3720"/>
      <c r="EB1" s="3720"/>
      <c r="EC1" s="3720"/>
      <c r="ED1" s="3720"/>
      <c r="EE1" s="3721"/>
      <c r="EF1" s="3719" t="s">
        <v>1181</v>
      </c>
      <c r="EG1" s="3720"/>
      <c r="EH1" s="3720"/>
      <c r="EI1" s="3720"/>
      <c r="EJ1" s="3720"/>
      <c r="EK1" s="3721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AVERAGE(B3,B11,B19,B26,B42,B44,B52,B55,B61,B69,B76,B84,B85,B88,B94,B109,B118,B125,B129,B149,B151,B145,B157,B175,B179,B195,B204,B212,B218,B224,B229,B238,B244,B264,B267,B273,B278,B293,B299,B311,B315)</f>
        <v>1.151025641025641</v>
      </c>
      <c r="CK2" s="1">
        <f t="shared" ref="CK2:CO2" si="0">AVERAGE(C3,C11,C19,C26,C42,C44,C52,C55,C61,C69,C76,C84,C85,C88,C94,C109,C118,C125,C129,C149,C151,C145,C157,C175,C179,C195,C204,C212,C218,C224,C229,C238,C244,C264,C267,C273,C278,C293,C299,C311,C315)</f>
        <v>1.2013888888888891</v>
      </c>
      <c r="CL2" s="1">
        <f t="shared" si="0"/>
        <v>1.2439130434782608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AVERAGE(B10,B17,B28,B33,B40,B50,B53,B64,B70,B77,B86,B90,B96,B102,B105,B111,B115,B123,B130,B140,B148,B167,B184,B192,B199,B217,B232,B274,B279,B287,B296,B309)</f>
        <v>1.1361290322580646</v>
      </c>
      <c r="CQ2" s="1">
        <f>AVERAGE(C10,C17,C28,C33,C40,C50,C53,C64,C70,C77,C86,C90,C96,C102,C105,C111,C115,C123,C130,C140,C148,C167,C184,C192,C199,C217,C232,C274,C279,C287,C296,C309)</f>
        <v>1.0746666666666667</v>
      </c>
      <c r="CR2" s="1">
        <f>AVERAGE(D10,D17,D28,D33,D40,D50,D53,D64,D70,D77,D86,D90,D96,D102,D105,D111,D115,D123,D130,D140,D148,D167,D184,D192,D199,D217,D232,D274,D287,D296)</f>
        <v>1.2589999999999999</v>
      </c>
      <c r="CS2" s="1">
        <f>AVERAGE(E10,E17,E28,E33,E40,E50,E53,E64,E70,E77,E86,E90,E96,E102,E105,E111,E115,E123,E130,E140,E148,E167,E184,E192,E199,E217,E232,E274)</f>
        <v>0.85000000000000009</v>
      </c>
      <c r="CT2" s="1">
        <f>AVERAGE(F10,F17,F28,F33,F40,F50,F53,F64,F70,F77,F86,F90,F96,F102,F105,F111,F115,F123,F130,F140,F148,F167,F184,F192,F199,F217,F232,F274)</f>
        <v>1.145</v>
      </c>
      <c r="CU2" s="1">
        <f>AVERAGE(G10,G17,G28,G33,G40,G50,G53,G64,G70,G77,G86,G90,G96,G102,G105,G111,G115,G123,G130,G140,G148,G167,G184,G192,G199,G217,G232,G274)</f>
        <v>1.115</v>
      </c>
      <c r="CV2" s="1">
        <f>AVERAGE(B14,B22,B48,B63,B95,B100,B104,B144,B182,B223,B280,B290,B310)</f>
        <v>1.1266666666666667</v>
      </c>
      <c r="CW2" s="1">
        <f t="shared" ref="CW2:DA2" si="1">AVERAGE(C14,C22,C48,C63,C95,C100,C104,C144,C182,C223,C280,C290,C310)</f>
        <v>1.2</v>
      </c>
      <c r="CX2" s="1">
        <f t="shared" si="1"/>
        <v>0.87888888888888894</v>
      </c>
      <c r="CY2" s="1" t="e">
        <f t="shared" si="1"/>
        <v>#DIV/0!</v>
      </c>
      <c r="CZ2" s="1" t="e">
        <f t="shared" si="1"/>
        <v>#DIV/0!</v>
      </c>
      <c r="DA2" s="1" t="e">
        <f t="shared" si="1"/>
        <v>#DIV/0!</v>
      </c>
      <c r="DB2" s="1">
        <f>AVERAGE(B12,B16,B62,B81,B120,B137,B155,B170,B180,B190,B191,B194,B196,B271,B285,B289,B306,B314)</f>
        <v>1.1118750000000002</v>
      </c>
      <c r="DC2" s="1">
        <f t="shared" ref="DC2:DG2" si="2">AVERAGE(C12,C16,C62,C81,C120,C137,C155,C170,C180,C190,C191,C194,C196,C271,C285,C289,C306,C314)</f>
        <v>1.2533333333333334</v>
      </c>
      <c r="DD2" s="1">
        <f t="shared" si="2"/>
        <v>1.2650000000000001</v>
      </c>
      <c r="DE2" s="1" t="e">
        <f t="shared" si="2"/>
        <v>#DIV/0!</v>
      </c>
      <c r="DF2" s="1">
        <f t="shared" si="2"/>
        <v>1.63</v>
      </c>
      <c r="DG2" s="1" t="e">
        <f t="shared" si="2"/>
        <v>#DIV/0!</v>
      </c>
      <c r="DH2" s="1">
        <f>AVERAGE(B18,B27,B35,B41,B46,B99,B107,B114,B147,B185,B234,B248,B253,B272,B281,B298,B308)</f>
        <v>1.2181249999999999</v>
      </c>
      <c r="DI2" s="1">
        <f>AVERAGE(C18,C27,C35,C41,C46,C99,C107,C114,C147,C185,C234,C248,C253,C272,C281,C298,C308)</f>
        <v>1.0824999999999998</v>
      </c>
      <c r="DJ2" s="1">
        <f>AVERAGE(D18,D27,D35,D41,D46,D99,D107,D114,D147,D185,D234,D248,D253,D272,D298)</f>
        <v>0.9853846153846153</v>
      </c>
      <c r="DK2" s="1" t="e">
        <f>AVERAGE(E18,E27,E35,E41,E46,E99,E107,E114,E147,E185,E234,E248,E253,E272)</f>
        <v>#DIV/0!</v>
      </c>
      <c r="DL2" s="1" t="e">
        <f>AVERAGE(F18,F27,F35,F41,F46,F99,F107,F114,F147,F185,F234,F248,F253,F272)</f>
        <v>#DIV/0!</v>
      </c>
      <c r="DM2" s="1">
        <f>AVERAGE(G18,G27,G35,G41,G46,G99,G107,G114,G147,G185,G234,G248,G253,G272)</f>
        <v>0.46</v>
      </c>
      <c r="DN2" s="1">
        <f>AVERAGE(B32,B45,B60,B116,B150)</f>
        <v>1.3260000000000001</v>
      </c>
      <c r="DO2" s="1">
        <f t="shared" ref="DO2:DS2" si="3">AVERAGE(C32,C45,C60,C116,C150)</f>
        <v>1.1080000000000001</v>
      </c>
      <c r="DP2" s="1">
        <f t="shared" si="3"/>
        <v>1.2066666666666668</v>
      </c>
      <c r="DQ2" s="1" t="e">
        <f t="shared" si="3"/>
        <v>#DIV/0!</v>
      </c>
      <c r="DR2" s="1" t="e">
        <f t="shared" si="3"/>
        <v>#DIV/0!</v>
      </c>
      <c r="DS2" s="1" t="e">
        <f t="shared" si="3"/>
        <v>#DIV/0!</v>
      </c>
      <c r="DT2" s="1">
        <f>AVERAGE(B74)</f>
        <v>1.6</v>
      </c>
      <c r="DU2" s="1">
        <f t="shared" ref="DU2:DY2" si="4">AVERAGE(C74)</f>
        <v>1.1100000000000001</v>
      </c>
      <c r="DV2" s="1" t="e">
        <f t="shared" si="4"/>
        <v>#DIV/0!</v>
      </c>
      <c r="DW2" s="1" t="e">
        <f t="shared" si="4"/>
        <v>#DIV/0!</v>
      </c>
      <c r="DX2" s="1" t="e">
        <f t="shared" si="4"/>
        <v>#DIV/0!</v>
      </c>
      <c r="DY2" s="1" t="e">
        <f t="shared" si="4"/>
        <v>#DIV/0!</v>
      </c>
      <c r="DZ2" s="1">
        <f>AVERAGE(B160,B173,B174,B177,B215)</f>
        <v>0.96000000000000019</v>
      </c>
      <c r="EA2" s="1">
        <f t="shared" ref="EA2:EE2" si="5">AVERAGE(C160,C173,C174,C177,C215)</f>
        <v>1.4159999999999999</v>
      </c>
      <c r="EB2" s="1">
        <f t="shared" si="5"/>
        <v>0.84250000000000003</v>
      </c>
      <c r="EC2" s="1" t="e">
        <f t="shared" si="5"/>
        <v>#DIV/0!</v>
      </c>
      <c r="ED2" s="1" t="e">
        <f t="shared" si="5"/>
        <v>#DIV/0!</v>
      </c>
      <c r="EE2" s="1" t="e">
        <f t="shared" si="5"/>
        <v>#DIV/0!</v>
      </c>
      <c r="EF2" s="1">
        <f>AVERAGE(B246)</f>
        <v>0.64</v>
      </c>
      <c r="EG2" s="1">
        <f t="shared" ref="EG2:EK2" si="6">AVERAGE(C246)</f>
        <v>0.99</v>
      </c>
      <c r="EH2" s="1">
        <f t="shared" si="6"/>
        <v>1.21</v>
      </c>
      <c r="EI2" s="1" t="e">
        <f t="shared" si="6"/>
        <v>#DIV/0!</v>
      </c>
      <c r="EJ2" s="1" t="e">
        <f t="shared" si="6"/>
        <v>#DIV/0!</v>
      </c>
      <c r="EK2" s="1" t="e">
        <f t="shared" si="6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3693">
        <f>_xlfn.AGGREGATE(1,3,CJ2:CL2)</f>
        <v>1.1987758577975969</v>
      </c>
      <c r="CK3" s="3694"/>
      <c r="CL3" s="3694"/>
      <c r="CM3" s="3694"/>
      <c r="CN3" s="3694"/>
      <c r="CO3" s="3694"/>
      <c r="CP3" s="3693">
        <f>_xlfn.AGGREGATE(1,3,CP2:CR2)</f>
        <v>1.1565985663082439</v>
      </c>
      <c r="CQ3" s="3694"/>
      <c r="CR3" s="3694"/>
      <c r="CS3" s="3694"/>
      <c r="CT3" s="3694"/>
      <c r="CU3" s="3694"/>
      <c r="CV3" s="3693">
        <f>_xlfn.AGGREGATE(1,3,CV2:CX2)</f>
        <v>1.0685185185185186</v>
      </c>
      <c r="CW3" s="3694"/>
      <c r="CX3" s="3694"/>
      <c r="CY3" s="3694"/>
      <c r="CZ3" s="3694"/>
      <c r="DA3" s="3694"/>
      <c r="DB3" s="3693">
        <f>_xlfn.AGGREGATE(1,3,DB2:DD2)</f>
        <v>1.2100694444444444</v>
      </c>
      <c r="DC3" s="3694"/>
      <c r="DD3" s="3694"/>
      <c r="DE3" s="3694"/>
      <c r="DF3" s="3694"/>
      <c r="DG3" s="3694"/>
      <c r="DH3" s="3693">
        <f>_xlfn.AGGREGATE(1,3,DH2:DJ2)</f>
        <v>1.0953365384615383</v>
      </c>
      <c r="DI3" s="3694"/>
      <c r="DJ3" s="3694"/>
      <c r="DK3" s="3694"/>
      <c r="DL3" s="3694"/>
      <c r="DM3" s="3694"/>
      <c r="DN3" s="3693">
        <f t="shared" ref="DN3" si="7">_xlfn.AGGREGATE(1,6,DN2:DS2)</f>
        <v>1.2135555555555557</v>
      </c>
      <c r="DO3" s="3694"/>
      <c r="DP3" s="3694"/>
      <c r="DQ3" s="3694"/>
      <c r="DR3" s="3694"/>
      <c r="DS3" s="3694"/>
      <c r="DT3" s="3693">
        <f>_xlfn.AGGREGATE(1,3,DT2:DV2)</f>
        <v>1.355</v>
      </c>
      <c r="DU3" s="3694"/>
      <c r="DV3" s="3694"/>
      <c r="DW3" s="3694"/>
      <c r="DX3" s="3694"/>
      <c r="DY3" s="3694"/>
      <c r="DZ3" s="3693">
        <f>_xlfn.AGGREGATE(1,3,DZ2:EB2)</f>
        <v>1.0728333333333335</v>
      </c>
      <c r="EA3" s="3694"/>
      <c r="EB3" s="3694"/>
      <c r="EC3" s="3694"/>
      <c r="ED3" s="3694"/>
      <c r="EE3" s="3694"/>
      <c r="EF3" s="3693">
        <f>_xlfn.AGGREGATE(1,3,EF2:EH2)</f>
        <v>0.94666666666666666</v>
      </c>
      <c r="EG3" s="3694"/>
      <c r="EH3" s="3694"/>
      <c r="EI3" s="3694"/>
      <c r="EJ3" s="3694"/>
      <c r="EK3" s="3694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728" t="s">
        <v>1313</v>
      </c>
      <c r="CK4" s="3723"/>
      <c r="CL4" s="3723"/>
      <c r="CM4" s="3723"/>
      <c r="CN4" s="3723"/>
      <c r="CO4" s="3724"/>
      <c r="CP4" s="3725" t="s">
        <v>1311</v>
      </c>
      <c r="CQ4" s="3726"/>
      <c r="CR4" s="3726"/>
      <c r="CS4" s="3726"/>
      <c r="CT4" s="3726"/>
      <c r="CU4" s="3727"/>
      <c r="CV4" s="3729" t="s">
        <v>1294</v>
      </c>
      <c r="CW4" s="3723"/>
      <c r="CX4" s="3723"/>
      <c r="CY4" s="3723"/>
      <c r="CZ4" s="3723"/>
      <c r="DA4" s="3724"/>
      <c r="DB4" s="3725" t="s">
        <v>1286</v>
      </c>
      <c r="DC4" s="3726"/>
      <c r="DD4" s="3726"/>
      <c r="DE4" s="3726"/>
      <c r="DF4" s="3726"/>
      <c r="DG4" s="3727"/>
      <c r="DH4" s="3722" t="s">
        <v>946</v>
      </c>
      <c r="DI4" s="3723"/>
      <c r="DJ4" s="3723"/>
      <c r="DK4" s="3723"/>
      <c r="DL4" s="3723"/>
      <c r="DM4" s="3724"/>
      <c r="DN4" s="3719" t="s">
        <v>1194</v>
      </c>
      <c r="DO4" s="3720"/>
      <c r="DP4" s="3720"/>
      <c r="DQ4" s="3720"/>
      <c r="DR4" s="3720"/>
      <c r="DS4" s="3721"/>
      <c r="DT4" s="3722" t="s">
        <v>1163</v>
      </c>
      <c r="DU4" s="3723"/>
      <c r="DV4" s="3723"/>
      <c r="DW4" s="3723"/>
      <c r="DX4" s="3723"/>
      <c r="DY4" s="3724"/>
      <c r="DZ4" s="3719" t="s">
        <v>1208</v>
      </c>
      <c r="EA4" s="3720"/>
      <c r="EB4" s="3720"/>
      <c r="EC4" s="3720"/>
      <c r="ED4" s="3720"/>
      <c r="EE4" s="3721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AVERAGE(B4,B13,B21,B38,B58,B72,B78,B134,B138,B153,B164,B169,B181,B270,B277,B291,B297,B305,B317)</f>
        <v>1.2352941176470591</v>
      </c>
      <c r="CK5" s="1">
        <f t="shared" ref="CK5:CO5" si="8">AVERAGE(C4,C13,C21,C38,C58,C72,C78,C134,C138,C153,C164,C169,C181,C270,C277,C291,C297,C305,C317)</f>
        <v>1.1181250000000003</v>
      </c>
      <c r="CL5" s="1">
        <f t="shared" si="8"/>
        <v>1.1190909090909091</v>
      </c>
      <c r="CM5" s="1" t="e">
        <f t="shared" si="8"/>
        <v>#DIV/0!</v>
      </c>
      <c r="CN5" s="1">
        <f t="shared" si="8"/>
        <v>0.53</v>
      </c>
      <c r="CO5" s="1" t="e">
        <f t="shared" si="8"/>
        <v>#DIV/0!</v>
      </c>
      <c r="CP5" s="1">
        <f t="shared" ref="CP5:CU5" si="9">AVERAGE(B5,B8,B23,B29,B34,B47,B57,B65,B67,B93,B101,B108,B119,B127,B131,B154,B176,B187,B189,B201,B202,B216,B220,B221,B222,B230,B237,B239,B240,B242,B245,B247,B250,B251,B254,B255,B258,B259,B268,B288,B300,B303,B316)</f>
        <v>1.2473809523809525</v>
      </c>
      <c r="CQ5" s="1">
        <f t="shared" si="9"/>
        <v>1.21390243902439</v>
      </c>
      <c r="CR5" s="1">
        <f t="shared" si="9"/>
        <v>1.2083783783783781</v>
      </c>
      <c r="CS5" s="1" t="e">
        <f t="shared" si="9"/>
        <v>#DIV/0!</v>
      </c>
      <c r="CT5" s="1">
        <f t="shared" si="9"/>
        <v>1.105</v>
      </c>
      <c r="CU5" s="1">
        <f t="shared" si="9"/>
        <v>0.98</v>
      </c>
      <c r="CV5" s="1">
        <f>AVERAGE(B6,B9,B37,B82,B92,B97,B124,B128,B139,B152,B183,B226,B231,B257,B266,B284,B292,B312)</f>
        <v>1.2682352941176467</v>
      </c>
      <c r="CW5" s="1">
        <f t="shared" ref="CW5:DA5" si="10">AVERAGE(C6,C9,C37,C82,C92,C97,C124,C128,C139,C152,C183,C226,C231,C257,C266,C284,C292,C312)</f>
        <v>1.1593749999999998</v>
      </c>
      <c r="CX5" s="1">
        <f t="shared" si="10"/>
        <v>1.1276923076923075</v>
      </c>
      <c r="CY5" s="1" t="e">
        <f t="shared" si="10"/>
        <v>#DIV/0!</v>
      </c>
      <c r="CZ5" s="1">
        <f t="shared" si="10"/>
        <v>1.57</v>
      </c>
      <c r="DA5" s="1" t="e">
        <f t="shared" si="10"/>
        <v>#DIV/0!</v>
      </c>
      <c r="DB5" s="1">
        <f>AVERAGE(B24,B30,B39,B71,B75,B80,B106,B117,B165,B168,B171,B186,B197,B203,B211,B214,B233,B256,B263,B275,B282,B294,B301,B307)</f>
        <v>1.1482608695652174</v>
      </c>
      <c r="DC5" s="1">
        <f>AVERAGE(C24,C30,C39,C71,C75,C80,C106,C117,C165,C168,C171,C186,C197,C203,C211,C214,C233,C256,C263,C275,C282,C294,C301,C307)</f>
        <v>1.3747619047619046</v>
      </c>
      <c r="DD5" s="1">
        <f>AVERAGE(D24,D30,D39,D71,D75,D80,D106,D117,D165,D168,D171,D186,D197,D203,D211,D214,D233,D256,D263,D275,D301)</f>
        <v>1.1712500000000001</v>
      </c>
      <c r="DE5" s="1" t="e">
        <f>AVERAGE(E24,E30,E39,E71,E75,E80,E106,E117,E165,E168,E171,E186,E197,E203,E211,E214,E233,E256,E263,E275)</f>
        <v>#DIV/0!</v>
      </c>
      <c r="DF5" s="1">
        <f>AVERAGE(F24,F30,F39,F71,F75,F80,F106,F117,F165,F168,F171,F186,F197,F203,F211,F214,F233,F256,F263,F275)</f>
        <v>1.4649999999999999</v>
      </c>
      <c r="DG5" s="1" t="e">
        <f>AVERAGE(G24,G30,G39,G71,G75,G80,G106,G117,G165,G168,G171,G186,G197,G203,G211,G214,G233,G256,G263,G275)</f>
        <v>#DIV/0!</v>
      </c>
      <c r="DH5" s="1">
        <f>AVERAGE(B20,B136)</f>
        <v>1.1399999999999999</v>
      </c>
      <c r="DI5" s="1">
        <f t="shared" ref="DI5:DM5" si="11">AVERAGE(C20,C136)</f>
        <v>1.26</v>
      </c>
      <c r="DJ5" s="1">
        <f t="shared" si="11"/>
        <v>0.93</v>
      </c>
      <c r="DK5" s="1" t="e">
        <f t="shared" si="11"/>
        <v>#DIV/0!</v>
      </c>
      <c r="DL5" s="1" t="e">
        <f t="shared" si="11"/>
        <v>#DIV/0!</v>
      </c>
      <c r="DM5" s="1" t="e">
        <f t="shared" si="11"/>
        <v>#DIV/0!</v>
      </c>
      <c r="DN5" s="1">
        <f>AVERAGE(B68,B121,B193,B206,B207,B208,B209,B283,B302)</f>
        <v>1.181111111111111</v>
      </c>
      <c r="DO5" s="1">
        <f t="shared" ref="DO5:DS5" si="12">AVERAGE(C68,C121,C193,C206,C207,C208,C209,C283,C302)</f>
        <v>0.98444444444444434</v>
      </c>
      <c r="DP5" s="1">
        <f t="shared" si="12"/>
        <v>0.98999999999999988</v>
      </c>
      <c r="DQ5" s="1" t="e">
        <f t="shared" si="12"/>
        <v>#DIV/0!</v>
      </c>
      <c r="DR5" s="1" t="e">
        <f t="shared" si="12"/>
        <v>#DIV/0!</v>
      </c>
      <c r="DS5" s="1" t="e">
        <f t="shared" si="12"/>
        <v>#DIV/0!</v>
      </c>
      <c r="DT5" s="1">
        <f>AVERAGE(B158,B159,B161,B162,B200,B235)</f>
        <v>1.2483333333333333</v>
      </c>
      <c r="DU5" s="1">
        <f t="shared" ref="DU5:DY5" si="13">AVERAGE(C158,C159,C161,C162,C200,C235)</f>
        <v>1.1433333333333335</v>
      </c>
      <c r="DV5" s="1">
        <f t="shared" si="13"/>
        <v>1.2250000000000001</v>
      </c>
      <c r="DW5" s="1" t="e">
        <f t="shared" si="13"/>
        <v>#DIV/0!</v>
      </c>
      <c r="DX5" s="1" t="e">
        <f t="shared" si="13"/>
        <v>#DIV/0!</v>
      </c>
      <c r="DY5" s="1" t="e">
        <f t="shared" si="13"/>
        <v>#DIV/0!</v>
      </c>
      <c r="DZ5" s="1">
        <f>AVERAGE(B227,B261)</f>
        <v>1.095</v>
      </c>
      <c r="EA5" s="1">
        <f t="shared" ref="EA5:EE5" si="14">AVERAGE(C227,C261)</f>
        <v>0.94</v>
      </c>
      <c r="EB5" s="1">
        <f t="shared" si="14"/>
        <v>0.70500000000000007</v>
      </c>
      <c r="EC5" s="1" t="e">
        <f t="shared" si="14"/>
        <v>#DIV/0!</v>
      </c>
      <c r="ED5" s="1" t="e">
        <f t="shared" si="14"/>
        <v>#DIV/0!</v>
      </c>
      <c r="EE5" s="1" t="e">
        <f t="shared" si="14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3693">
        <f>_xlfn.AGGREGATE(1,3,CJ5:CL5)</f>
        <v>1.1575033422459895</v>
      </c>
      <c r="CK6" s="3694"/>
      <c r="CL6" s="3694"/>
      <c r="CM6" s="3694"/>
      <c r="CN6" s="3694"/>
      <c r="CO6" s="3694"/>
      <c r="CP6" s="3693">
        <f>_xlfn.AGGREGATE(1,3,CP5:CR5)</f>
        <v>1.2232205899279069</v>
      </c>
      <c r="CQ6" s="3694"/>
      <c r="CR6" s="3694"/>
      <c r="CS6" s="3694"/>
      <c r="CT6" s="3694"/>
      <c r="CU6" s="3694"/>
      <c r="CV6" s="3693">
        <f>_xlfn.AGGREGATE(1,3,CV5:CX5)</f>
        <v>1.1851008672699848</v>
      </c>
      <c r="CW6" s="3694"/>
      <c r="CX6" s="3694"/>
      <c r="CY6" s="3694"/>
      <c r="CZ6" s="3694"/>
      <c r="DA6" s="3694"/>
      <c r="DB6" s="3693">
        <f>_xlfn.AGGREGATE(1,3,DB5:DD5)</f>
        <v>1.2314242581090407</v>
      </c>
      <c r="DC6" s="3694"/>
      <c r="DD6" s="3694"/>
      <c r="DE6" s="3694"/>
      <c r="DF6" s="3694"/>
      <c r="DG6" s="3694"/>
      <c r="DH6" s="3693">
        <f>_xlfn.AGGREGATE(1,3,DH5:DJ5)</f>
        <v>1.1100000000000001</v>
      </c>
      <c r="DI6" s="3694"/>
      <c r="DJ6" s="3694"/>
      <c r="DK6" s="3694"/>
      <c r="DL6" s="3694"/>
      <c r="DM6" s="3694"/>
      <c r="DN6" s="3693">
        <f>_xlfn.AGGREGATE(1,3,DN5:DP5)</f>
        <v>1.0518518518518516</v>
      </c>
      <c r="DO6" s="3694"/>
      <c r="DP6" s="3694"/>
      <c r="DQ6" s="3694"/>
      <c r="DR6" s="3694"/>
      <c r="DS6" s="3694"/>
      <c r="DT6" s="3693">
        <f>_xlfn.AGGREGATE(1,3,DT5:DV5)</f>
        <v>1.2055555555555555</v>
      </c>
      <c r="DU6" s="3694"/>
      <c r="DV6" s="3694"/>
      <c r="DW6" s="3694"/>
      <c r="DX6" s="3694"/>
      <c r="DY6" s="3694"/>
      <c r="DZ6" s="3693">
        <f>_xlfn.AGGREGATE(1,3,DZ5:EB5)</f>
        <v>0.91333333333333344</v>
      </c>
      <c r="EA6" s="3694"/>
      <c r="EB6" s="3694"/>
      <c r="EC6" s="3694"/>
      <c r="ED6" s="3694"/>
      <c r="EE6" s="3694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1076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1077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1078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1079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1084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1085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1086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1087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1088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1089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1090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1091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1092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1082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1093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1094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1095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1096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1097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1098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1113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1114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1115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1116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1117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1118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1119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1120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1121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1123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1124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1125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1142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1143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1144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1154</v>
      </c>
    </row>
    <row r="222" spans="1:87" x14ac:dyDescent="0.25">
      <c r="A222" s="1871" t="s">
        <v>1145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1146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1147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1139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1148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1149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1155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1156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1157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1158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1159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1160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1161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1162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1169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1171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1172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1173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1174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1175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1176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1177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1178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1179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1180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1182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1183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1188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1189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1190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1191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1192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1200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1201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1202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1203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1204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1205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1206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1207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1213</v>
      </c>
    </row>
    <row r="262" spans="1:87" x14ac:dyDescent="0.25">
      <c r="A262" s="40" t="s">
        <v>1222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1223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1224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1225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1226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1230</v>
      </c>
    </row>
    <row r="267" spans="1:87" x14ac:dyDescent="0.25">
      <c r="A267" s="2934" t="s">
        <v>1228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1231</v>
      </c>
    </row>
    <row r="268" spans="1:87" x14ac:dyDescent="0.25">
      <c r="A268" s="2947" t="s">
        <v>1229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1239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1242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1243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1244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1245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1246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1247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1248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1249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1250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1251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1252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1253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1254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1255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1256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1257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1258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1259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1260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1261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1262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1263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1264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1265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1266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1267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1268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1269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1270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1271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1272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1273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1274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1276</v>
      </c>
    </row>
    <row r="303" spans="1:88" x14ac:dyDescent="0.25">
      <c r="A303" s="3432" t="s">
        <v>1275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1279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123" x14ac:dyDescent="0.25">
      <c r="A305" s="3487" t="s">
        <v>1283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123" x14ac:dyDescent="0.25">
      <c r="A306" s="3500" t="s">
        <v>1284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123" x14ac:dyDescent="0.25">
      <c r="A307" s="3513" t="s">
        <v>1285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123" ht="15.75" customHeight="1" x14ac:dyDescent="0.25">
      <c r="A308" s="3526" t="s">
        <v>1287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1315</v>
      </c>
      <c r="CK308" s="3591"/>
      <c r="CL308" s="3591"/>
    </row>
    <row r="309" spans="1:123" x14ac:dyDescent="0.25">
      <c r="A309" s="3539" t="s">
        <v>1289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123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123" x14ac:dyDescent="0.25">
      <c r="A311" s="3565" t="s">
        <v>1292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123" x14ac:dyDescent="0.25">
      <c r="A312" s="3578" t="s">
        <v>1293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123" x14ac:dyDescent="0.25">
      <c r="A313" s="40" t="s">
        <v>1295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123" x14ac:dyDescent="0.25">
      <c r="A314" s="3612" t="s">
        <v>1306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123" x14ac:dyDescent="0.25">
      <c r="A315" s="3625" t="s">
        <v>1308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123" x14ac:dyDescent="0.25">
      <c r="A316" s="3638" t="s">
        <v>1310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123" x14ac:dyDescent="0.25">
      <c r="A317" s="3651" t="s">
        <v>1312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123" ht="15.75" customHeight="1" x14ac:dyDescent="0.25">
      <c r="A318" s="35"/>
      <c r="B318" s="36">
        <f t="shared" ref="B318:AG318" si="15">AVERAGE(B3:B317)</f>
        <v>1.1841762452107278</v>
      </c>
      <c r="C318" s="36">
        <f t="shared" si="15"/>
        <v>1.1746613545816742</v>
      </c>
      <c r="D318" s="36">
        <f t="shared" si="15"/>
        <v>1.1581355932203388</v>
      </c>
      <c r="E318" s="36">
        <f t="shared" si="15"/>
        <v>0.66500000000000004</v>
      </c>
      <c r="F318" s="36">
        <f t="shared" si="15"/>
        <v>1.3018181818181818</v>
      </c>
      <c r="G318" s="36">
        <f t="shared" si="15"/>
        <v>0.90166666666666673</v>
      </c>
      <c r="H318" s="47">
        <f t="shared" si="15"/>
        <v>0.6506024096385542</v>
      </c>
      <c r="I318" s="36">
        <f t="shared" si="15"/>
        <v>2.5622489959839356</v>
      </c>
      <c r="J318" s="36">
        <f t="shared" si="15"/>
        <v>0.92771084337349397</v>
      </c>
      <c r="K318" s="36">
        <f t="shared" si="15"/>
        <v>0.12449799196787148</v>
      </c>
      <c r="L318" s="36">
        <f t="shared" si="15"/>
        <v>2.4096385542168676E-2</v>
      </c>
      <c r="M318" s="36">
        <f t="shared" si="15"/>
        <v>0.11244979919678715</v>
      </c>
      <c r="N318" s="36">
        <f t="shared" si="15"/>
        <v>1.9799196787148594</v>
      </c>
      <c r="O318" s="36">
        <f t="shared" si="15"/>
        <v>0.46586345381526106</v>
      </c>
      <c r="P318" s="67">
        <f t="shared" si="15"/>
        <v>0.20883534136546184</v>
      </c>
      <c r="Q318" s="36">
        <f t="shared" si="15"/>
        <v>0.11646586345381527</v>
      </c>
      <c r="R318" s="36">
        <f t="shared" si="15"/>
        <v>5.2208835341365459E-2</v>
      </c>
      <c r="S318" s="36">
        <f t="shared" si="15"/>
        <v>0</v>
      </c>
      <c r="T318" s="36">
        <f t="shared" si="15"/>
        <v>4.0160642570281121E-3</v>
      </c>
      <c r="U318" s="53">
        <f t="shared" si="15"/>
        <v>0.44351464435146443</v>
      </c>
      <c r="V318" s="36">
        <f t="shared" si="15"/>
        <v>0.88702928870292885</v>
      </c>
      <c r="W318" s="36">
        <f t="shared" si="15"/>
        <v>0.79831932773109249</v>
      </c>
      <c r="X318" s="36">
        <f t="shared" si="15"/>
        <v>0.18410041841004185</v>
      </c>
      <c r="Y318" s="36">
        <f t="shared" si="15"/>
        <v>8.368200836820083E-3</v>
      </c>
      <c r="Z318" s="36">
        <f t="shared" si="15"/>
        <v>0.17154811715481172</v>
      </c>
      <c r="AA318" s="36">
        <f t="shared" si="15"/>
        <v>3.2928870292887029</v>
      </c>
      <c r="AB318" s="36">
        <f t="shared" si="15"/>
        <v>0.43514644351464438</v>
      </c>
      <c r="AC318" s="52">
        <f t="shared" si="15"/>
        <v>0.33472803347280333</v>
      </c>
      <c r="AD318" s="36">
        <f t="shared" si="15"/>
        <v>0.22594142259414227</v>
      </c>
      <c r="AE318" s="36">
        <f t="shared" si="15"/>
        <v>0.10460251046025104</v>
      </c>
      <c r="AF318" s="36">
        <f t="shared" si="15"/>
        <v>4.1841004184100415E-3</v>
      </c>
      <c r="AG318" s="36">
        <f t="shared" si="15"/>
        <v>0</v>
      </c>
      <c r="AH318" s="57">
        <f t="shared" ref="AH318:BM318" si="16">AVERAGE(AH3:AH317)</f>
        <v>0.96531791907514453</v>
      </c>
      <c r="AI318" s="36">
        <f t="shared" si="16"/>
        <v>1.9075144508670521</v>
      </c>
      <c r="AJ318" s="36">
        <f t="shared" si="16"/>
        <v>0.94219653179190754</v>
      </c>
      <c r="AK318" s="36">
        <f t="shared" si="16"/>
        <v>0.15028901734104047</v>
      </c>
      <c r="AL318" s="36">
        <f t="shared" si="16"/>
        <v>2.3121387283236993E-2</v>
      </c>
      <c r="AM318" s="36">
        <f t="shared" si="16"/>
        <v>0.24277456647398843</v>
      </c>
      <c r="AN318" s="36">
        <f t="shared" si="16"/>
        <v>2.6589595375722541</v>
      </c>
      <c r="AO318" s="36">
        <f t="shared" si="16"/>
        <v>0.50289017341040465</v>
      </c>
      <c r="AP318" s="60">
        <f t="shared" si="16"/>
        <v>0.2832369942196532</v>
      </c>
      <c r="AQ318" s="36">
        <f t="shared" si="16"/>
        <v>0.10982658959537572</v>
      </c>
      <c r="AR318" s="36">
        <f t="shared" si="16"/>
        <v>6.358381502890173E-2</v>
      </c>
      <c r="AS318" s="36">
        <f t="shared" si="16"/>
        <v>5.7803468208092483E-3</v>
      </c>
      <c r="AT318" s="36">
        <f t="shared" si="16"/>
        <v>0</v>
      </c>
      <c r="AU318" s="6">
        <f t="shared" si="16"/>
        <v>0</v>
      </c>
      <c r="AV318" s="36">
        <f t="shared" si="16"/>
        <v>0.75</v>
      </c>
      <c r="AW318" s="36">
        <f t="shared" si="16"/>
        <v>0.25</v>
      </c>
      <c r="AX318" s="36">
        <f t="shared" si="16"/>
        <v>0.25</v>
      </c>
      <c r="AY318" s="36">
        <f t="shared" si="16"/>
        <v>0</v>
      </c>
      <c r="AZ318" s="36">
        <f t="shared" si="16"/>
        <v>0</v>
      </c>
      <c r="BA318" s="36">
        <f t="shared" si="16"/>
        <v>1</v>
      </c>
      <c r="BB318" s="36">
        <f t="shared" si="16"/>
        <v>0</v>
      </c>
      <c r="BC318" s="13">
        <f t="shared" si="16"/>
        <v>0</v>
      </c>
      <c r="BD318" s="36">
        <f t="shared" si="16"/>
        <v>0</v>
      </c>
      <c r="BE318" s="36">
        <f t="shared" si="16"/>
        <v>0</v>
      </c>
      <c r="BF318" s="36">
        <f t="shared" si="16"/>
        <v>0</v>
      </c>
      <c r="BG318" s="36">
        <f t="shared" si="16"/>
        <v>0</v>
      </c>
      <c r="BH318" s="59">
        <f t="shared" si="16"/>
        <v>0.81818181818181823</v>
      </c>
      <c r="BI318" s="36">
        <f t="shared" si="16"/>
        <v>2.1818181818181817</v>
      </c>
      <c r="BJ318" s="36">
        <f t="shared" si="16"/>
        <v>1.2727272727272727</v>
      </c>
      <c r="BK318" s="36">
        <f t="shared" si="16"/>
        <v>0.27272727272727271</v>
      </c>
      <c r="BL318" s="36">
        <f t="shared" si="16"/>
        <v>0</v>
      </c>
      <c r="BM318" s="36">
        <f t="shared" si="16"/>
        <v>0.81818181818181823</v>
      </c>
      <c r="BN318" s="36">
        <f t="shared" ref="BN318:CG318" si="17">AVERAGE(BN3:BN317)</f>
        <v>2.3636363636363638</v>
      </c>
      <c r="BO318" s="36">
        <f t="shared" si="17"/>
        <v>0.36363636363636365</v>
      </c>
      <c r="BP318" s="60">
        <f t="shared" si="17"/>
        <v>9.0909090909090912E-2</v>
      </c>
      <c r="BQ318" s="36">
        <f t="shared" si="17"/>
        <v>0.18181818181818182</v>
      </c>
      <c r="BR318" s="36">
        <f t="shared" si="17"/>
        <v>0</v>
      </c>
      <c r="BS318" s="36">
        <f t="shared" si="17"/>
        <v>0</v>
      </c>
      <c r="BT318" s="36">
        <f t="shared" si="17"/>
        <v>0</v>
      </c>
      <c r="BU318" s="48">
        <f t="shared" si="17"/>
        <v>0.16666666666666666</v>
      </c>
      <c r="BV318" s="48">
        <f t="shared" si="17"/>
        <v>1.6666666666666667</v>
      </c>
      <c r="BW318" s="48">
        <f t="shared" si="17"/>
        <v>0.66666666666666663</v>
      </c>
      <c r="BX318" s="48">
        <f t="shared" si="17"/>
        <v>0</v>
      </c>
      <c r="BY318" s="48">
        <f t="shared" si="17"/>
        <v>0</v>
      </c>
      <c r="BZ318" s="48">
        <f t="shared" si="17"/>
        <v>0</v>
      </c>
      <c r="CA318" s="48">
        <f t="shared" si="17"/>
        <v>2</v>
      </c>
      <c r="CB318" s="48">
        <f t="shared" si="17"/>
        <v>0.16666666666666666</v>
      </c>
      <c r="CC318" s="13">
        <f t="shared" si="17"/>
        <v>0.33333333333333331</v>
      </c>
      <c r="CD318" s="48">
        <f t="shared" si="17"/>
        <v>0</v>
      </c>
      <c r="CE318" s="48">
        <f t="shared" si="17"/>
        <v>0</v>
      </c>
      <c r="CF318" s="48">
        <f t="shared" si="17"/>
        <v>0</v>
      </c>
      <c r="CG318" s="48">
        <f t="shared" si="17"/>
        <v>0</v>
      </c>
      <c r="CH318" s="35"/>
      <c r="CI318" s="35"/>
      <c r="CJ318" s="35"/>
      <c r="CK318" s="35"/>
      <c r="CL318" s="35"/>
      <c r="CM318" s="35"/>
      <c r="CN318" s="35"/>
      <c r="CO318" s="35"/>
      <c r="CP318" s="35"/>
      <c r="CQ318" s="35"/>
      <c r="CR318" s="35"/>
      <c r="CS318" s="35"/>
      <c r="CT318" s="35"/>
      <c r="CU318" s="35"/>
      <c r="CV318" s="35"/>
      <c r="CW318" s="35"/>
      <c r="CX318" s="35"/>
      <c r="CY318" s="35"/>
      <c r="CZ318" s="35"/>
      <c r="DA318" s="35"/>
      <c r="DB318" s="35"/>
      <c r="DC318" s="35"/>
      <c r="DD318" s="35"/>
      <c r="DE318" s="35"/>
      <c r="DF318" s="35"/>
      <c r="DG318" s="35"/>
      <c r="DH318" s="35"/>
      <c r="DI318" s="35"/>
      <c r="DJ318" s="35"/>
      <c r="DK318" s="35"/>
      <c r="DL318" s="35"/>
      <c r="DM318" s="35"/>
      <c r="DN318" s="35"/>
      <c r="DO318" s="35"/>
      <c r="DP318" s="35"/>
      <c r="DQ318" s="35"/>
      <c r="DR318" s="35"/>
      <c r="DS318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I18" sqref="I18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717" t="s">
        <v>1101</v>
      </c>
      <c r="CK1" s="3717"/>
      <c r="CL1" s="3717"/>
      <c r="CM1" s="3717"/>
      <c r="CN1" s="3717"/>
      <c r="CO1" s="3717"/>
      <c r="CP1" s="3710" t="s">
        <v>1112</v>
      </c>
      <c r="CQ1" s="3711"/>
      <c r="CR1" s="3711"/>
      <c r="CS1" s="3711"/>
      <c r="CT1" s="3711"/>
      <c r="CU1" s="3711"/>
      <c r="CV1" s="3718" t="s">
        <v>1102</v>
      </c>
      <c r="CW1" s="3718"/>
      <c r="CX1" s="3718"/>
      <c r="CY1" s="3718"/>
      <c r="CZ1" s="3718"/>
      <c r="DA1" s="3718"/>
      <c r="DB1" s="3714" t="s">
        <v>1103</v>
      </c>
      <c r="DC1" s="3714"/>
      <c r="DD1" s="3714"/>
      <c r="DE1" s="3714"/>
      <c r="DF1" s="3714"/>
      <c r="DG1" s="3714"/>
      <c r="DH1" s="3718" t="s">
        <v>1105</v>
      </c>
      <c r="DI1" s="3718"/>
      <c r="DJ1" s="3718"/>
      <c r="DK1" s="3718"/>
      <c r="DL1" s="3718"/>
      <c r="DM1" s="3718"/>
      <c r="DN1" s="3712" t="s">
        <v>997</v>
      </c>
      <c r="DO1" s="3712"/>
      <c r="DP1" s="3712"/>
      <c r="DQ1" s="3712"/>
      <c r="DR1" s="3712"/>
      <c r="DS1" s="3712"/>
      <c r="DT1" s="3712" t="s">
        <v>998</v>
      </c>
      <c r="DU1" s="3712"/>
      <c r="DV1" s="3712"/>
      <c r="DW1" s="3712"/>
      <c r="DX1" s="3712"/>
      <c r="DY1" s="3712"/>
    </row>
    <row r="2" spans="1:129" x14ac:dyDescent="0.25">
      <c r="A2" s="44" t="s">
        <v>1107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3693" t="e">
        <f>_xlfn.AGGREGATE(1,6,CJ2:CO2)</f>
        <v>#DIV/0!</v>
      </c>
      <c r="CK3" s="3693"/>
      <c r="CL3" s="3693"/>
      <c r="CM3" s="3693"/>
      <c r="CN3" s="3693"/>
      <c r="CO3" s="3693"/>
      <c r="CP3" s="3693">
        <f t="shared" ref="CP3" si="1">_xlfn.AGGREGATE(1,6,CP2:CU2)</f>
        <v>1.4500000000000002</v>
      </c>
      <c r="CQ3" s="3693"/>
      <c r="CR3" s="3693"/>
      <c r="CS3" s="3693"/>
      <c r="CT3" s="3693"/>
      <c r="CU3" s="3693"/>
      <c r="CV3" s="3693" t="e">
        <f t="shared" ref="CV3" si="2">_xlfn.AGGREGATE(1,6,CV2:DA2)</f>
        <v>#DIV/0!</v>
      </c>
      <c r="CW3" s="3693"/>
      <c r="CX3" s="3693"/>
      <c r="CY3" s="3693"/>
      <c r="CZ3" s="3693"/>
      <c r="DA3" s="3693"/>
      <c r="DB3" s="3693" t="e">
        <f t="shared" ref="DB3" si="3">_xlfn.AGGREGATE(1,6,DB2:DG2)</f>
        <v>#DIV/0!</v>
      </c>
      <c r="DC3" s="3693"/>
      <c r="DD3" s="3693"/>
      <c r="DE3" s="3693"/>
      <c r="DF3" s="3693"/>
      <c r="DG3" s="3693"/>
      <c r="DH3" s="3693" t="e">
        <f t="shared" ref="DH3" si="4">_xlfn.AGGREGATE(1,6,DH2:DM2)</f>
        <v>#DIV/0!</v>
      </c>
      <c r="DI3" s="3693"/>
      <c r="DJ3" s="3693"/>
      <c r="DK3" s="3693"/>
      <c r="DL3" s="3693"/>
      <c r="DM3" s="3693"/>
      <c r="DN3" s="3693" t="e">
        <f t="shared" ref="DN3" si="5">_xlfn.AGGREGATE(1,6,DN2:DS2)</f>
        <v>#DIV/0!</v>
      </c>
      <c r="DO3" s="3693"/>
      <c r="DP3" s="3693"/>
      <c r="DQ3" s="3693"/>
      <c r="DR3" s="3693"/>
      <c r="DS3" s="3693"/>
      <c r="DT3" s="3693" t="e">
        <f t="shared" ref="DT3" si="6">_xlfn.AGGREGATE(1,6,DT2:DY2)</f>
        <v>#DIV/0!</v>
      </c>
      <c r="DU3" s="3693"/>
      <c r="DV3" s="3693"/>
      <c r="DW3" s="3693"/>
      <c r="DX3" s="3693"/>
      <c r="DY3" s="3693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714" t="s">
        <v>1100</v>
      </c>
      <c r="CK4" s="3714"/>
      <c r="CL4" s="3714"/>
      <c r="CM4" s="3714"/>
      <c r="CN4" s="3714"/>
      <c r="CO4" s="3714"/>
      <c r="CP4" s="3711" t="s">
        <v>993</v>
      </c>
      <c r="CQ4" s="3711"/>
      <c r="CR4" s="3711"/>
      <c r="CS4" s="3711"/>
      <c r="CT4" s="3711"/>
      <c r="CU4" s="3711"/>
      <c r="CV4" s="3712" t="s">
        <v>994</v>
      </c>
      <c r="CW4" s="3712"/>
      <c r="CX4" s="3712"/>
      <c r="CY4" s="3712"/>
      <c r="CZ4" s="3712"/>
      <c r="DA4" s="3712"/>
      <c r="DB4" s="3714" t="s">
        <v>1104</v>
      </c>
      <c r="DC4" s="3714"/>
      <c r="DD4" s="3714"/>
      <c r="DE4" s="3714"/>
      <c r="DF4" s="3714"/>
      <c r="DG4" s="3714"/>
      <c r="DH4" s="3712" t="s">
        <v>996</v>
      </c>
      <c r="DI4" s="3712"/>
      <c r="DJ4" s="3712"/>
      <c r="DK4" s="3712"/>
      <c r="DL4" s="3712"/>
      <c r="DM4" s="3712"/>
      <c r="DN4" s="3713" t="s">
        <v>1106</v>
      </c>
      <c r="DO4" s="3712"/>
      <c r="DP4" s="3712"/>
      <c r="DQ4" s="3712"/>
      <c r="DR4" s="3712"/>
      <c r="DS4" s="3712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2025-12-10T18:55:20Z</dcterms:modified>
</cp:coreProperties>
</file>