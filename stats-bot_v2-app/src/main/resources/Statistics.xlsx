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7BC5ED30-E1FA-4FED-BEE1-2137481DCCA1}" xr6:coauthVersionLast="45" xr6:coauthVersionMax="47" xr10:uidLastSave="{00000000-0000-0000-0000-000000000000}"/>
  <bookViews>
    <workbookView xWindow="-120" yWindow="-120" windowWidth="29040" windowHeight="15720" firstSheet="8" activeTab="16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  <sheet name="2026 mm" sheetId="16" r:id="rId16"/>
    <sheet name="Premier 2026" sheetId="18" r:id="rId17"/>
    <sheet name="Faceit 2026" sheetId="17" r:id="rId18"/>
    <sheet name="2х2 2026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K5" i="18" l="1"/>
  <c r="CL5" i="18"/>
  <c r="CJ5" i="18"/>
  <c r="CV2" i="18" l="1"/>
  <c r="T4" i="19"/>
  <c r="L4" i="19"/>
  <c r="M4" i="19"/>
  <c r="N4" i="19"/>
  <c r="O4" i="19"/>
  <c r="U4" i="19"/>
  <c r="V4" i="19"/>
  <c r="W4" i="19"/>
  <c r="B19" i="19"/>
  <c r="CW2" i="18"/>
  <c r="CX2" i="18"/>
  <c r="DF5" i="18"/>
  <c r="DE5" i="18"/>
  <c r="DC5" i="18"/>
  <c r="DD5" i="18"/>
  <c r="DB5" i="18"/>
  <c r="DI2" i="18"/>
  <c r="DJ2" i="18"/>
  <c r="DH2" i="18"/>
  <c r="CQ2" i="18"/>
  <c r="CR2" i="18"/>
  <c r="CP2" i="18"/>
  <c r="CK2" i="18"/>
  <c r="CL2" i="18"/>
  <c r="CJ2" i="18"/>
  <c r="DB5" i="16"/>
  <c r="B48" i="16"/>
  <c r="DI5" i="16" l="1"/>
  <c r="DH6" i="16" s="1"/>
  <c r="DJ5" i="16"/>
  <c r="DK5" i="16"/>
  <c r="DL5" i="16"/>
  <c r="DH5" i="16"/>
  <c r="CW5" i="18"/>
  <c r="CX5" i="18"/>
  <c r="CY5" i="18"/>
  <c r="CZ5" i="18"/>
  <c r="CV5" i="18"/>
  <c r="CQ5" i="18"/>
  <c r="CR5" i="18"/>
  <c r="CS5" i="18"/>
  <c r="CT5" i="18"/>
  <c r="CP5" i="18"/>
  <c r="CM5" i="18"/>
  <c r="CN5" i="18"/>
  <c r="H332" i="14"/>
  <c r="CV2" i="16" l="1"/>
  <c r="CJ2" i="16" l="1"/>
  <c r="DK2" i="18"/>
  <c r="DL2" i="18"/>
  <c r="CY2" i="18"/>
  <c r="CZ2" i="18"/>
  <c r="CS2" i="18"/>
  <c r="CT2" i="18"/>
  <c r="CM2" i="18"/>
  <c r="CN2" i="18"/>
  <c r="AF5" i="19"/>
  <c r="AB5" i="19"/>
  <c r="AG4" i="19"/>
  <c r="AH4" i="19"/>
  <c r="AI4" i="19"/>
  <c r="AF4" i="19"/>
  <c r="AC4" i="19"/>
  <c r="AD4" i="19"/>
  <c r="AE4" i="19"/>
  <c r="AB4" i="19"/>
  <c r="P4" i="19"/>
  <c r="Q4" i="19" l="1"/>
  <c r="R4" i="19"/>
  <c r="S4" i="19"/>
  <c r="I4" i="19"/>
  <c r="J4" i="19"/>
  <c r="K4" i="19"/>
  <c r="H4" i="19"/>
  <c r="T5" i="19" l="1"/>
  <c r="P5" i="19"/>
  <c r="L5" i="19"/>
  <c r="H5" i="19"/>
  <c r="X5" i="19"/>
  <c r="Y4" i="19"/>
  <c r="Z4" i="19"/>
  <c r="AA4" i="19"/>
  <c r="X4" i="19"/>
  <c r="DC5" i="16"/>
  <c r="DD5" i="16"/>
  <c r="DE5" i="16"/>
  <c r="DF5" i="16"/>
  <c r="DG5" i="16"/>
  <c r="CW5" i="16"/>
  <c r="CX5" i="16"/>
  <c r="CY5" i="16"/>
  <c r="CZ5" i="16"/>
  <c r="DA5" i="16"/>
  <c r="CV5" i="16"/>
  <c r="CQ5" i="16"/>
  <c r="CR5" i="16"/>
  <c r="CS5" i="16"/>
  <c r="CT5" i="16"/>
  <c r="CU5" i="16"/>
  <c r="CP5" i="16"/>
  <c r="CK5" i="16"/>
  <c r="CL5" i="16"/>
  <c r="CM5" i="16"/>
  <c r="CN5" i="16"/>
  <c r="CO5" i="16"/>
  <c r="CJ5" i="16"/>
  <c r="DI2" i="16"/>
  <c r="DJ2" i="16"/>
  <c r="DK2" i="16"/>
  <c r="DL2" i="16"/>
  <c r="DH2" i="16"/>
  <c r="DC2" i="16"/>
  <c r="DD2" i="16"/>
  <c r="DE2" i="16"/>
  <c r="DF2" i="16"/>
  <c r="DG2" i="16"/>
  <c r="DB2" i="16"/>
  <c r="CW2" i="16"/>
  <c r="CX2" i="16"/>
  <c r="CY2" i="16"/>
  <c r="CZ2" i="16"/>
  <c r="DA2" i="16"/>
  <c r="CQ2" i="16"/>
  <c r="CR2" i="16"/>
  <c r="CS2" i="16"/>
  <c r="CT2" i="16"/>
  <c r="CU2" i="16"/>
  <c r="CP2" i="16"/>
  <c r="CP3" i="16" s="1"/>
  <c r="CO2" i="16"/>
  <c r="CK2" i="16"/>
  <c r="CL2" i="16"/>
  <c r="CM2" i="16"/>
  <c r="CN2" i="16"/>
  <c r="CV6" i="16" l="1"/>
  <c r="DB6" i="16"/>
  <c r="CP6" i="16"/>
  <c r="DH3" i="16"/>
  <c r="DB3" i="16"/>
  <c r="CV3" i="16"/>
  <c r="H5" i="12"/>
  <c r="B4" i="15" l="1"/>
  <c r="DH3" i="18" l="1"/>
  <c r="DF2" i="18"/>
  <c r="DE2" i="18"/>
  <c r="DD2" i="18"/>
  <c r="DC2" i="18"/>
  <c r="DB2" i="18"/>
  <c r="CP3" i="18"/>
  <c r="DO2" i="17"/>
  <c r="DN2" i="17"/>
  <c r="DM2" i="17"/>
  <c r="DL2" i="17"/>
  <c r="DK2" i="17"/>
  <c r="DJ2" i="17"/>
  <c r="DJ3" i="17" s="1"/>
  <c r="DI2" i="17"/>
  <c r="DH2" i="17"/>
  <c r="DG2" i="17"/>
  <c r="DF2" i="17"/>
  <c r="DE2" i="17"/>
  <c r="DD2" i="17"/>
  <c r="DD3" i="17" s="1"/>
  <c r="DC2" i="17"/>
  <c r="DB2" i="17"/>
  <c r="DA2" i="17"/>
  <c r="CZ2" i="17"/>
  <c r="CY2" i="17"/>
  <c r="CX2" i="17"/>
  <c r="CX3" i="17" s="1"/>
  <c r="CW2" i="17"/>
  <c r="CV2" i="17"/>
  <c r="CU2" i="17"/>
  <c r="CT2" i="17"/>
  <c r="CS2" i="17"/>
  <c r="CR2" i="17"/>
  <c r="CQ2" i="17"/>
  <c r="CP2" i="17"/>
  <c r="CO2" i="17"/>
  <c r="CN2" i="17"/>
  <c r="CM2" i="17"/>
  <c r="CL2" i="17"/>
  <c r="U126" i="13"/>
  <c r="T126" i="13"/>
  <c r="AF126" i="13"/>
  <c r="S126" i="13"/>
  <c r="P126" i="13"/>
  <c r="O126" i="13"/>
  <c r="G126" i="13"/>
  <c r="H126" i="13"/>
  <c r="I126" i="13"/>
  <c r="J126" i="13"/>
  <c r="K126" i="13"/>
  <c r="L126" i="13"/>
  <c r="M126" i="13"/>
  <c r="N126" i="13"/>
  <c r="Q126" i="13"/>
  <c r="R126" i="13"/>
  <c r="F126" i="13"/>
  <c r="DN5" i="13"/>
  <c r="DH2" i="13"/>
  <c r="DB5" i="13"/>
  <c r="DB2" i="13"/>
  <c r="CV5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B126" i="13"/>
  <c r="DU2" i="14"/>
  <c r="DV2" i="14"/>
  <c r="DW2" i="14"/>
  <c r="DX2" i="14"/>
  <c r="DY2" i="14"/>
  <c r="DT2" i="14"/>
  <c r="DZ5" i="14"/>
  <c r="DU5" i="14"/>
  <c r="DV5" i="14"/>
  <c r="DW5" i="14"/>
  <c r="DX5" i="14"/>
  <c r="DY5" i="14"/>
  <c r="DT5" i="14"/>
  <c r="DN5" i="14"/>
  <c r="DO5" i="14"/>
  <c r="DP5" i="14"/>
  <c r="DQ5" i="14"/>
  <c r="DR5" i="14"/>
  <c r="DS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DA5" i="14"/>
  <c r="CW5" i="14"/>
  <c r="CX5" i="14"/>
  <c r="CY5" i="14"/>
  <c r="CZ5" i="14"/>
  <c r="CV5" i="14"/>
  <c r="CW2" i="14"/>
  <c r="CX2" i="14"/>
  <c r="CY2" i="14"/>
  <c r="CZ2" i="14"/>
  <c r="DA2" i="14"/>
  <c r="CV2" i="14"/>
  <c r="CQ5" i="14"/>
  <c r="CR5" i="14"/>
  <c r="CS5" i="14"/>
  <c r="CT5" i="14"/>
  <c r="CU5" i="14"/>
  <c r="CP5" i="14"/>
  <c r="CQ2" i="14"/>
  <c r="CR2" i="14"/>
  <c r="CS2" i="14"/>
  <c r="CT2" i="14"/>
  <c r="CU2" i="14"/>
  <c r="CP2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I332" i="14"/>
  <c r="J332" i="14"/>
  <c r="K332" i="14"/>
  <c r="L332" i="14"/>
  <c r="M332" i="14"/>
  <c r="N332" i="14"/>
  <c r="O332" i="14"/>
  <c r="P332" i="14"/>
  <c r="Q332" i="14"/>
  <c r="R332" i="14"/>
  <c r="S332" i="14"/>
  <c r="T332" i="14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AI332" i="14"/>
  <c r="AJ332" i="14"/>
  <c r="AK332" i="14"/>
  <c r="AL332" i="14"/>
  <c r="AM332" i="14"/>
  <c r="AN332" i="14"/>
  <c r="AO332" i="14"/>
  <c r="AP332" i="14"/>
  <c r="AQ332" i="14"/>
  <c r="AR332" i="14"/>
  <c r="AS332" i="14"/>
  <c r="AT332" i="14"/>
  <c r="AU332" i="14"/>
  <c r="AV332" i="14"/>
  <c r="AW332" i="14"/>
  <c r="AX332" i="14"/>
  <c r="AY332" i="14"/>
  <c r="AZ332" i="14"/>
  <c r="BA332" i="14"/>
  <c r="BB332" i="14"/>
  <c r="BC332" i="14"/>
  <c r="BD332" i="14"/>
  <c r="BE332" i="14"/>
  <c r="BF332" i="14"/>
  <c r="BG332" i="14"/>
  <c r="BH332" i="14"/>
  <c r="BI332" i="14"/>
  <c r="BJ332" i="14"/>
  <c r="BK332" i="14"/>
  <c r="BL332" i="14"/>
  <c r="BM332" i="14"/>
  <c r="BN332" i="14"/>
  <c r="BO332" i="14"/>
  <c r="BP332" i="14"/>
  <c r="BQ332" i="14"/>
  <c r="BR332" i="14"/>
  <c r="BS332" i="14"/>
  <c r="BT332" i="14"/>
  <c r="BU332" i="14"/>
  <c r="BV332" i="14"/>
  <c r="BW332" i="14"/>
  <c r="BX332" i="14"/>
  <c r="BY332" i="14"/>
  <c r="BZ332" i="14"/>
  <c r="CA332" i="14"/>
  <c r="CB332" i="14"/>
  <c r="CC332" i="14"/>
  <c r="CD332" i="14"/>
  <c r="CE332" i="14"/>
  <c r="CF332" i="14"/>
  <c r="CG332" i="14"/>
  <c r="C332" i="14"/>
  <c r="D332" i="14"/>
  <c r="E332" i="14"/>
  <c r="F332" i="14"/>
  <c r="G332" i="14"/>
  <c r="B332" i="14"/>
  <c r="CV3" i="18" l="1"/>
  <c r="CJ3" i="18"/>
  <c r="DB3" i="18"/>
  <c r="CR3" i="17"/>
  <c r="CL3" i="17"/>
  <c r="B257" i="12"/>
  <c r="DJ2" i="13" l="1"/>
  <c r="DI2" i="13"/>
  <c r="DZ2" i="14" l="1"/>
  <c r="DO5" i="13"/>
  <c r="DP5" i="13"/>
  <c r="DQ5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DB3" i="14"/>
  <c r="DK2" i="13" l="1"/>
  <c r="EG2" i="14" l="1"/>
  <c r="EH2" i="14"/>
  <c r="EI2" i="14"/>
  <c r="EJ2" i="14"/>
  <c r="EK2" i="14"/>
  <c r="EF2" i="14"/>
  <c r="EA5" i="14"/>
  <c r="EB5" i="14"/>
  <c r="EC5" i="14"/>
  <c r="ED5" i="14"/>
  <c r="EE5" i="14"/>
  <c r="DZ6" i="14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T3" i="14"/>
  <c r="DH6" i="14"/>
  <c r="DH3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6" i="13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7" i="12"/>
  <c r="D257" i="12"/>
  <c r="C257" i="12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E126" i="13"/>
  <c r="AD126" i="13"/>
  <c r="AC126" i="13"/>
  <c r="AB126" i="13"/>
  <c r="AA126" i="13"/>
  <c r="Z126" i="13"/>
  <c r="Y126" i="13"/>
  <c r="X126" i="13"/>
  <c r="W126" i="13"/>
  <c r="V126" i="13"/>
  <c r="E126" i="13"/>
  <c r="D126" i="13"/>
  <c r="C126" i="13"/>
  <c r="CJ6" i="16"/>
  <c r="CJ3" i="16" l="1"/>
  <c r="DB6" i="18"/>
  <c r="CV6" i="18"/>
  <c r="CP6" i="18"/>
  <c r="CJ6" i="18"/>
  <c r="E19" i="19"/>
  <c r="D19" i="19"/>
  <c r="C19" i="19"/>
  <c r="BS48" i="16"/>
  <c r="BR48" i="16"/>
  <c r="BQ48" i="16"/>
  <c r="BP48" i="16"/>
  <c r="BO48" i="16"/>
  <c r="BN48" i="16"/>
  <c r="BM48" i="16"/>
  <c r="BL48" i="16"/>
  <c r="BK48" i="16"/>
  <c r="BJ48" i="16"/>
  <c r="BI48" i="16"/>
  <c r="BH48" i="16"/>
  <c r="BG48" i="16"/>
  <c r="BF48" i="16"/>
  <c r="BE48" i="16"/>
  <c r="BD48" i="16"/>
  <c r="BC48" i="16"/>
  <c r="BB48" i="16"/>
  <c r="BA48" i="16"/>
  <c r="AZ48" i="16"/>
  <c r="AY48" i="16"/>
  <c r="AX48" i="16"/>
  <c r="AW48" i="16"/>
  <c r="AV48" i="16"/>
  <c r="AU48" i="16"/>
  <c r="AT48" i="16"/>
  <c r="AS48" i="16"/>
  <c r="AR48" i="16"/>
  <c r="AQ48" i="16"/>
  <c r="AP48" i="16"/>
  <c r="AO48" i="16"/>
  <c r="AN48" i="16"/>
  <c r="AM48" i="16"/>
  <c r="AL48" i="16"/>
  <c r="AK48" i="16"/>
  <c r="AJ48" i="16"/>
  <c r="AI48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G48" i="16"/>
  <c r="F48" i="16"/>
  <c r="E48" i="16"/>
  <c r="D48" i="16"/>
  <c r="C48" i="16"/>
  <c r="CB35" i="18"/>
  <c r="CA35" i="18"/>
  <c r="BZ35" i="18"/>
  <c r="BY35" i="18"/>
  <c r="BX35" i="18"/>
  <c r="BW35" i="18"/>
  <c r="BV35" i="18"/>
  <c r="BU35" i="18"/>
  <c r="BT35" i="18"/>
  <c r="BS35" i="18"/>
  <c r="BR35" i="18"/>
  <c r="BQ35" i="18"/>
  <c r="BP35" i="18"/>
  <c r="BO35" i="18"/>
  <c r="BN35" i="18"/>
  <c r="BM35" i="18"/>
  <c r="BL35" i="18"/>
  <c r="BK35" i="18"/>
  <c r="BJ35" i="18"/>
  <c r="BI35" i="18"/>
  <c r="BH35" i="18"/>
  <c r="BG35" i="18"/>
  <c r="BF35" i="18"/>
  <c r="BE35" i="18"/>
  <c r="BD35" i="18"/>
  <c r="BC35" i="18"/>
  <c r="BB35" i="18"/>
  <c r="BA35" i="18"/>
  <c r="AZ35" i="18"/>
  <c r="AY35" i="18"/>
  <c r="AX35" i="18"/>
  <c r="AW35" i="18"/>
  <c r="AV35" i="18"/>
  <c r="AU35" i="18"/>
  <c r="AT35" i="18"/>
  <c r="AS35" i="18"/>
  <c r="AR35" i="18"/>
  <c r="AQ35" i="18"/>
  <c r="AP35" i="18"/>
  <c r="AO35" i="18"/>
  <c r="AN35" i="18"/>
  <c r="AM35" i="18"/>
  <c r="AL35" i="18"/>
  <c r="AK35" i="18"/>
  <c r="AJ35" i="18"/>
  <c r="AI35" i="18"/>
  <c r="AH35" i="18"/>
  <c r="AG35" i="18"/>
  <c r="AF35" i="18"/>
  <c r="AE35" i="18"/>
  <c r="AD35" i="18"/>
  <c r="AC35" i="18"/>
  <c r="AB35" i="18"/>
  <c r="AA35" i="18"/>
  <c r="Z35" i="18"/>
  <c r="Y35" i="18"/>
  <c r="X35" i="18"/>
  <c r="W35" i="18"/>
  <c r="V35" i="18"/>
  <c r="U35" i="18"/>
  <c r="T35" i="18"/>
  <c r="S35" i="18"/>
  <c r="R35" i="18"/>
  <c r="Q35" i="18"/>
  <c r="P35" i="18"/>
  <c r="O35" i="18"/>
  <c r="N35" i="18"/>
  <c r="M35" i="18"/>
  <c r="L35" i="18"/>
  <c r="K35" i="18"/>
  <c r="J35" i="18"/>
  <c r="I35" i="18"/>
  <c r="H35" i="18"/>
  <c r="G35" i="18"/>
  <c r="D35" i="18"/>
  <c r="C35" i="18"/>
  <c r="B35" i="18"/>
</calcChain>
</file>

<file path=xl/sharedStrings.xml><?xml version="1.0" encoding="utf-8"?>
<sst xmlns="http://schemas.openxmlformats.org/spreadsheetml/2006/main" count="2841" uniqueCount="1425">
  <si>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</si>
  <si>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</si>
  <si>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</si>
  <si>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</si>
  <si>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</si>
  <si>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</si>
  <si>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</si>
  <si>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</si>
  <si>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</si>
  <si>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</si>
  <si>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</si>
  <si>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</si>
  <si>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</si>
  <si>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</si>
  <si>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</si>
  <si>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</si>
  <si>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</si>
  <si>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</si>
  <si>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</si>
  <si>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</si>
  <si>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</si>
  <si>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</si>
  <si>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</si>
  <si>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</si>
  <si>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</si>
  <si>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</si>
  <si>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</si>
  <si>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</si>
  <si>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</si>
  <si>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</si>
  <si>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</si>
  <si>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</si>
  <si>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</si>
  <si>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</si>
  <si>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</si>
  <si>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</si>
  <si>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</si>
  <si>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</si>
  <si>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</si>
  <si>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</si>
  <si>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</si>
  <si>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</si>
  <si>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</si>
  <si>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</si>
  <si>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</si>
  <si>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</si>
  <si>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</si>
  <si>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</si>
  <si>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</si>
  <si>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</si>
  <si>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</si>
  <si>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</si>
  <si>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</si>
  <si>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</si>
  <si>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</si>
  <si>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</si>
  <si>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</si>
  <si>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</si>
  <si>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</si>
  <si>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</si>
  <si>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</si>
  <si>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</si>
  <si>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</si>
  <si>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</si>
  <si>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</si>
  <si>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</si>
  <si>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</si>
  <si>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</si>
  <si>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</si>
  <si>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</si>
  <si>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</si>
  <si>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</si>
  <si>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</si>
  <si>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</si>
  <si>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</si>
  <si>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</si>
  <si>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</si>
  <si>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</si>
  <si>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</si>
  <si>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</si>
  <si>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</si>
  <si>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</si>
  <si>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</si>
  <si>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</si>
  <si>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</si>
  <si>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</si>
  <si>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</si>
  <si>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</si>
  <si>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</si>
  <si>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</si>
  <si>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</si>
  <si>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</si>
  <si>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</si>
  <si>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</si>
  <si>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</si>
  <si>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</si>
  <si>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</si>
  <si>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</si>
  <si>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</si>
  <si>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</si>
  <si>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</si>
  <si>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</si>
  <si>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</si>
  <si>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</si>
  <si>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</si>
  <si>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</si>
  <si>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</si>
  <si>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</si>
  <si>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</si>
  <si>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</si>
  <si>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</si>
  <si>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</si>
  <si>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</si>
  <si>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</si>
  <si>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</si>
  <si>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</si>
  <si>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</si>
  <si>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</si>
  <si>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</si>
  <si>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</si>
  <si>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</si>
  <si>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</si>
  <si>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</si>
  <si>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</si>
  <si>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</si>
  <si>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</si>
  <si>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</si>
  <si>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</si>
  <si>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</si>
  <si>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</si>
  <si>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</si>
  <si>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</si>
  <si>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</si>
  <si>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</si>
  <si>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</si>
  <si>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</si>
  <si>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</si>
  <si>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</si>
  <si>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</si>
  <si>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</si>
  <si>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</si>
  <si>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</si>
  <si>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</si>
  <si>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</si>
  <si>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</si>
  <si>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</si>
  <si>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</si>
  <si>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</si>
  <si>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</si>
  <si>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</si>
  <si>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</si>
  <si>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</si>
  <si>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</si>
  <si>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</si>
  <si>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</si>
  <si>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</si>
  <si>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</si>
  <si>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</si>
  <si>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</si>
  <si>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</si>
  <si>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</si>
  <si>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</si>
  <si>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</si>
  <si>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</si>
  <si>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</si>
  <si>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</si>
  <si>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</si>
  <si>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</si>
  <si>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</si>
  <si>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</si>
  <si>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</si>
  <si>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</si>
  <si>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</si>
  <si>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</si>
  <si>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</si>
  <si>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</si>
  <si>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</si>
  <si>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</si>
  <si>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</si>
  <si>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</si>
  <si>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</si>
  <si>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</si>
  <si>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</si>
  <si>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</si>
  <si>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</si>
  <si>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</si>
  <si>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</si>
  <si>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</si>
  <si>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</si>
  <si>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</si>
  <si>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</si>
  <si>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</si>
  <si>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</si>
  <si>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</si>
  <si>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</si>
  <si>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</si>
  <si>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</si>
  <si>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</si>
  <si>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</si>
  <si>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</si>
  <si>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</si>
  <si>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</si>
  <si>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</si>
  <si>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</si>
  <si>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</si>
  <si>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</si>
  <si>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</si>
  <si>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</si>
  <si>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</si>
  <si>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</si>
  <si>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</si>
  <si>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</si>
  <si>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</si>
  <si>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</si>
  <si>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</si>
  <si>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</si>
  <si>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</si>
  <si>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</si>
  <si>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</si>
  <si>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</si>
  <si>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</si>
  <si>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</si>
  <si>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</si>
  <si>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</si>
  <si>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</si>
  <si>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</si>
  <si>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</si>
  <si>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</si>
  <si>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</si>
  <si>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</si>
  <si>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</si>
  <si>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</si>
  <si>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</si>
  <si>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</si>
  <si>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</si>
  <si>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</si>
  <si>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</si>
  <si>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</si>
  <si>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</si>
  <si>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</si>
  <si>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</si>
  <si>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</si>
  <si>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</si>
  <si>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</si>
  <si>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</si>
  <si>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</si>
  <si>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</si>
  <si>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</si>
  <si>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</si>
  <si>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</si>
  <si>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</si>
  <si>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</si>
  <si>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</si>
  <si>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</si>
  <si>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</si>
  <si>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</si>
  <si>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</si>
  <si>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</si>
  <si>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</si>
  <si>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</si>
  <si>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</si>
  <si>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</si>
  <si>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</si>
  <si>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</si>
  <si>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</si>
  <si>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</si>
  <si>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</si>
  <si>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</si>
  <si>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</si>
  <si>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</si>
  <si>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</si>
  <si>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</si>
  <si>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</si>
  <si>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</si>
  <si>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</si>
  <si>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</si>
  <si>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</si>
  <si>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</si>
  <si>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</si>
  <si>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</si>
  <si>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</si>
  <si>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</si>
  <si>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</si>
  <si>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</si>
  <si>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</si>
  <si>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</si>
  <si>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</si>
  <si>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</si>
  <si>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</si>
  <si>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</si>
  <si>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</si>
  <si>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</si>
  <si>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</si>
  <si>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</si>
  <si>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</si>
  <si>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</si>
  <si>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</si>
  <si>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</si>
  <si>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</si>
  <si>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</si>
  <si>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</si>
  <si>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</si>
  <si>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</si>
  <si>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</si>
  <si>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</si>
  <si>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</si>
  <si>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</si>
  <si>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</si>
  <si>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</si>
  <si>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</si>
  <si>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</si>
  <si>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</si>
  <si>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</si>
  <si>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</si>
  <si>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</si>
  <si>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</si>
  <si>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</si>
  <si>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</si>
  <si>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</si>
  <si>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</si>
  <si>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</si>
  <si>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</si>
  <si>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</si>
  <si>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</si>
  <si>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</si>
  <si>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</si>
  <si>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</si>
  <si>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</si>
  <si>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</si>
  <si>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</si>
  <si>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</si>
  <si>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</si>
  <si>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</si>
  <si>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</si>
  <si>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</si>
  <si>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</si>
  <si>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</si>
  <si>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</si>
  <si>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</si>
  <si>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</si>
  <si>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</si>
  <si>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</si>
  <si>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</si>
  <si>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</si>
  <si>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</si>
  <si>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</si>
  <si>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</si>
  <si>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</si>
  <si>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</si>
  <si>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</si>
  <si>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</si>
  <si>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</si>
  <si>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</si>
  <si>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</si>
  <si>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</si>
  <si>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</si>
  <si>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</si>
  <si>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</si>
  <si>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</si>
  <si>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</si>
  <si>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</si>
  <si>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</si>
  <si>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</si>
  <si>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</si>
  <si>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</si>
  <si>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</si>
  <si>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</si>
  <si>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</si>
  <si>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</si>
  <si>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</si>
  <si>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</si>
  <si>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</si>
  <si>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</si>
  <si>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</si>
  <si>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</si>
  <si>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</si>
  <si>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</si>
  <si>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</si>
  <si>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</si>
  <si>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</si>
  <si>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</si>
  <si>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</si>
  <si>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</si>
  <si>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</si>
  <si>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</si>
  <si>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</si>
  <si>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</si>
  <si>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</si>
  <si>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</si>
  <si>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</si>
  <si>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</si>
  <si>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</si>
  <si>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</si>
  <si>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</si>
  <si>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</si>
  <si>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</si>
  <si>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</si>
  <si>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</si>
  <si>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</si>
  <si>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</si>
  <si>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</si>
  <si>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</si>
  <si>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</si>
  <si>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</si>
  <si>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</si>
  <si>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</si>
  <si>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</si>
  <si>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</si>
  <si>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</si>
  <si>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</si>
  <si>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</si>
  <si>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</si>
  <si>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</si>
  <si>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</si>
  <si>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</si>
  <si>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</si>
  <si>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</si>
  <si>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</si>
  <si>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</si>
  <si>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</si>
  <si>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</si>
  <si>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</si>
  <si>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</si>
  <si>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</si>
  <si>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</si>
  <si>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</si>
  <si>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</si>
  <si>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</si>
  <si>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</si>
  <si>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</si>
  <si>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</si>
  <si>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</si>
  <si>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</si>
  <si>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</si>
  <si>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</si>
  <si>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</si>
  <si>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</si>
  <si>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</si>
  <si>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</si>
  <si>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</si>
  <si>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</si>
  <si>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</si>
  <si>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</si>
  <si>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</si>
  <si>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</si>
  <si>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</si>
  <si>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</si>
  <si>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</si>
  <si>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</si>
  <si>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</si>
  <si>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</si>
  <si>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</si>
  <si>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</si>
  <si>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</si>
  <si>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</si>
  <si>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</si>
  <si>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</si>
  <si>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</si>
  <si>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</si>
  <si>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</si>
  <si>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</si>
  <si>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</si>
  <si>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</si>
  <si>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</si>
  <si>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</si>
  <si>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</si>
  <si>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</si>
  <si>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</si>
  <si>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</si>
  <si>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</si>
  <si>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</si>
  <si>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</si>
  <si>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</si>
  <si>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</si>
  <si>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</si>
  <si>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</si>
  <si>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</si>
  <si>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</si>
  <si>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</si>
  <si>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</si>
  <si>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</si>
  <si>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</si>
  <si>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</si>
  <si>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</si>
  <si>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</si>
  <si>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</si>
  <si>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</si>
  <si>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</si>
  <si>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</si>
  <si>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</si>
  <si>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</si>
  <si>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</si>
  <si>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</si>
  <si>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</si>
  <si>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</si>
  <si>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</si>
  <si>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</si>
  <si>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</si>
  <si>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</si>
  <si>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</si>
  <si>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</si>
  <si>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</si>
  <si>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</si>
  <si>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</si>
  <si>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</si>
  <si>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</si>
  <si>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</si>
  <si>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</si>
  <si>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</si>
  <si>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</si>
  <si>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</si>
  <si>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</si>
  <si>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</si>
  <si>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</si>
  <si>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</si>
  <si>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</si>
  <si>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</si>
  <si>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</si>
  <si>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</si>
  <si>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</si>
  <si>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</si>
  <si>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</si>
  <si>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</si>
  <si>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</si>
  <si>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</si>
  <si>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</si>
  <si>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</si>
  <si>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</si>
  <si>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</si>
  <si>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</si>
  <si>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</si>
  <si>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</si>
  <si>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</si>
  <si>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</si>
  <si>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</si>
  <si>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</si>
  <si>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</si>
  <si>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</si>
  <si>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</si>
  <si>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</si>
  <si>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</si>
  <si>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</si>
  <si>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</si>
  <si>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</si>
  <si>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</si>
  <si>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</si>
  <si>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</si>
  <si>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</si>
  <si>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</si>
  <si>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</si>
  <si>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</si>
  <si>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</si>
  <si>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</si>
  <si>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</si>
  <si>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</si>
  <si>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</si>
  <si>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</si>
  <si>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</si>
  <si>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</si>
  <si>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</si>
  <si>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</si>
  <si>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</si>
  <si>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</si>
  <si>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</si>
  <si>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</si>
  <si>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</si>
  <si>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</si>
  <si>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</si>
  <si>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</si>
  <si>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</si>
  <si>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</si>
  <si>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</si>
  <si>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</si>
  <si>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</si>
  <si>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</si>
  <si>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</si>
  <si>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</si>
  <si>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</si>
  <si>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</si>
  <si>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</si>
  <si>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</si>
  <si>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</si>
  <si>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</si>
  <si>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</si>
  <si>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</si>
  <si>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</si>
  <si>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</si>
  <si>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</si>
  <si>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</si>
  <si>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</si>
  <si>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</si>
  <si>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</si>
  <si>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</si>
  <si>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</si>
  <si>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</si>
  <si>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</si>
  <si>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</si>
  <si>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</si>
  <si>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</si>
  <si>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</si>
  <si>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</si>
  <si>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</si>
  <si>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</si>
  <si>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</si>
  <si>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</si>
  <si>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</si>
  <si>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</si>
  <si>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</si>
  <si>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</si>
  <si>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</si>
  <si>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</si>
  <si>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</si>
  <si>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</si>
  <si>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</si>
  <si>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</si>
  <si>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</si>
  <si>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</si>
  <si>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</si>
  <si>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</si>
  <si>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</si>
  <si>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</si>
  <si>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</si>
  <si>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</si>
  <si>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</si>
  <si>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</si>
  <si>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</si>
  <si>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</si>
  <si>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</si>
  <si>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</si>
  <si>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</si>
  <si>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</si>
  <si>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</si>
  <si>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</si>
  <si>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</si>
  <si>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</si>
  <si>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</si>
  <si>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</si>
  <si>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</si>
  <si>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</si>
  <si>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</si>
  <si>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</si>
  <si>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</si>
  <si>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</si>
  <si>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</si>
  <si>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</si>
  <si>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</si>
  <si>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</si>
  <si>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</si>
  <si>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</si>
  <si>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</si>
  <si>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</si>
  <si>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</si>
  <si>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</si>
  <si>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</si>
  <si>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</si>
  <si>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</si>
  <si>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</si>
  <si>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</si>
  <si>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</si>
  <si>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</si>
  <si>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</si>
  <si>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</si>
  <si>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</si>
  <si>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</si>
  <si>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</si>
  <si>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</si>
  <si>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</si>
  <si>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</si>
  <si>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</si>
  <si>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</si>
  <si>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</si>
  <si>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</si>
  <si>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</si>
  <si>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</si>
  <si>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</si>
  <si>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</si>
  <si>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</si>
  <si>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</si>
  <si>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</si>
  <si>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</si>
  <si>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</si>
  <si>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</si>
  <si>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</si>
  <si>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</si>
  <si>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</si>
  <si>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</si>
  <si>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</si>
  <si>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</si>
  <si>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</si>
  <si>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</si>
  <si>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</si>
  <si>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</si>
  <si>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</si>
  <si>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</si>
  <si>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</si>
  <si>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</si>
  <si>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</si>
  <si>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</si>
  <si>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</si>
  <si>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</si>
  <si>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</si>
  <si>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</si>
  <si>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</si>
  <si>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</si>
  <si>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</si>
  <si>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</si>
  <si>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</si>
  <si>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</si>
  <si>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</si>
  <si>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</si>
  <si>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</si>
  <si>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</si>
  <si>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</si>
  <si>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</si>
  <si>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</si>
  <si>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</si>
  <si>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</si>
  <si>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</si>
  <si>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</si>
  <si>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</si>
  <si>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</si>
  <si>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</si>
  <si>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</si>
  <si>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</si>
  <si>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</si>
  <si>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</si>
  <si>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</si>
  <si>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</si>
  <si>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</si>
  <si>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</si>
  <si>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</si>
  <si>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</si>
  <si>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</si>
  <si>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</si>
  <si>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</si>
  <si>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</si>
  <si>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</si>
  <si>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</si>
  <si>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</si>
  <si>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</si>
  <si>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</si>
  <si>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</si>
  <si>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</si>
  <si>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</si>
  <si>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</si>
  <si>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</si>
  <si>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</si>
  <si>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</si>
  <si>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</si>
  <si>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</si>
  <si>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</si>
  <si>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</si>
  <si>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</si>
  <si>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</si>
  <si>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</si>
  <si>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</si>
  <si>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</si>
  <si>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</si>
  <si>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</si>
  <si>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</si>
  <si>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</si>
  <si>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</si>
  <si>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</si>
  <si>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</si>
  <si>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</si>
  <si>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</si>
  <si>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</si>
  <si>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</si>
  <si>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</si>
  <si>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</si>
  <si>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</si>
  <si>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</si>
  <si>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</si>
  <si>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</si>
  <si>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</si>
  <si>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</si>
  <si>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</si>
  <si>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</si>
  <si>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</si>
  <si>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</si>
  <si>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</si>
  <si>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</si>
  <si>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</si>
  <si>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</si>
  <si>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</si>
  <si>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</si>
  <si>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</si>
  <si>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</si>
  <si>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</si>
  <si>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</si>
  <si>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</si>
  <si>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</si>
  <si>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</si>
  <si>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</si>
  <si>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</si>
  <si>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</si>
  <si>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</si>
  <si>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</si>
  <si>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</si>
  <si>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</si>
  <si>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</si>
  <si>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</si>
  <si>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</si>
  <si>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</si>
  <si>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</si>
  <si>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</si>
  <si>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</si>
  <si>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</si>
  <si>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</si>
  <si>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</si>
  <si>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</si>
  <si>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</si>
  <si>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</si>
  <si>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</si>
  <si>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</si>
  <si>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</si>
  <si>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</si>
  <si>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</si>
  <si>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</si>
  <si>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</si>
  <si>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</si>
  <si>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</si>
  <si>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</si>
  <si>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</si>
  <si>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</si>
  <si>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</si>
  <si>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</si>
  <si>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</si>
  <si>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</si>
  <si>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</si>
  <si>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</si>
  <si>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</si>
  <si>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</si>
  <si>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</si>
  <si>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</si>
  <si>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</si>
  <si>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</si>
  <si>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</si>
  <si>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</si>
  <si>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</si>
  <si>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</si>
  <si>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</si>
  <si>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</si>
  <si>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</si>
  <si>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</si>
  <si>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</si>
  <si>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</si>
  <si>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</si>
  <si>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</si>
  <si>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</si>
  <si>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</si>
  <si>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</si>
  <si>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</si>
  <si>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</si>
  <si>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</si>
  <si>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</si>
  <si>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</si>
  <si>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</si>
  <si>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</si>
  <si>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</si>
  <si>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</si>
  <si>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</si>
  <si>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</si>
  <si>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</si>
  <si>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</si>
  <si>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</si>
  <si>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</si>
  <si>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</si>
  <si>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</si>
  <si>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</si>
  <si>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</si>
  <si>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</si>
  <si>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</si>
  <si>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</si>
  <si>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</si>
  <si>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</si>
  <si>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</si>
  <si>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</si>
  <si>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</si>
  <si>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</si>
  <si>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</si>
  <si>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</si>
  <si>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</si>
  <si>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</si>
  <si>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</si>
  <si>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</si>
  <si>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</si>
  <si>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</si>
  <si>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</si>
  <si>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</si>
  <si>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</si>
  <si>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</si>
  <si>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</si>
  <si>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</si>
  <si>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</si>
  <si>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</si>
  <si>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</si>
  <si>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</si>
  <si>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</si>
  <si>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</si>
  <si>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</si>
  <si>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</si>
  <si>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</si>
  <si>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</si>
  <si>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</si>
  <si>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</si>
  <si>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</si>
  <si>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</si>
  <si>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</si>
  <si>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</si>
  <si>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</si>
  <si>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</si>
  <si>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</si>
  <si>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</si>
  <si>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</si>
  <si>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</si>
  <si>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</si>
  <si>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</si>
  <si>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</si>
  <si>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</si>
  <si>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</si>
  <si>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</si>
  <si>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</si>
  <si>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</si>
  <si>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</si>
  <si>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</si>
  <si>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</si>
  <si>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</si>
  <si>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</si>
  <si>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</si>
  <si>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</si>
  <si>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</si>
  <si>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</si>
  <si>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</si>
  <si>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</si>
  <si>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</si>
  <si>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</si>
  <si>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</si>
  <si>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</si>
  <si>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</si>
  <si>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</si>
  <si>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</si>
  <si>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</si>
  <si>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</si>
  <si>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</si>
  <si>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</si>
  <si>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</si>
  <si>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</si>
  <si>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</si>
  <si>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</si>
  <si>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</si>
  <si>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</si>
  <si>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</si>
  <si>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</si>
  <si>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</si>
  <si>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</si>
  <si>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</si>
  <si>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</si>
  <si>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</si>
  <si>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</si>
  <si>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</si>
  <si>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</si>
  <si>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</si>
  <si>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</si>
  <si>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</si>
  <si>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</si>
  <si>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</si>
  <si>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</si>
  <si>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</si>
  <si>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</si>
  <si>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</si>
  <si>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</si>
  <si>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</si>
  <si>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</si>
  <si>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</si>
  <si>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</si>
  <si>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</si>
  <si>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</si>
  <si>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</si>
  <si>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</si>
  <si>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</si>
  <si>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</si>
  <si>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</si>
  <si>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</si>
  <si>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</si>
  <si>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</si>
  <si>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</si>
  <si>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</si>
  <si>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</si>
  <si>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</si>
  <si>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</si>
  <si>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</si>
  <si>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</si>
  <si>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</si>
  <si>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</si>
  <si>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</si>
  <si>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</si>
  <si>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</si>
  <si>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</si>
  <si>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</si>
  <si>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</si>
  <si>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</si>
  <si>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</si>
  <si>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</si>
  <si>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</si>
  <si>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</si>
  <si>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</si>
  <si>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</si>
  <si>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</si>
  <si>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</si>
  <si>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</si>
  <si>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</si>
  <si>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</si>
  <si>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</si>
  <si>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</si>
  <si>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</si>
  <si>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</si>
  <si>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</si>
  <si>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</si>
  <si>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</si>
  <si>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</si>
  <si>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</si>
  <si>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</si>
  <si>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</si>
  <si>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</si>
  <si>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</si>
  <si>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</si>
  <si>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</si>
  <si>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</si>
  <si>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</si>
  <si>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</si>
  <si>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</si>
  <si>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</si>
  <si>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</si>
  <si>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</si>
  <si>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</si>
  <si>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</si>
  <si>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</si>
  <si>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</si>
  <si>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</si>
  <si>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</si>
  <si>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</si>
  <si>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</si>
  <si>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</si>
  <si>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</si>
  <si>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</si>
  <si>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</si>
  <si>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</si>
  <si>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</si>
  <si>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</si>
  <si>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</si>
  <si>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</si>
  <si>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</si>
  <si>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</si>
  <si>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</si>
  <si>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</si>
  <si>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</si>
  <si>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</si>
  <si>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</si>
  <si>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</si>
  <si>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</si>
  <si>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</si>
  <si>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</si>
  <si>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</si>
  <si>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</si>
  <si>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</si>
  <si>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</si>
  <si>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</si>
  <si>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</si>
  <si>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</si>
  <si>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</si>
  <si>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</si>
  <si>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</si>
  <si>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</si>
  <si>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</si>
  <si>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</si>
  <si>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</si>
  <si>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</si>
  <si>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</si>
  <si>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</si>
  <si>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</si>
  <si>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</si>
  <si>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</si>
  <si>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</si>
  <si>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</si>
  <si>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</si>
  <si>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</si>
  <si>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</si>
  <si>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</si>
  <si>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</si>
  <si>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</si>
  <si>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</si>
  <si>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</si>
  <si>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</si>
  <si>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</si>
  <si>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</si>
  <si>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</si>
  <si>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</si>
  <si>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</si>
  <si>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</si>
  <si>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</si>
  <si>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</si>
  <si>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</si>
  <si>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</si>
  <si>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</si>
  <si>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</si>
  <si>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</si>
  <si>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</si>
  <si>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</si>
  <si>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</si>
  <si>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</si>
  <si>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</si>
  <si>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</si>
  <si>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</si>
  <si>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</si>
  <si>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</si>
  <si>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</si>
  <si>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</si>
  <si>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</si>
  <si>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</si>
  <si>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</si>
  <si>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</si>
  <si>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</si>
  <si>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</si>
  <si>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</si>
  <si>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</si>
  <si>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</si>
  <si>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</si>
  <si>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</si>
  <si>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</si>
  <si>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</si>
  <si>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</si>
  <si>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</si>
  <si>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</si>
  <si>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</si>
  <si>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</si>
  <si>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</si>
  <si>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</si>
  <si>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</si>
  <si>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</si>
  <si>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</si>
  <si>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</si>
  <si>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</si>
  <si>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</si>
  <si>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</si>
  <si>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</si>
  <si>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</si>
  <si>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</si>
  <si>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</si>
  <si>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</si>
  <si>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</si>
  <si>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</si>
  <si>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</si>
  <si>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</si>
  <si>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</si>
  <si>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</si>
  <si>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</si>
  <si>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</si>
  <si>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</si>
  <si>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</si>
  <si>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</si>
  <si>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</si>
  <si>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</si>
  <si>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</si>
  <si>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</si>
  <si>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</si>
  <si>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</si>
  <si>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</si>
  <si>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</si>
  <si>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</si>
  <si>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</si>
  <si>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</si>
  <si>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</si>
  <si>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</si>
  <si>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</si>
  <si>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</si>
  <si>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</si>
  <si>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</si>
  <si>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</si>
  <si>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</si>
  <si>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</si>
  <si>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</si>
  <si>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</si>
  <si>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</si>
  <si>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</si>
  <si>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</si>
  <si>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</si>
  <si>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</si>
  <si>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</si>
  <si>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</si>
  <si>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</si>
  <si>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</si>
  <si>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</si>
  <si>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</si>
  <si>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</si>
  <si>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</si>
  <si>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</si>
  <si>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</si>
  <si>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</si>
  <si>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</si>
  <si>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</si>
  <si>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</si>
  <si>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</si>
  <si>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</si>
  <si>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</si>
  <si>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</si>
  <si>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</si>
  <si>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</si>
  <si>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</si>
  <si>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</si>
  <si>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</si>
  <si>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</si>
  <si>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</si>
  <si>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</si>
  <si>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</si>
  <si>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</si>
  <si>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</si>
  <si>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</si>
  <si>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</si>
  <si>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</si>
  <si>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</si>
  <si>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</si>
  <si>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</si>
  <si>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</si>
  <si>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</si>
  <si>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</si>
  <si>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</si>
  <si>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</si>
  <si>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</si>
  <si>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</si>
  <si>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</si>
  <si>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</si>
  <si>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</si>
  <si>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</si>
  <si>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</si>
  <si>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</si>
  <si>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</si>
  <si>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</si>
  <si>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</si>
  <si>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</si>
  <si>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</si>
  <si>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</si>
  <si>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</si>
  <si>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</si>
  <si>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</si>
  <si>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</si>
  <si>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</si>
  <si>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</si>
  <si>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</si>
  <si>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</si>
  <si>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</si>
  <si>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</si>
  <si>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</si>
  <si>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</si>
  <si>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</si>
  <si>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</si>
  <si>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</si>
  <si>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</si>
  <si>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</si>
  <si>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</si>
  <si>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</si>
  <si>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</si>
  <si>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</si>
  <si>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</si>
  <si>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</si>
  <si>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</si>
  <si>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</si>
  <si>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</si>
  <si>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</si>
  <si>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</si>
  <si>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</si>
  <si>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</si>
  <si>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</si>
  <si>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</si>
  <si>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</si>
  <si>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</si>
  <si>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</si>
  <si>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</si>
  <si>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</si>
  <si>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</si>
  <si>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</si>
  <si>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</si>
  <si>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</si>
  <si>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</si>
  <si>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</si>
  <si>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</si>
  <si>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</si>
  <si>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</si>
  <si>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</si>
  <si>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</si>
  <si>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</si>
  <si>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210 map (nuke)</t>
  </si>
  <si>
    <t>211 map (inf)</t>
  </si>
  <si>
    <t>inferno (56)</t>
  </si>
  <si>
    <t>212 map (nuke)</t>
  </si>
  <si>
    <t>257 map (train)</t>
  </si>
  <si>
    <t>258 map (dust)</t>
  </si>
  <si>
    <t>259 map (off)</t>
  </si>
  <si>
    <t>260 map (anc)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</si>
  <si>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</si>
  <si>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</si>
  <si>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</si>
  <si>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</si>
  <si>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</si>
  <si>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</si>
  <si>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</si>
  <si>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</si>
  <si>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</si>
  <si>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</si>
  <si>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</si>
  <si>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</si>
  <si>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</si>
  <si>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</si>
  <si>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</si>
  <si>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</si>
  <si>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265 map (vert)</t>
  </si>
  <si>
    <t>VERTIGO (10/7/2)</t>
  </si>
  <si>
    <t>86 map (mir)</t>
  </si>
  <si>
    <t>87 map (dust)</t>
  </si>
  <si>
    <t>6, 10, 9, def, def</t>
  </si>
  <si>
    <t>20.12.2025</t>
  </si>
  <si>
    <t>213 map (nuke)</t>
  </si>
  <si>
    <t>nuke (48)</t>
  </si>
  <si>
    <t>25.12.2025</t>
  </si>
  <si>
    <t>OVERPASS (33)</t>
  </si>
  <si>
    <t>266 map (dust)</t>
  </si>
  <si>
    <t>DUST (23/17/2)</t>
  </si>
  <si>
    <t>267 map (age)</t>
  </si>
  <si>
    <t>AGENCY (5/2/0)</t>
  </si>
  <si>
    <t>268 map (anc)</t>
  </si>
  <si>
    <t>ANCIENT (11/7/3)</t>
  </si>
  <si>
    <t>89 map (mir)</t>
  </si>
  <si>
    <t>MIRAGE (18/13/0)</t>
  </si>
  <si>
    <t>NUKE (0/2/1)</t>
  </si>
  <si>
    <t>27.12.2025</t>
  </si>
  <si>
    <t>269 map (train)</t>
  </si>
  <si>
    <t>TRAIN (11/6/2)</t>
  </si>
  <si>
    <t>270 map (mir)</t>
  </si>
  <si>
    <t>MIRAGE (17/15/2)</t>
  </si>
  <si>
    <t>92 map (dust)</t>
  </si>
  <si>
    <t>DUST (14/10/0)</t>
  </si>
  <si>
    <t>02.01.2026</t>
  </si>
  <si>
    <t>2 map (dust)</t>
  </si>
  <si>
    <t>MIRAGE (0/0/0)</t>
  </si>
  <si>
    <t>N1keho</t>
  </si>
  <si>
    <t>03.01.2026</t>
  </si>
  <si>
    <t>1 map (over)</t>
  </si>
  <si>
    <t>09.01.2026</t>
  </si>
  <si>
    <t>2 map (roof)</t>
  </si>
  <si>
    <t>4 map (dust)</t>
  </si>
  <si>
    <t>5 map (vert)</t>
  </si>
  <si>
    <t>8 map (anc)</t>
  </si>
  <si>
    <t>10 map (off)</t>
  </si>
  <si>
    <t>05.01.2026</t>
  </si>
  <si>
    <t>11 map (train)</t>
  </si>
  <si>
    <t>12 map (anu)</t>
  </si>
  <si>
    <t>ANUBIS (1/0/0)</t>
  </si>
  <si>
    <t>08.01.2026</t>
  </si>
  <si>
    <t>13 map (vert)</t>
  </si>
  <si>
    <t>14 map (anc)</t>
  </si>
  <si>
    <t>16 map (inf)</t>
  </si>
  <si>
    <t>17 map (nuke)</t>
  </si>
  <si>
    <t>INFERNO (1/1/0)</t>
  </si>
  <si>
    <t>10, 10, 10, 9, def - lose</t>
  </si>
  <si>
    <t>10, 10, 10, def, def - lose</t>
  </si>
  <si>
    <t>23.02.2026</t>
  </si>
  <si>
    <t>3 map (pos)</t>
  </si>
  <si>
    <t>POSEIDON (1)</t>
  </si>
  <si>
    <t>4 map (san)</t>
  </si>
  <si>
    <t>6 map (over)</t>
  </si>
  <si>
    <t>OVERPASS (2)</t>
  </si>
  <si>
    <t>8 map (nuke)</t>
  </si>
  <si>
    <t>inferno (1)</t>
  </si>
  <si>
    <t>SANCTUM (1)</t>
  </si>
  <si>
    <t>rooftop (1)</t>
  </si>
  <si>
    <t>3 map (dust)</t>
  </si>
  <si>
    <t>28.02.2026</t>
  </si>
  <si>
    <t>MIRAGE (1/2/0)</t>
  </si>
  <si>
    <t>TRAIN (1/2/0)</t>
  </si>
  <si>
    <t>DUST (3/1/0)</t>
  </si>
  <si>
    <t>ANCIENT (1/2/0)</t>
  </si>
  <si>
    <t>6 map (dust)</t>
  </si>
  <si>
    <t>NUKE (1/0/0)</t>
  </si>
  <si>
    <t>22 map (train)</t>
  </si>
  <si>
    <t>26 map (anc)</t>
  </si>
  <si>
    <t>10 map (vert)</t>
  </si>
  <si>
    <t>07.03.2026</t>
  </si>
  <si>
    <t>28 map (off)</t>
  </si>
  <si>
    <t>29 map (inf)</t>
  </si>
  <si>
    <t>INFERNO (2/2/0)</t>
  </si>
  <si>
    <t>30 map (vert)</t>
  </si>
  <si>
    <t>VERTIGO (2/1/0)</t>
  </si>
  <si>
    <t>31 map (off)</t>
  </si>
  <si>
    <t>10 map (dust)</t>
  </si>
  <si>
    <t>11 map (dust)</t>
  </si>
  <si>
    <t>13 map (nuke)</t>
  </si>
  <si>
    <t>15 map (mir)</t>
  </si>
  <si>
    <t>OFFICE (1/4/0)</t>
  </si>
  <si>
    <t>12.03.2026</t>
  </si>
  <si>
    <t>11 map (vert)</t>
  </si>
  <si>
    <t>vertigo (3)</t>
  </si>
  <si>
    <t>12 map (nuke)</t>
  </si>
  <si>
    <t>nuke (3)</t>
  </si>
  <si>
    <t>09.03.2026</t>
  </si>
  <si>
    <t>32 map (off)</t>
  </si>
  <si>
    <t>OFFICE (4/1/0)</t>
  </si>
  <si>
    <t>36 map (over)</t>
  </si>
  <si>
    <t>37 map (over)</t>
  </si>
  <si>
    <t>OVERPASS (4/1/1)</t>
  </si>
  <si>
    <t>16 map (dust)</t>
  </si>
  <si>
    <t>17 map (dust)</t>
  </si>
  <si>
    <t>DUST (3/5/0)</t>
  </si>
  <si>
    <t>20 map (mir)</t>
  </si>
  <si>
    <t>22 map (nuke)</t>
  </si>
  <si>
    <t>NUKE (2/1/0)</t>
  </si>
  <si>
    <t>MIRAGE (4/5/0)</t>
  </si>
  <si>
    <t>24 map (anc)</t>
  </si>
  <si>
    <t>OVERPASS (0/1/0)</t>
  </si>
  <si>
    <t>INFERNO (1/2/0)</t>
  </si>
  <si>
    <t>9, 9, 7, 4, 9 lose</t>
  </si>
  <si>
    <t>10, 10, 10, 4, 4 lose</t>
  </si>
  <si>
    <t>10, 9, 7, 9, 10 lose</t>
  </si>
  <si>
    <t>14.03.2026</t>
  </si>
  <si>
    <t>27 map (anc)</t>
  </si>
  <si>
    <t>ANCIENT (2/1/0)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</si>
</sst>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3" fillId="14" borderId="0" applyNumberFormat="0" applyBorder="0" applyAlignment="0" applyProtection="0"/>
    <xf numFmtId="0" fontId="9" fillId="17" borderId="2" applyNumberFormat="0" applyFont="0" applyAlignment="0" applyProtection="0"/>
    <xf numFmtId="0" fontId="24" fillId="15" borderId="0" applyNumberFormat="0" applyBorder="0" applyAlignment="0" applyProtection="0"/>
    <xf numFmtId="0" fontId="25" fillId="16" borderId="0" applyNumberFormat="0" applyBorder="0" applyAlignment="0" applyProtection="0"/>
  </cellStyleXfs>
  <cellXfs count="5145">
    <xf numFmtId="0" fontId="0" fillId="0" borderId="0" xfId="0"/>
    <xf numFmtId="0" fontId="9" fillId="0" borderId="0" xfId="0" applyFont="1"/>
    <xf numFmtId="0" fontId="10" fillId="2" borderId="1" xfId="0" applyFont="1" applyFill="1" applyBorder="1"/>
    <xf numFmtId="0" fontId="10" fillId="2" borderId="2" xfId="0" applyFont="1" applyFill="1" applyBorder="1"/>
    <xf numFmtId="0" fontId="11" fillId="3" borderId="1" xfId="0" applyFont="1" applyFill="1" applyBorder="1"/>
    <xf numFmtId="0" fontId="11" fillId="3" borderId="2" xfId="0" applyFont="1" applyFill="1" applyBorder="1"/>
    <xf numFmtId="0" fontId="12" fillId="4" borderId="1" xfId="0" applyFont="1" applyFill="1" applyBorder="1"/>
    <xf numFmtId="0" fontId="12" fillId="4" borderId="2" xfId="0" applyFont="1" applyFill="1" applyBorder="1"/>
    <xf numFmtId="0" fontId="13" fillId="5" borderId="1" xfId="0" applyFont="1" applyFill="1" applyBorder="1"/>
    <xf numFmtId="0" fontId="13" fillId="5" borderId="2" xfId="0" applyFont="1" applyFill="1" applyBorder="1"/>
    <xf numFmtId="0" fontId="14" fillId="6" borderId="1" xfId="0" applyFont="1" applyFill="1" applyBorder="1"/>
    <xf numFmtId="0" fontId="14" fillId="6" borderId="2" xfId="0" applyFont="1" applyFill="1" applyBorder="1"/>
    <xf numFmtId="14" fontId="10" fillId="2" borderId="1" xfId="0" applyNumberFormat="1" applyFont="1" applyFill="1" applyBorder="1"/>
    <xf numFmtId="0" fontId="14" fillId="7" borderId="2" xfId="0" applyFont="1" applyFill="1" applyBorder="1"/>
    <xf numFmtId="14" fontId="12" fillId="4" borderId="1" xfId="0" applyNumberFormat="1" applyFont="1" applyFill="1" applyBorder="1"/>
    <xf numFmtId="14" fontId="11" fillId="3" borderId="1" xfId="0" applyNumberFormat="1" applyFont="1" applyFill="1" applyBorder="1"/>
    <xf numFmtId="2" fontId="14" fillId="0" borderId="0" xfId="0" applyNumberFormat="1" applyFont="1"/>
    <xf numFmtId="14" fontId="14" fillId="0" borderId="0" xfId="0" applyNumberFormat="1" applyFont="1"/>
    <xf numFmtId="14" fontId="13" fillId="8" borderId="1" xfId="0" applyNumberFormat="1" applyFont="1" applyFill="1" applyBorder="1"/>
    <xf numFmtId="0" fontId="13" fillId="8" borderId="1" xfId="0" applyFont="1" applyFill="1" applyBorder="1"/>
    <xf numFmtId="49" fontId="14" fillId="0" borderId="0" xfId="0" applyNumberFormat="1" applyFont="1"/>
    <xf numFmtId="49" fontId="11" fillId="3" borderId="1" xfId="0" applyNumberFormat="1" applyFont="1" applyFill="1" applyBorder="1"/>
    <xf numFmtId="49" fontId="10" fillId="2" borderId="1" xfId="0" applyNumberFormat="1" applyFont="1" applyFill="1" applyBorder="1"/>
    <xf numFmtId="49" fontId="12" fillId="4" borderId="1" xfId="0" applyNumberFormat="1" applyFont="1" applyFill="1" applyBorder="1"/>
    <xf numFmtId="0" fontId="14" fillId="0" borderId="0" xfId="0" applyFont="1"/>
    <xf numFmtId="2" fontId="10" fillId="2" borderId="1" xfId="0" applyNumberFormat="1" applyFont="1" applyFill="1" applyBorder="1"/>
    <xf numFmtId="2" fontId="11" fillId="3" borderId="1" xfId="0" applyNumberFormat="1" applyFont="1" applyFill="1" applyBorder="1"/>
    <xf numFmtId="2" fontId="12" fillId="4" borderId="1" xfId="0" applyNumberFormat="1" applyFont="1" applyFill="1" applyBorder="1"/>
    <xf numFmtId="2" fontId="13" fillId="5" borderId="1" xfId="0" applyNumberFormat="1" applyFont="1" applyFill="1" applyBorder="1"/>
    <xf numFmtId="2" fontId="14" fillId="9" borderId="1" xfId="0" applyNumberFormat="1" applyFont="1" applyFill="1" applyBorder="1"/>
    <xf numFmtId="0" fontId="16" fillId="10" borderId="16" xfId="0" applyFont="1" applyFill="1" applyBorder="1"/>
    <xf numFmtId="0" fontId="14" fillId="11" borderId="1" xfId="0" applyFont="1" applyFill="1" applyBorder="1"/>
    <xf numFmtId="0" fontId="17" fillId="0" borderId="17" xfId="0" applyFont="1" applyBorder="1"/>
    <xf numFmtId="0" fontId="18" fillId="10" borderId="18" xfId="0" applyFont="1" applyFill="1" applyBorder="1"/>
    <xf numFmtId="164" fontId="11" fillId="3" borderId="1" xfId="0" applyNumberFormat="1" applyFont="1" applyFill="1" applyBorder="1"/>
    <xf numFmtId="0" fontId="19" fillId="0" borderId="0" xfId="0" applyFont="1"/>
    <xf numFmtId="0" fontId="19" fillId="0" borderId="0" xfId="0" applyFont="1" applyAlignment="1">
      <alignment horizontal="right"/>
    </xf>
    <xf numFmtId="0" fontId="19" fillId="4" borderId="0" xfId="0" applyFont="1" applyFill="1"/>
    <xf numFmtId="0" fontId="19" fillId="2" borderId="0" xfId="0" applyFont="1" applyFill="1"/>
    <xf numFmtId="164" fontId="19" fillId="4" borderId="0" xfId="0" applyNumberFormat="1" applyFont="1" applyFill="1"/>
    <xf numFmtId="164" fontId="20" fillId="3" borderId="0" xfId="0" applyNumberFormat="1" applyFont="1" applyFill="1"/>
    <xf numFmtId="0" fontId="20" fillId="3" borderId="0" xfId="0" applyFont="1" applyFill="1"/>
    <xf numFmtId="0" fontId="19" fillId="3" borderId="0" xfId="0" applyFont="1" applyFill="1"/>
    <xf numFmtId="0" fontId="13" fillId="5" borderId="0" xfId="0" applyFont="1" applyFill="1"/>
    <xf numFmtId="164" fontId="19" fillId="2" borderId="0" xfId="0" applyNumberFormat="1" applyFont="1" applyFill="1"/>
    <xf numFmtId="0" fontId="11" fillId="2" borderId="1" xfId="0" applyFont="1" applyFill="1" applyBorder="1"/>
    <xf numFmtId="0" fontId="21" fillId="5" borderId="1" xfId="0" applyFont="1" applyFill="1" applyBorder="1"/>
    <xf numFmtId="0" fontId="10" fillId="2" borderId="0" xfId="0" applyFont="1" applyFill="1"/>
    <xf numFmtId="0" fontId="19" fillId="12" borderId="0" xfId="0" applyFont="1" applyFill="1"/>
    <xf numFmtId="0" fontId="19" fillId="12" borderId="2" xfId="0" applyFont="1" applyFill="1" applyBorder="1"/>
    <xf numFmtId="164" fontId="19" fillId="3" borderId="0" xfId="0" applyNumberFormat="1" applyFont="1" applyFill="1"/>
    <xf numFmtId="0" fontId="11" fillId="3" borderId="16" xfId="0" applyFont="1" applyFill="1" applyBorder="1"/>
    <xf numFmtId="0" fontId="19" fillId="7" borderId="2" xfId="0" applyFont="1" applyFill="1" applyBorder="1"/>
    <xf numFmtId="0" fontId="11" fillId="3" borderId="0" xfId="0" applyFont="1" applyFill="1"/>
    <xf numFmtId="0" fontId="10" fillId="2" borderId="0" xfId="0" applyFont="1" applyFill="1" applyAlignment="1">
      <alignment horizontal="right"/>
    </xf>
    <xf numFmtId="0" fontId="19" fillId="7" borderId="22" xfId="0" applyFont="1" applyFill="1" applyBorder="1" applyAlignment="1">
      <alignment horizontal="right"/>
    </xf>
    <xf numFmtId="0" fontId="11" fillId="3" borderId="0" xfId="0" applyFont="1" applyFill="1" applyAlignment="1">
      <alignment horizontal="right"/>
    </xf>
    <xf numFmtId="0" fontId="21" fillId="13" borderId="0" xfId="0" applyFont="1" applyFill="1"/>
    <xf numFmtId="0" fontId="12" fillId="4" borderId="0" xfId="0" applyFont="1" applyFill="1"/>
    <xf numFmtId="0" fontId="19" fillId="6" borderId="0" xfId="0" applyFont="1" applyFill="1"/>
    <xf numFmtId="0" fontId="19" fillId="7" borderId="22" xfId="0" applyFont="1" applyFill="1" applyBorder="1"/>
    <xf numFmtId="0" fontId="12" fillId="4" borderId="0" xfId="0" applyFont="1" applyFill="1" applyAlignment="1">
      <alignment horizontal="right"/>
    </xf>
    <xf numFmtId="0" fontId="19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3" fillId="14" borderId="0" xfId="1" applyAlignment="1"/>
    <xf numFmtId="0" fontId="19" fillId="17" borderId="2" xfId="2" applyFont="1" applyAlignment="1"/>
    <xf numFmtId="0" fontId="24" fillId="15" borderId="0" xfId="3" applyAlignment="1"/>
    <xf numFmtId="0" fontId="8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7" fillId="21" borderId="24" xfId="0" applyFont="1" applyFill="1" applyBorder="1" applyAlignment="1">
      <alignment wrapText="1"/>
    </xf>
    <xf numFmtId="0" fontId="7" fillId="22" borderId="24" xfId="0" applyFont="1" applyFill="1" applyBorder="1" applyAlignment="1">
      <alignment wrapText="1"/>
    </xf>
    <xf numFmtId="0" fontId="7" fillId="23" borderId="24" xfId="0" applyFont="1" applyFill="1" applyBorder="1" applyAlignment="1">
      <alignment wrapText="1"/>
    </xf>
    <xf numFmtId="14" fontId="7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5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5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6" borderId="0" xfId="0" applyFont="1" applyFill="1"/>
    <xf numFmtId="0" fontId="5" fillId="15" borderId="0" xfId="0" applyFont="1" applyFill="1"/>
    <xf numFmtId="0" fontId="5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5" borderId="0" xfId="0" applyFill="1"/>
    <xf numFmtId="0" fontId="0" fillId="18" borderId="0" xfId="0" applyFill="1"/>
    <xf numFmtId="0" fontId="0" fillId="16" borderId="0" xfId="0" applyFill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 applyFont="1"/>
    <xf numFmtId="0" fontId="0" fillId="0" borderId="0" xfId="0"/>
    <xf numFmtId="0" fontId="0" fillId="0" borderId="0" xfId="0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14" fillId="0" borderId="0" xfId="0" applyFont="1" applyAlignment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10" fillId="2" borderId="3" xfId="0" applyFont="1" applyFill="1" applyBorder="1" applyAlignment="1">
      <alignment horizontal="center"/>
    </xf>
    <xf numFmtId="0" fontId="15" fillId="0" borderId="4" xfId="0" applyFont="1" applyBorder="1"/>
    <xf numFmtId="0" fontId="11" fillId="3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/>
    <xf numFmtId="0" fontId="18" fillId="10" borderId="19" xfId="0" applyFont="1" applyFill="1" applyBorder="1" applyAlignment="1">
      <alignment horizontal="center"/>
    </xf>
    <xf numFmtId="0" fontId="15" fillId="0" borderId="20" xfId="0" applyFont="1" applyBorder="1"/>
    <xf numFmtId="0" fontId="15" fillId="0" borderId="21" xfId="0" applyFont="1" applyBorder="1"/>
    <xf numFmtId="0" fontId="15" fillId="0" borderId="5" xfId="0" applyFont="1" applyBorder="1"/>
    <xf numFmtId="0" fontId="14" fillId="7" borderId="6" xfId="0" applyFont="1" applyFill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6" fillId="10" borderId="9" xfId="0" applyFont="1" applyFill="1" applyBorder="1" applyAlignment="1">
      <alignment horizontal="center"/>
    </xf>
    <xf numFmtId="0" fontId="15" fillId="0" borderId="10" xfId="0" applyFont="1" applyBorder="1"/>
    <xf numFmtId="0" fontId="15" fillId="0" borderId="11" xfId="0" applyFont="1" applyBorder="1"/>
    <xf numFmtId="0" fontId="14" fillId="11" borderId="12" xfId="0" applyFont="1" applyFill="1" applyBorder="1" applyAlignment="1">
      <alignment horizontal="center"/>
    </xf>
    <xf numFmtId="0" fontId="15" fillId="0" borderId="13" xfId="0" applyFont="1" applyBorder="1"/>
    <xf numFmtId="0" fontId="15" fillId="0" borderId="14" xfId="0" applyFont="1" applyBorder="1"/>
    <xf numFmtId="0" fontId="10" fillId="2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4" fillId="7" borderId="0" xfId="0" applyFont="1" applyFill="1" applyAlignment="1">
      <alignment horizontal="center"/>
    </xf>
    <xf numFmtId="0" fontId="23" fillId="14" borderId="0" xfId="1" applyAlignment="1">
      <alignment horizontal="center"/>
    </xf>
    <xf numFmtId="0" fontId="25" fillId="16" borderId="0" xfId="4" applyAlignment="1">
      <alignment horizontal="center"/>
    </xf>
    <xf numFmtId="0" fontId="24" fillId="15" borderId="0" xfId="3" applyAlignment="1">
      <alignment horizontal="center"/>
    </xf>
    <xf numFmtId="0" fontId="24" fillId="15" borderId="0" xfId="3"/>
    <xf numFmtId="0" fontId="23" fillId="14" borderId="0" xfId="1"/>
    <xf numFmtId="0" fontId="25" fillId="16" borderId="0" xfId="4"/>
    <xf numFmtId="0" fontId="14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5" fillId="23" borderId="25" xfId="0" applyFont="1" applyFill="1" applyBorder="1" applyAlignment="1">
      <alignment horizontal="center" wrapText="1"/>
    </xf>
    <xf numFmtId="0" fontId="25" fillId="23" borderId="26" xfId="0" applyFont="1" applyFill="1" applyBorder="1" applyAlignment="1">
      <alignment horizontal="center" wrapText="1"/>
    </xf>
    <xf numFmtId="0" fontId="25" fillId="23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5" fillId="24" borderId="26" xfId="0" applyFont="1" applyFill="1" applyBorder="1" applyAlignment="1">
      <alignment horizontal="center" wrapText="1"/>
    </xf>
    <xf numFmtId="0" fontId="5" fillId="24" borderId="27" xfId="0" applyFont="1" applyFill="1" applyBorder="1" applyAlignment="1">
      <alignment horizontal="center" wrapText="1"/>
    </xf>
    <xf numFmtId="0" fontId="5" fillId="22" borderId="25" xfId="0" applyFont="1" applyFill="1" applyBorder="1" applyAlignment="1">
      <alignment horizontal="center" wrapText="1"/>
    </xf>
    <xf numFmtId="0" fontId="5" fillId="22" borderId="26" xfId="0" applyFont="1" applyFill="1" applyBorder="1" applyAlignment="1">
      <alignment horizontal="center" wrapText="1"/>
    </xf>
    <xf numFmtId="0" fontId="5" fillId="22" borderId="27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5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1" fillId="23" borderId="25" xfId="0" applyFont="1" applyFill="1" applyBorder="1" applyAlignment="1">
      <alignment horizontal="center" wrapText="1"/>
    </xf>
    <xf numFmtId="0" fontId="5" fillId="23" borderId="26" xfId="0" applyFont="1" applyFill="1" applyBorder="1" applyAlignment="1">
      <alignment horizontal="center" wrapText="1"/>
    </xf>
    <xf numFmtId="0" fontId="5" fillId="23" borderId="27" xfId="0" applyFont="1" applyFill="1" applyBorder="1" applyAlignment="1">
      <alignment horizontal="center" wrapText="1"/>
    </xf>
    <xf numFmtId="0" fontId="22" fillId="3" borderId="0" xfId="0" applyFont="1" applyFill="1" applyAlignment="1">
      <alignment horizontal="center"/>
    </xf>
    <xf numFmtId="0" fontId="14" fillId="0" borderId="5" xfId="0" applyFont="1" applyBorder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5094" t="s">
        <v>0</v>
      </c>
      <c r="C1" s="5095"/>
      <c r="D1" s="5096" t="s">
        <v>1</v>
      </c>
      <c r="E1" s="5095"/>
      <c r="F1" s="5097" t="s">
        <v>177</v>
      </c>
      <c r="G1" s="5095"/>
      <c r="H1" s="5094" t="s">
        <v>174</v>
      </c>
      <c r="I1" s="5095"/>
      <c r="J1" s="5096" t="s">
        <v>175</v>
      </c>
      <c r="K1" s="5095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5098" t="str">
        <f>"Mirage"&amp;" "&amp;H5/SUM(H5:I5)*100</f>
        <v>Mirage 25</v>
      </c>
      <c r="I3" s="5099"/>
      <c r="J3" s="5098" t="str">
        <f>"Inferno"&amp;" "&amp;ROUND(J5/SUM(J5:K5)*100,0)</f>
        <v>Inferno 40</v>
      </c>
      <c r="K3" s="5099"/>
      <c r="L3" s="5098" t="str">
        <f>"Overpass"&amp;" "&amp;ROUND(L5/SUM(L5:M5)*100,0)</f>
        <v>Overpass 67</v>
      </c>
      <c r="M3" s="5099"/>
      <c r="N3" s="5098" t="str">
        <f>"Vertigo"&amp;" "&amp;ROUND(N5/SUM(N5:O5)*100,0)</f>
        <v>Vertigo 80</v>
      </c>
      <c r="O3" s="5099"/>
      <c r="P3" s="5098" t="str">
        <f>"Ancient"&amp;" "&amp;ROUND(P5/SUM(P5:Q5)*100,0)</f>
        <v>Ancient 50</v>
      </c>
      <c r="Q3" s="5099"/>
      <c r="R3" s="5098" t="str">
        <f>"Anubis"&amp;" "&amp;ROUND(R5/SUM(R5:S5)*100,0)</f>
        <v>Anubis 67</v>
      </c>
      <c r="S3" s="5099"/>
      <c r="T3" s="5098" t="str">
        <f>"Dust II"&amp;" "&amp;ROUND(T5/SUM(T5:U5)*100,0)</f>
        <v>Dust II 100</v>
      </c>
      <c r="U3" s="5099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5098" t="s">
        <v>206</v>
      </c>
      <c r="I7" s="5099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5098" t="s">
        <v>373</v>
      </c>
      <c r="G3" s="5099"/>
      <c r="H3" s="5099"/>
      <c r="I3" s="5098" t="s">
        <v>374</v>
      </c>
      <c r="J3" s="5099"/>
      <c r="K3" s="5099"/>
      <c r="L3" s="5098" t="s">
        <v>375</v>
      </c>
      <c r="M3" s="5099"/>
      <c r="N3" s="5099"/>
      <c r="O3" s="5098" t="s">
        <v>376</v>
      </c>
      <c r="P3" s="5099"/>
      <c r="Q3" s="5099"/>
      <c r="R3" s="5098" t="s">
        <v>377</v>
      </c>
      <c r="S3" s="5099"/>
      <c r="T3" s="5098" t="s">
        <v>378</v>
      </c>
      <c r="U3" s="5099"/>
      <c r="V3" s="5098" t="s">
        <v>379</v>
      </c>
      <c r="W3" s="5099"/>
      <c r="X3" s="5099"/>
      <c r="Y3" s="5098" t="s">
        <v>380</v>
      </c>
      <c r="Z3" s="5099"/>
      <c r="AA3" s="5099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5094" t="s">
        <v>641</v>
      </c>
      <c r="B1" s="5103"/>
      <c r="C1" s="5103"/>
      <c r="D1" s="5095"/>
      <c r="E1" s="5096" t="s">
        <v>642</v>
      </c>
      <c r="F1" s="5103"/>
      <c r="G1" s="5103"/>
      <c r="H1" s="5103"/>
      <c r="I1" s="5103"/>
      <c r="J1" s="5095"/>
      <c r="K1" s="5097" t="s">
        <v>643</v>
      </c>
      <c r="L1" s="5103"/>
      <c r="M1" s="5103"/>
      <c r="N1" s="5095"/>
      <c r="O1" s="5104" t="s">
        <v>644</v>
      </c>
      <c r="P1" s="5105"/>
      <c r="Q1" s="5105"/>
      <c r="R1" s="5105"/>
      <c r="S1" s="5106"/>
      <c r="T1" s="5107" t="s">
        <v>645</v>
      </c>
      <c r="U1" s="5108"/>
      <c r="V1" s="5108"/>
      <c r="W1" s="5108"/>
      <c r="X1" s="5109"/>
      <c r="Y1" s="5110" t="s">
        <v>646</v>
      </c>
      <c r="Z1" s="5111"/>
      <c r="AA1" s="5111"/>
      <c r="AB1" s="5112"/>
      <c r="AC1" s="5113" t="s">
        <v>647</v>
      </c>
      <c r="AD1" s="5103"/>
      <c r="AE1" s="5103"/>
      <c r="AF1" s="5103"/>
      <c r="AG1" s="5095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5098" t="s">
        <v>651</v>
      </c>
      <c r="B8" s="5099"/>
      <c r="C8" s="5099"/>
      <c r="D8" s="5099"/>
      <c r="E8" s="5099"/>
      <c r="F8" s="5099"/>
      <c r="G8" s="5099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5100" t="s">
        <v>710</v>
      </c>
      <c r="C20" s="5101"/>
      <c r="D20" s="5101"/>
      <c r="E20" s="5101"/>
      <c r="F20" s="5101"/>
      <c r="G20" s="5101"/>
      <c r="H20" s="5102"/>
    </row>
    <row r="21" spans="1:13" ht="15.75" customHeight="1" x14ac:dyDescent="0.25"/>
    <row r="22" spans="1:13" ht="15.75" customHeight="1" x14ac:dyDescent="0.25">
      <c r="A22" s="5100" t="s">
        <v>711</v>
      </c>
      <c r="B22" s="5101"/>
      <c r="C22" s="5102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7"/>
  <sheetViews>
    <sheetView workbookViewId="0">
      <pane ySplit="1" topLeftCell="A2" activePane="bottomLeft" state="frozen"/>
      <selection pane="bottomLeft" activeCell="AF14" sqref="AF14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5118" t="s">
        <v>1293</v>
      </c>
      <c r="I3" s="5119"/>
      <c r="J3" s="5119"/>
      <c r="K3" s="5119"/>
      <c r="L3" s="5116" t="s">
        <v>1322</v>
      </c>
      <c r="M3" s="5120"/>
      <c r="N3" s="5120"/>
      <c r="O3" s="5120"/>
      <c r="P3" s="5117" t="s">
        <v>944</v>
      </c>
      <c r="Q3" s="5121"/>
      <c r="R3" s="5121"/>
      <c r="S3" s="5121"/>
      <c r="T3" s="5122" t="s">
        <v>941</v>
      </c>
      <c r="U3" s="5099"/>
      <c r="V3" s="5099"/>
      <c r="W3" s="5099"/>
      <c r="X3" s="5123" t="s">
        <v>1324</v>
      </c>
      <c r="Y3" s="5099"/>
      <c r="Z3" s="5099"/>
      <c r="AA3" s="5099"/>
      <c r="AB3" s="5115" t="s">
        <v>1289</v>
      </c>
      <c r="AC3" s="5099"/>
      <c r="AD3" s="5099"/>
      <c r="AE3" s="5099"/>
      <c r="AF3" s="5117" t="s">
        <v>1029</v>
      </c>
      <c r="AG3" s="5117"/>
      <c r="AH3" s="5117"/>
      <c r="AI3" s="5117"/>
      <c r="AJ3" s="5117" t="s">
        <v>1030</v>
      </c>
      <c r="AK3" s="5117"/>
      <c r="AL3" s="5117"/>
      <c r="AM3" s="5117"/>
      <c r="AN3" s="5116" t="s">
        <v>1231</v>
      </c>
      <c r="AO3" s="5116"/>
      <c r="AP3" s="5116"/>
      <c r="AQ3" s="5116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AVERAGE(B3,B5,B18,B27,B28,B32,B34,B36,B44,B56,B61,B63,B69,B75,B88,B96,B99,B105,B111,B116,B117,B128,B133,B139,B144,B147,B158,B162,B163,B164,B165,B166,B172,B177,B183,B195,B200,B202,B203,B206,B214,B218,B225,B232,B244,B250,B252,B254)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AVERAGE(C3,C5,C18,C27,C28,C32,C34,C36,C44,C56,C61,C63,C69,C75,C88,C96,C99,C105,C111,C116,C117,C128,C133,C139,C144,C147,C158,C162,C163,C164,C165,C166,C172,C177,C183,C195,C200,C202,C203,C206,C214,C218,C225,C232,C244,C250,C252,C254)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AVERAGE(B21,B24,B39,B40,B47,B49,B51,B52,B65,B80,B82,B92,B93,B112,B130,B140,B148,B150,B153,B154,B155,B157,B161,B181,B196,B204,B222,B223,B231,B239,B243,B249,B256)</f>
        <v>1.1440625</v>
      </c>
      <c r="Y4" s="1">
        <f t="shared" ref="Y4:AA4" si="4">AVERAGE(C21,C24,C39,C40,C47,C49,C51,C52,C65,C80,C82,C92,C93,C112,C130,C140,C148,C150,C153,C154,C155,C157,C161,C181,C196,C204,C222,C223,C231,C239,C243,C249,C256)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5114">
        <f>AVERAGE(H4:I4)</f>
        <v>1.0193362533692722</v>
      </c>
      <c r="I5" s="5114"/>
      <c r="J5" s="5114"/>
      <c r="K5" s="5114"/>
      <c r="L5" s="5114">
        <f>AVERAGE(L4:M4)</f>
        <v>1.0659129143988122</v>
      </c>
      <c r="M5" s="5114"/>
      <c r="N5" s="5114"/>
      <c r="O5" s="5114"/>
      <c r="P5" s="5114">
        <f>AVERAGE(P4:Q4)</f>
        <v>0.92159926470588238</v>
      </c>
      <c r="Q5" s="5114"/>
      <c r="R5" s="5114"/>
      <c r="S5" s="5114"/>
      <c r="T5" s="5114">
        <f>AVERAGE(T4:U4)</f>
        <v>1.1372058823529412</v>
      </c>
      <c r="U5" s="5114"/>
      <c r="V5" s="5114"/>
      <c r="W5" s="5114"/>
      <c r="X5" s="5114">
        <f>AVERAGE(X4:Y4)</f>
        <v>1.1944506048387096</v>
      </c>
      <c r="Y5" s="5114"/>
      <c r="Z5" s="5114"/>
      <c r="AA5" s="5114"/>
      <c r="AB5" s="5114">
        <f>AVERAGE(AB4:AC4)</f>
        <v>1.0036596218020022</v>
      </c>
      <c r="AC5" s="5114"/>
      <c r="AD5" s="5114"/>
      <c r="AE5" s="5114"/>
      <c r="AF5" s="5114">
        <f>AVERAGE(AF4:AG4)</f>
        <v>0.74166666666666659</v>
      </c>
      <c r="AG5" s="5114"/>
      <c r="AH5" s="5114"/>
      <c r="AI5" s="5114"/>
      <c r="AJ5" s="5114">
        <f>AVERAGE(AJ4:AK4)</f>
        <v>0.75</v>
      </c>
      <c r="AK5" s="5114"/>
      <c r="AL5" s="5114"/>
      <c r="AM5" s="5114"/>
      <c r="AN5" s="5114">
        <f>AVERAGE(AN4:AO4)</f>
        <v>1.4249999999999998</v>
      </c>
      <c r="AO5" s="5114"/>
      <c r="AP5" s="5114"/>
      <c r="AQ5" s="5114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1128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1129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1130</v>
      </c>
      <c r="B25" s="1">
        <v>1.58</v>
      </c>
      <c r="C25" s="1">
        <v>1.39</v>
      </c>
    </row>
    <row r="26" spans="1:5" ht="15.75" customHeight="1" x14ac:dyDescent="0.25">
      <c r="A26" s="1" t="s">
        <v>1131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1132</v>
      </c>
      <c r="B37" s="1">
        <v>1.24</v>
      </c>
      <c r="C37" s="1">
        <v>1.48</v>
      </c>
    </row>
    <row r="38" spans="1:7" ht="15.75" customHeight="1" x14ac:dyDescent="0.25">
      <c r="A38" s="1" t="s">
        <v>1133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1134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1135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1136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1137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1078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1079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1080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1081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1082</v>
      </c>
      <c r="B218">
        <v>0.85</v>
      </c>
      <c r="C218">
        <v>0.77</v>
      </c>
    </row>
    <row r="219" spans="1:91" x14ac:dyDescent="0.25">
      <c r="A219" s="41" t="s">
        <v>1106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1107</v>
      </c>
      <c r="B220">
        <v>0.48</v>
      </c>
      <c r="C220">
        <v>0.98</v>
      </c>
    </row>
    <row r="221" spans="1:91" x14ac:dyDescent="0.25">
      <c r="A221" s="1557" t="s">
        <v>1108</v>
      </c>
      <c r="B221">
        <v>1.54</v>
      </c>
      <c r="C221">
        <v>1.7</v>
      </c>
    </row>
    <row r="222" spans="1:91" x14ac:dyDescent="0.25">
      <c r="A222" s="1558" t="s">
        <v>1109</v>
      </c>
      <c r="B222">
        <v>1.56</v>
      </c>
      <c r="C222">
        <v>1.56</v>
      </c>
    </row>
    <row r="223" spans="1:91" x14ac:dyDescent="0.25">
      <c r="A223" s="1559" t="s">
        <v>1110</v>
      </c>
      <c r="B223">
        <v>1.64</v>
      </c>
      <c r="C223">
        <v>1.2</v>
      </c>
    </row>
    <row r="224" spans="1:91" x14ac:dyDescent="0.25">
      <c r="A224" s="41" t="s">
        <v>1138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1139</v>
      </c>
      <c r="B226">
        <v>1.44</v>
      </c>
      <c r="C226">
        <v>1.41</v>
      </c>
    </row>
    <row r="227" spans="1:87" x14ac:dyDescent="0.25">
      <c r="A227" s="1832" t="s">
        <v>1140</v>
      </c>
      <c r="B227">
        <v>0.98</v>
      </c>
      <c r="C227">
        <v>1.6</v>
      </c>
    </row>
    <row r="228" spans="1:87" x14ac:dyDescent="0.25">
      <c r="A228" s="44" t="s">
        <v>1166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1167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1226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1227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1228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1229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1230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1232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1273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1274</v>
      </c>
      <c r="B241">
        <v>0.3</v>
      </c>
      <c r="C241">
        <v>0.75</v>
      </c>
    </row>
    <row r="242" spans="1:91" x14ac:dyDescent="0.25">
      <c r="A242" s="3472" t="s">
        <v>1275</v>
      </c>
      <c r="B242">
        <v>1.08</v>
      </c>
      <c r="C242">
        <v>1.01</v>
      </c>
    </row>
    <row r="243" spans="1:91" x14ac:dyDescent="0.25">
      <c r="A243" s="3473" t="s">
        <v>1276</v>
      </c>
      <c r="B243">
        <v>1.18</v>
      </c>
      <c r="C243">
        <v>1.69</v>
      </c>
    </row>
    <row r="244" spans="1:91" x14ac:dyDescent="0.25">
      <c r="A244" s="3474" t="s">
        <v>1189</v>
      </c>
      <c r="B244">
        <v>0.98</v>
      </c>
      <c r="C244">
        <v>0.92</v>
      </c>
    </row>
    <row r="245" spans="1:91" x14ac:dyDescent="0.25">
      <c r="A245" s="44" t="s">
        <v>1286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1287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1288</v>
      </c>
      <c r="B248">
        <v>2.2000000000000002</v>
      </c>
      <c r="C248">
        <v>1.55</v>
      </c>
    </row>
    <row r="249" spans="1:91" x14ac:dyDescent="0.25">
      <c r="A249" s="3596" t="s">
        <v>1290</v>
      </c>
      <c r="B249">
        <v>1</v>
      </c>
      <c r="C249">
        <v>1.1599999999999999</v>
      </c>
    </row>
    <row r="250" spans="1:91" x14ac:dyDescent="0.25">
      <c r="A250" s="3597" t="s">
        <v>1291</v>
      </c>
      <c r="B250">
        <v>1.22</v>
      </c>
      <c r="C250">
        <v>0.81</v>
      </c>
    </row>
    <row r="251" spans="1:91" x14ac:dyDescent="0.25">
      <c r="A251" s="3598" t="s">
        <v>1292</v>
      </c>
      <c r="B251">
        <v>1.7</v>
      </c>
      <c r="C251">
        <v>1.1100000000000001</v>
      </c>
    </row>
    <row r="252" spans="1:91" x14ac:dyDescent="0.25">
      <c r="A252" s="3599" t="s">
        <v>1294</v>
      </c>
      <c r="B252">
        <v>1.51</v>
      </c>
      <c r="C252">
        <v>0.91</v>
      </c>
    </row>
    <row r="253" spans="1:91" x14ac:dyDescent="0.25">
      <c r="A253" s="44" t="s">
        <v>1320</v>
      </c>
      <c r="B253" s="44"/>
      <c r="C253" s="44"/>
      <c r="D253" s="44"/>
      <c r="E253" s="44"/>
      <c r="H253" s="3998"/>
      <c r="I253" s="3998"/>
      <c r="J253" s="3998"/>
      <c r="K253" s="3998"/>
      <c r="L253" s="3998"/>
      <c r="M253" s="3998"/>
      <c r="N253" s="3998"/>
      <c r="O253" s="3998"/>
      <c r="P253" s="3998"/>
      <c r="Q253" s="3998"/>
      <c r="R253" s="3998"/>
      <c r="S253" s="3998"/>
      <c r="T253" s="3998"/>
      <c r="U253" s="3998"/>
      <c r="V253" s="3998"/>
      <c r="W253" s="3998"/>
      <c r="X253" s="3998"/>
      <c r="Y253" s="3998"/>
      <c r="Z253" s="3998"/>
      <c r="AA253" s="3998"/>
      <c r="AB253" s="3998"/>
      <c r="AC253" s="3998"/>
      <c r="AD253" s="3998"/>
      <c r="AE253" s="3998"/>
      <c r="AF253" s="3998"/>
      <c r="AG253" s="3998"/>
      <c r="AH253" s="3998"/>
      <c r="AI253" s="3998"/>
      <c r="AJ253" s="3998"/>
      <c r="AK253" s="3998"/>
      <c r="AL253" s="3998"/>
      <c r="AM253" s="3998"/>
      <c r="AN253" s="3998"/>
      <c r="AO253" s="3998"/>
      <c r="AP253" s="3998"/>
      <c r="AQ253" s="3998"/>
      <c r="AR253" s="3998"/>
      <c r="AS253" s="3998"/>
      <c r="AT253" s="3998"/>
      <c r="AU253" s="3998"/>
      <c r="AV253" s="3998"/>
      <c r="AW253" s="3998"/>
      <c r="AX253" s="3998"/>
      <c r="AY253" s="3998"/>
      <c r="AZ253" s="3998"/>
      <c r="BA253" s="3998"/>
      <c r="BB253" s="3998"/>
      <c r="BC253" s="3998"/>
      <c r="BD253" s="3998"/>
      <c r="BE253" s="3998"/>
      <c r="BF253" s="3998"/>
      <c r="BG253" s="3998"/>
      <c r="BH253" s="3998"/>
      <c r="BI253" s="3998"/>
      <c r="BJ253" s="3998"/>
      <c r="BK253" s="3998"/>
      <c r="BL253" s="3998"/>
      <c r="BM253" s="3998"/>
      <c r="BN253" s="3998"/>
      <c r="BO253" s="3998"/>
      <c r="BP253" s="3998"/>
      <c r="BQ253" s="3998"/>
      <c r="BR253" s="3998"/>
      <c r="BS253" s="3998"/>
      <c r="BT253" s="3998"/>
      <c r="BU253" s="3998"/>
      <c r="BV253" s="3998"/>
      <c r="BW253" s="3998"/>
      <c r="BX253" s="3998"/>
      <c r="BY253" s="3998"/>
      <c r="BZ253" s="3998"/>
      <c r="CA253" s="3998"/>
      <c r="CB253" s="3998"/>
      <c r="CC253" s="3998"/>
      <c r="CD253" s="3998"/>
      <c r="CE253" s="3998"/>
      <c r="CF253" s="3998"/>
      <c r="CG253" s="3998"/>
      <c r="CH253" s="3998"/>
      <c r="CI253" s="3998"/>
      <c r="CJ253" s="3998"/>
      <c r="CK253" s="3998"/>
    </row>
    <row r="254" spans="1:91" x14ac:dyDescent="0.25">
      <c r="A254" s="3881" t="s">
        <v>1321</v>
      </c>
      <c r="B254">
        <v>1.57</v>
      </c>
      <c r="C254">
        <v>1.29</v>
      </c>
    </row>
    <row r="255" spans="1:91" x14ac:dyDescent="0.25">
      <c r="A255" s="44" t="s">
        <v>1323</v>
      </c>
      <c r="B255" s="44"/>
      <c r="C255" s="44"/>
      <c r="D255" s="44"/>
      <c r="E255" s="44"/>
      <c r="F255" s="3998"/>
      <c r="G255" s="3998"/>
      <c r="H255" s="3998"/>
      <c r="I255" s="3998"/>
      <c r="J255" s="3998"/>
      <c r="K255" s="3998"/>
      <c r="L255" s="3998"/>
      <c r="M255" s="3998"/>
      <c r="N255" s="3998"/>
      <c r="O255" s="3998"/>
      <c r="P255" s="3998"/>
      <c r="Q255" s="3998"/>
      <c r="R255" s="3998"/>
      <c r="S255" s="3998"/>
      <c r="T255" s="3998"/>
      <c r="U255" s="3998"/>
      <c r="V255" s="3998"/>
      <c r="W255" s="3998"/>
      <c r="X255" s="3998"/>
      <c r="Y255" s="3998"/>
      <c r="Z255" s="3998"/>
      <c r="AA255" s="3998"/>
      <c r="AB255" s="3998"/>
      <c r="AC255" s="3998"/>
      <c r="AD255" s="3998"/>
      <c r="AE255" s="3998"/>
      <c r="AF255" s="3998"/>
      <c r="AG255" s="3998"/>
      <c r="AH255" s="3998"/>
      <c r="AI255" s="3998"/>
      <c r="AJ255" s="3998"/>
      <c r="AK255" s="3998"/>
      <c r="AL255" s="3998"/>
      <c r="AM255" s="3998"/>
      <c r="AN255" s="3998"/>
      <c r="AO255" s="3998"/>
      <c r="AP255" s="3998"/>
      <c r="AQ255" s="3998"/>
      <c r="AR255" s="3998"/>
      <c r="AS255" s="3998"/>
      <c r="AT255" s="3998"/>
      <c r="AU255" s="3998"/>
      <c r="AV255" s="3998"/>
      <c r="AW255" s="3998"/>
      <c r="AX255" s="3998"/>
      <c r="AY255" s="3998"/>
      <c r="AZ255" s="3998"/>
      <c r="BA255" s="3998"/>
      <c r="BB255" s="3998"/>
      <c r="BC255" s="3998"/>
      <c r="BD255" s="3998"/>
      <c r="BE255" s="3998"/>
      <c r="BF255" s="3998"/>
      <c r="BG255" s="3998"/>
      <c r="BH255" s="3998"/>
      <c r="BI255" s="3998"/>
      <c r="BJ255" s="3998"/>
      <c r="BK255" s="3998"/>
      <c r="BL255" s="3998"/>
      <c r="BM255" s="3998"/>
      <c r="BN255" s="3998"/>
      <c r="BO255" s="3998"/>
      <c r="BP255" s="3998"/>
      <c r="BQ255" s="3998"/>
      <c r="BR255" s="3998"/>
      <c r="BS255" s="3998"/>
      <c r="BT255" s="3998"/>
      <c r="BU255" s="3998"/>
      <c r="BV255" s="3998"/>
      <c r="BW255" s="3998"/>
      <c r="BX255" s="3998"/>
      <c r="BY255" s="3998"/>
      <c r="BZ255" s="3998"/>
      <c r="CA255" s="3998"/>
      <c r="CB255" s="3998"/>
      <c r="CC255" s="3998"/>
      <c r="CD255" s="3998"/>
    </row>
    <row r="256" spans="1:91" x14ac:dyDescent="0.25">
      <c r="A256" s="3882" t="s">
        <v>593</v>
      </c>
      <c r="B256">
        <v>1.32</v>
      </c>
      <c r="C256">
        <v>1.26</v>
      </c>
    </row>
    <row r="257" spans="1:85" ht="15.75" customHeight="1" x14ac:dyDescent="0.25">
      <c r="A257" s="35"/>
      <c r="B257" s="36">
        <f>AVERAGE(B3:B256)</f>
        <v>1.0890654205607473</v>
      </c>
      <c r="C257" s="36">
        <f>AVERAGE(C3:C256)</f>
        <v>1.0260999999999998</v>
      </c>
      <c r="D257" s="36">
        <f t="shared" ref="D257:E257" si="8">AVERAGE(D3:D256)</f>
        <v>0.86599999999999999</v>
      </c>
      <c r="E257" s="36">
        <f t="shared" si="8"/>
        <v>0.77888888888888896</v>
      </c>
      <c r="F257" s="36"/>
      <c r="G257" s="35"/>
      <c r="H257" s="2985"/>
      <c r="I257" s="2985"/>
      <c r="J257" s="2985"/>
      <c r="K257" s="2985"/>
      <c r="L257" s="2985"/>
      <c r="M257" s="2985"/>
      <c r="N257" s="2985"/>
      <c r="O257" s="2985"/>
      <c r="P257" s="2985"/>
      <c r="Q257" s="2985"/>
      <c r="R257" s="2985"/>
      <c r="S257" s="2985"/>
      <c r="T257" s="2985"/>
      <c r="U257" s="2985"/>
      <c r="V257" s="2985"/>
      <c r="W257" s="2985"/>
      <c r="X257" s="2985"/>
      <c r="Y257" s="2985"/>
      <c r="Z257" s="2985"/>
      <c r="AA257" s="2985"/>
      <c r="AB257" s="2985"/>
      <c r="AC257" s="2985"/>
      <c r="AD257" s="2985"/>
      <c r="AE257" s="2985"/>
      <c r="AF257" s="2985"/>
      <c r="AG257" s="2985"/>
      <c r="AH257" s="2985"/>
      <c r="AI257" s="2985"/>
      <c r="AJ257" s="2985"/>
      <c r="AK257" s="2985"/>
      <c r="AL257" s="2985"/>
      <c r="AM257" s="2985"/>
      <c r="AN257" s="2985"/>
      <c r="AO257" s="2985"/>
      <c r="AP257" s="2985"/>
      <c r="AQ257" s="2985"/>
      <c r="AR257" s="2985"/>
      <c r="AS257" s="2985"/>
      <c r="AT257" s="2985"/>
      <c r="AU257" s="2985"/>
      <c r="AV257" s="2985"/>
      <c r="AW257" s="2985"/>
      <c r="AX257" s="2985"/>
      <c r="AY257" s="2985"/>
      <c r="AZ257" s="2985"/>
      <c r="BA257" s="2985"/>
      <c r="BB257" s="2985"/>
      <c r="BC257" s="2985"/>
      <c r="BD257" s="2985"/>
      <c r="BE257" s="2985"/>
      <c r="BF257" s="2985"/>
      <c r="BG257" s="2985"/>
      <c r="BH257" s="2985"/>
      <c r="BI257" s="2985"/>
      <c r="BJ257" s="2985"/>
      <c r="BK257" s="2985"/>
      <c r="BL257" s="2985"/>
      <c r="BM257" s="2985"/>
      <c r="BN257" s="2985"/>
      <c r="BO257" s="2985"/>
      <c r="BP257" s="2985"/>
      <c r="BQ257" s="2985"/>
      <c r="BR257" s="2985"/>
      <c r="BS257" s="2985"/>
      <c r="BT257" s="2985"/>
      <c r="BU257" s="2985"/>
      <c r="BV257" s="2985"/>
      <c r="BW257" s="2985"/>
      <c r="BX257" s="2985"/>
      <c r="BY257" s="2985"/>
      <c r="BZ257" s="2985"/>
      <c r="CA257" s="2985"/>
      <c r="CB257" s="2985"/>
      <c r="CC257" s="2985"/>
      <c r="CD257" s="2985"/>
      <c r="CE257" s="2985"/>
      <c r="CF257" s="2985"/>
      <c r="CG257" s="2985"/>
    </row>
  </sheetData>
  <mergeCells count="18">
    <mergeCell ref="H5:K5"/>
    <mergeCell ref="L5:O5"/>
    <mergeCell ref="P5:S5"/>
    <mergeCell ref="T5:W5"/>
    <mergeCell ref="X5:AA5"/>
    <mergeCell ref="H3:K3"/>
    <mergeCell ref="L3:O3"/>
    <mergeCell ref="P3:S3"/>
    <mergeCell ref="T3:W3"/>
    <mergeCell ref="X3:AA3"/>
    <mergeCell ref="AF5:AI5"/>
    <mergeCell ref="AJ5:AM5"/>
    <mergeCell ref="AB3:AE3"/>
    <mergeCell ref="AB5:AE5"/>
    <mergeCell ref="AN3:AQ3"/>
    <mergeCell ref="AN5:AQ5"/>
    <mergeCell ref="AF3:AI3"/>
    <mergeCell ref="AJ3:AM3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26"/>
  <sheetViews>
    <sheetView topLeftCell="BX1" zoomScale="80" workbookViewId="0">
      <pane ySplit="1" topLeftCell="A2" activePane="bottomLeft" state="frozen"/>
      <selection pane="bottomLeft" activeCell="CJ1" sqref="CJ1:CO1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5126" t="s">
        <v>1340</v>
      </c>
      <c r="CK1" s="5126"/>
      <c r="CL1" s="5126"/>
      <c r="CM1" s="5126"/>
      <c r="CN1" s="5126"/>
      <c r="CO1" s="5126"/>
      <c r="CP1" s="5122" t="s">
        <v>1332</v>
      </c>
      <c r="CQ1" s="5122"/>
      <c r="CR1" s="5122"/>
      <c r="CS1" s="5122"/>
      <c r="CT1" s="5122"/>
      <c r="CU1" s="5122"/>
      <c r="CV1" s="5115" t="s">
        <v>1306</v>
      </c>
      <c r="CW1" s="5115"/>
      <c r="CX1" s="5115"/>
      <c r="CY1" s="5115"/>
      <c r="CZ1" s="5115"/>
      <c r="DA1" s="5115"/>
      <c r="DB1" s="5125" t="s">
        <v>1272</v>
      </c>
      <c r="DC1" s="5125"/>
      <c r="DD1" s="5125"/>
      <c r="DE1" s="5125"/>
      <c r="DF1" s="5125"/>
      <c r="DG1" s="5125"/>
      <c r="DH1" s="5115" t="s">
        <v>1333</v>
      </c>
      <c r="DI1" s="5115"/>
      <c r="DJ1" s="5115"/>
      <c r="DK1" s="5115"/>
      <c r="DL1" s="5115"/>
      <c r="DM1" s="5115"/>
      <c r="DN1" s="5122" t="s">
        <v>997</v>
      </c>
      <c r="DO1" s="5122"/>
      <c r="DP1" s="5122"/>
      <c r="DQ1" s="5122"/>
      <c r="DR1" s="5122"/>
      <c r="DS1" s="5122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AVERAGE(B14,B18,B22,B29,B32,B34,B38,B39,B45,B51,B64,B70,B74,B82,B88,B92,B96,B100,B101,B103,B113,B118,B120,B125)</f>
        <v>1.0541666666666665</v>
      </c>
      <c r="CK2" s="1">
        <f t="shared" ref="CK2:CM2" si="0">AVERAGE(C14,C18,C22,C29,C32,C34,C38,C39,C45,C51,C64,C70,C74,C82,C88,C92,C96,C100,C101,C103,C113,C118,C120,C125)</f>
        <v>0.98375000000000001</v>
      </c>
      <c r="CL2" s="1">
        <f t="shared" si="0"/>
        <v>1.0527777777777778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AVERAGE(B3,B7,B8,B12,B15,B19,B20,B24,B26,B28,B30,B37,B40,B46,B48,B50,B69,B72,B73,B75,B79,B81,B84,B90,B91,B94,B97,B102,B104,B117,B121)</f>
        <v>1.2522580645161288</v>
      </c>
      <c r="CQ2" s="1">
        <f t="shared" ref="CQ2:CS2" si="1">AVERAGE(C3,C7,C8,C12,C15,C19,C20,C24,C26,C28,C30,C37,C40,C46,C48,C50,C69,C72,C73,C75,C79,C81,C84,C90,C91,C94,C97,C102,C104,C117,C121)</f>
        <v>1.062258064516129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AVERAGE(B53,B122,B123)</f>
        <v>1.1100000000000001</v>
      </c>
      <c r="DI2" s="1">
        <f>AVERAGE(C53,C122,C123)</f>
        <v>1.21</v>
      </c>
      <c r="DJ2" s="1">
        <f>AVERAGE(D53,D122,D123)</f>
        <v>1.0550000000000002</v>
      </c>
      <c r="DK2" s="1" t="e">
        <f t="shared" ref="DK2" si="4">AVERAGE(E53,E122,E123)</f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5098">
        <f>_xlfn.AGGREGATE(1,6,CJ2:CO2)</f>
        <v>1.0302314814814812</v>
      </c>
      <c r="CK3" s="5098"/>
      <c r="CL3" s="5098"/>
      <c r="CM3" s="5098"/>
      <c r="CN3" s="5098"/>
      <c r="CO3" s="5098"/>
      <c r="CP3" s="5098">
        <f t="shared" ref="CP3" si="6">_xlfn.AGGREGATE(1,6,CP2:CU2)</f>
        <v>1.1007646356033451</v>
      </c>
      <c r="CQ3" s="5098"/>
      <c r="CR3" s="5098"/>
      <c r="CS3" s="5098"/>
      <c r="CT3" s="5098"/>
      <c r="CU3" s="5098"/>
      <c r="CV3" s="5098">
        <f t="shared" ref="CV3" si="7">_xlfn.AGGREGATE(1,6,CV2:DA2)</f>
        <v>1.0716666666666665</v>
      </c>
      <c r="CW3" s="5098"/>
      <c r="CX3" s="5098"/>
      <c r="CY3" s="5098"/>
      <c r="CZ3" s="5098"/>
      <c r="DA3" s="5098"/>
      <c r="DB3" s="5098">
        <f t="shared" ref="DB3" si="8">_xlfn.AGGREGATE(1,6,DB2:DG2)</f>
        <v>1.1828888888888889</v>
      </c>
      <c r="DC3" s="5098"/>
      <c r="DD3" s="5098"/>
      <c r="DE3" s="5098"/>
      <c r="DF3" s="5098"/>
      <c r="DG3" s="5098"/>
      <c r="DH3" s="5098">
        <f t="shared" ref="DH3" si="9">_xlfn.AGGREGATE(1,6,DH2:DM2)</f>
        <v>1.1250000000000002</v>
      </c>
      <c r="DI3" s="5098"/>
      <c r="DJ3" s="5098"/>
      <c r="DK3" s="5098"/>
      <c r="DL3" s="5098"/>
      <c r="DM3" s="5098"/>
      <c r="DN3" s="5098" t="e">
        <f t="shared" ref="DN3" si="10">_xlfn.AGGREGATE(1,6,DN2:DS2)</f>
        <v>#DIV/0!</v>
      </c>
      <c r="DO3" s="5098"/>
      <c r="DP3" s="5098"/>
      <c r="DQ3" s="5098"/>
      <c r="DR3" s="5098"/>
      <c r="DS3" s="5098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5115" t="s">
        <v>1303</v>
      </c>
      <c r="CK4" s="5115"/>
      <c r="CL4" s="5115"/>
      <c r="CM4" s="5115"/>
      <c r="CN4" s="5115"/>
      <c r="CO4" s="5115"/>
      <c r="CP4" s="5124" t="s">
        <v>993</v>
      </c>
      <c r="CQ4" s="5124"/>
      <c r="CR4" s="5124"/>
      <c r="CS4" s="5124"/>
      <c r="CT4" s="5124"/>
      <c r="CU4" s="5124"/>
      <c r="CV4" s="5122" t="s">
        <v>994</v>
      </c>
      <c r="CW4" s="5122"/>
      <c r="CX4" s="5122"/>
      <c r="CY4" s="5122"/>
      <c r="CZ4" s="5122"/>
      <c r="DA4" s="5122"/>
      <c r="DB4" s="5115" t="s">
        <v>995</v>
      </c>
      <c r="DC4" s="5115"/>
      <c r="DD4" s="5115"/>
      <c r="DE4" s="5115"/>
      <c r="DF4" s="5115"/>
      <c r="DG4" s="5115"/>
      <c r="DH4" s="5122" t="s">
        <v>996</v>
      </c>
      <c r="DI4" s="5122"/>
      <c r="DJ4" s="5122"/>
      <c r="DK4" s="5122"/>
      <c r="DL4" s="5122"/>
      <c r="DM4" s="5122"/>
      <c r="DN4" s="5125" t="s">
        <v>1308</v>
      </c>
      <c r="DO4" s="5125"/>
      <c r="DP4" s="5125"/>
      <c r="DQ4" s="5125"/>
      <c r="DR4" s="5125"/>
      <c r="DS4" s="5125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5098">
        <f>_xlfn.AGGREGATE(1,6,CJ5:CO5)</f>
        <v>1.098888888888889</v>
      </c>
      <c r="CK6" s="5098"/>
      <c r="CL6" s="5098"/>
      <c r="CM6" s="5098"/>
      <c r="CN6" s="5098"/>
      <c r="CO6" s="5098"/>
      <c r="CP6" s="5098" t="e">
        <f t="shared" ref="CP6" si="17">_xlfn.AGGREGATE(1,6,CP5:CU5)</f>
        <v>#DIV/0!</v>
      </c>
      <c r="CQ6" s="5098"/>
      <c r="CR6" s="5098"/>
      <c r="CS6" s="5098"/>
      <c r="CT6" s="5098"/>
      <c r="CU6" s="5098"/>
      <c r="CV6" s="5098" t="e">
        <f t="shared" ref="CV6" si="18">_xlfn.AGGREGATE(1,6,CV5:DA5)</f>
        <v>#DIV/0!</v>
      </c>
      <c r="CW6" s="5098"/>
      <c r="CX6" s="5098"/>
      <c r="CY6" s="5098"/>
      <c r="CZ6" s="5098"/>
      <c r="DA6" s="5098"/>
      <c r="DB6" s="5098">
        <f t="shared" ref="DB6" si="19">_xlfn.AGGREGATE(1,6,DB5:DG5)</f>
        <v>1.0416666666666667</v>
      </c>
      <c r="DC6" s="5098"/>
      <c r="DD6" s="5098"/>
      <c r="DE6" s="5098"/>
      <c r="DF6" s="5098"/>
      <c r="DG6" s="5098"/>
      <c r="DH6" s="5098" t="e">
        <f t="shared" ref="DH6" si="20">_xlfn.AGGREGATE(1,6,DH5:DM5)</f>
        <v>#DIV/0!</v>
      </c>
      <c r="DI6" s="5098"/>
      <c r="DJ6" s="5098"/>
      <c r="DK6" s="5098"/>
      <c r="DL6" s="5098"/>
      <c r="DM6" s="5098"/>
      <c r="DN6" s="5098">
        <f t="shared" ref="DN6" si="21">_xlfn.AGGREGATE(1,6,DN5:DS5)</f>
        <v>1.0967878787878786</v>
      </c>
      <c r="DO6" s="5098"/>
      <c r="DP6" s="5098"/>
      <c r="DQ6" s="5098"/>
      <c r="DR6" s="5098"/>
      <c r="DS6" s="5098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1066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1067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1068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1069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1070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1098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1081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1106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1125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1126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1127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1138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1149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1150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1152</v>
      </c>
    </row>
    <row r="70" spans="1:84" x14ac:dyDescent="0.25">
      <c r="A70" s="1986" t="s">
        <v>1151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1154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1162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1163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1164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1165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1166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1181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1172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1182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1183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1174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1184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1185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1190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1192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1188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1193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1194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1195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1196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1203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1206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1207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1208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1210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1211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1212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1213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1214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1215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1219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1261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1271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1286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1300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1302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1304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1305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1307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1309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1317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1319</v>
      </c>
    </row>
    <row r="118" spans="1:105" x14ac:dyDescent="0.25">
      <c r="A118" s="3867" t="s">
        <v>1318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A119" s="40" t="s">
        <v>1323</v>
      </c>
      <c r="B119" s="40"/>
      <c r="C119" s="40"/>
      <c r="D119" s="40"/>
      <c r="E119" s="40"/>
      <c r="F119" s="3934"/>
      <c r="N119" s="3935"/>
      <c r="S119" s="3936"/>
      <c r="AA119" s="3937"/>
      <c r="AF119" s="3938"/>
      <c r="AN119" s="3939"/>
      <c r="AS119" s="3940"/>
      <c r="BA119" s="3941"/>
      <c r="BF119" s="3942"/>
      <c r="BN119" s="3943"/>
      <c r="BS119" s="3944"/>
      <c r="CA119" s="3945"/>
    </row>
    <row r="120" spans="1:105" x14ac:dyDescent="0.25">
      <c r="A120" s="3946" t="s">
        <v>949</v>
      </c>
      <c r="B120">
        <v>0.75</v>
      </c>
      <c r="C120">
        <v>0.49</v>
      </c>
      <c r="D120">
        <v>0.98</v>
      </c>
      <c r="F120" s="3947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4</v>
      </c>
      <c r="M120">
        <v>0</v>
      </c>
      <c r="N120" s="3948">
        <v>0</v>
      </c>
      <c r="O120">
        <v>1</v>
      </c>
      <c r="P120">
        <v>0</v>
      </c>
      <c r="Q120">
        <v>0</v>
      </c>
      <c r="R120">
        <v>0</v>
      </c>
      <c r="S120" s="3949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3950">
        <v>0</v>
      </c>
      <c r="AB120">
        <v>0</v>
      </c>
      <c r="AC120">
        <v>0</v>
      </c>
      <c r="AD120">
        <v>0</v>
      </c>
      <c r="AE120">
        <v>0</v>
      </c>
      <c r="AF120" s="3951">
        <v>2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</v>
      </c>
      <c r="AN120" s="3952">
        <v>0</v>
      </c>
      <c r="AO120">
        <v>0</v>
      </c>
      <c r="AP120">
        <v>0</v>
      </c>
      <c r="AQ120">
        <v>0</v>
      </c>
      <c r="AR120">
        <v>0</v>
      </c>
      <c r="AS120" s="3953"/>
      <c r="BA120" s="3954"/>
      <c r="BF120" s="3955"/>
      <c r="BN120" s="3956"/>
      <c r="BS120" s="3957"/>
      <c r="CA120" s="3958"/>
    </row>
    <row r="121" spans="1:105" x14ac:dyDescent="0.25">
      <c r="A121" s="3959" t="s">
        <v>1331</v>
      </c>
      <c r="B121">
        <v>1.54</v>
      </c>
      <c r="C121">
        <v>1.25</v>
      </c>
      <c r="F121" s="3960">
        <v>0</v>
      </c>
      <c r="G121">
        <v>3</v>
      </c>
      <c r="H121">
        <v>0</v>
      </c>
      <c r="I121">
        <v>0</v>
      </c>
      <c r="J121">
        <v>0</v>
      </c>
      <c r="K121">
        <v>0</v>
      </c>
      <c r="L121">
        <v>1</v>
      </c>
      <c r="M121">
        <v>1</v>
      </c>
      <c r="N121" s="3961">
        <v>0</v>
      </c>
      <c r="O121">
        <v>0</v>
      </c>
      <c r="P121">
        <v>0</v>
      </c>
      <c r="Q121">
        <v>0</v>
      </c>
      <c r="R121">
        <v>0</v>
      </c>
      <c r="S121" s="3962">
        <v>0</v>
      </c>
      <c r="T121">
        <v>2</v>
      </c>
      <c r="U121">
        <v>0</v>
      </c>
      <c r="V121">
        <v>0</v>
      </c>
      <c r="W121">
        <v>0</v>
      </c>
      <c r="X121">
        <v>0</v>
      </c>
      <c r="Y121">
        <v>5</v>
      </c>
      <c r="Z121">
        <v>0</v>
      </c>
      <c r="AA121" s="3963">
        <v>0</v>
      </c>
      <c r="AB121">
        <v>0</v>
      </c>
      <c r="AC121">
        <v>0</v>
      </c>
      <c r="AD121">
        <v>0</v>
      </c>
      <c r="AE121">
        <v>0</v>
      </c>
      <c r="AF121" s="3964"/>
      <c r="AN121" s="3965"/>
      <c r="AS121" s="3966"/>
      <c r="BA121" s="3967"/>
      <c r="BF121" s="3968"/>
      <c r="BN121" s="3969"/>
      <c r="BS121" s="3970"/>
      <c r="CA121" s="3971"/>
    </row>
    <row r="122" spans="1:105" x14ac:dyDescent="0.25">
      <c r="A122" s="3972" t="s">
        <v>469</v>
      </c>
      <c r="B122">
        <v>0.91</v>
      </c>
      <c r="C122">
        <v>0.82</v>
      </c>
      <c r="D122">
        <v>1.3</v>
      </c>
      <c r="F122" s="397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 s="3974">
        <v>0</v>
      </c>
      <c r="O122">
        <v>0</v>
      </c>
      <c r="P122">
        <v>0</v>
      </c>
      <c r="Q122">
        <v>0</v>
      </c>
      <c r="R122">
        <v>0</v>
      </c>
      <c r="S122" s="3975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3976">
        <v>0</v>
      </c>
      <c r="AB122">
        <v>0</v>
      </c>
      <c r="AC122">
        <v>0</v>
      </c>
      <c r="AD122">
        <v>0</v>
      </c>
      <c r="AE122">
        <v>0</v>
      </c>
      <c r="AF122" s="3977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 s="3978">
        <v>0</v>
      </c>
      <c r="AO122">
        <v>0</v>
      </c>
      <c r="AP122">
        <v>0</v>
      </c>
      <c r="AQ122">
        <v>0</v>
      </c>
      <c r="AR122">
        <v>0</v>
      </c>
      <c r="AS122" s="3979"/>
      <c r="BA122" s="3980"/>
      <c r="BF122" s="3981"/>
      <c r="BN122" s="3982"/>
      <c r="BS122" s="3983"/>
      <c r="CA122" s="3984"/>
    </row>
    <row r="123" spans="1:105" x14ac:dyDescent="0.25">
      <c r="A123" s="3985" t="s">
        <v>470</v>
      </c>
      <c r="B123">
        <v>1.24</v>
      </c>
      <c r="C123">
        <v>1.88</v>
      </c>
      <c r="F123" s="3986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 s="3987">
        <v>0</v>
      </c>
      <c r="O123">
        <v>0</v>
      </c>
      <c r="P123">
        <v>0</v>
      </c>
      <c r="Q123">
        <v>0</v>
      </c>
      <c r="R123">
        <v>0</v>
      </c>
      <c r="S123" s="3988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3989">
        <v>0</v>
      </c>
      <c r="AB123">
        <v>0</v>
      </c>
      <c r="AC123">
        <v>0</v>
      </c>
      <c r="AD123">
        <v>0</v>
      </c>
      <c r="AE123">
        <v>0</v>
      </c>
      <c r="AF123" s="3990"/>
      <c r="AN123" s="3991"/>
      <c r="AS123" s="3992"/>
      <c r="BA123" s="3993"/>
      <c r="BF123" s="3994"/>
      <c r="BN123" s="3995"/>
      <c r="BS123" s="3996"/>
      <c r="CA123" s="3997"/>
    </row>
    <row r="124" spans="1:105" x14ac:dyDescent="0.25">
      <c r="A124" s="39" t="s">
        <v>1334</v>
      </c>
      <c r="B124" s="39"/>
      <c r="C124" s="39"/>
      <c r="D124" s="39"/>
      <c r="E124" s="39"/>
      <c r="F124" s="4038"/>
      <c r="N124" s="4039"/>
      <c r="S124" s="4040"/>
      <c r="AA124" s="4041"/>
      <c r="AF124" s="4042"/>
      <c r="AN124" s="4043"/>
      <c r="AS124" s="4044"/>
      <c r="BA124" s="4045"/>
      <c r="BF124" s="4046"/>
      <c r="BN124" s="4047"/>
      <c r="BS124" s="4048"/>
      <c r="CA124" s="4049"/>
    </row>
    <row r="125" spans="1:105" x14ac:dyDescent="0.25">
      <c r="A125" s="4050" t="s">
        <v>1339</v>
      </c>
      <c r="B125">
        <v>0.51</v>
      </c>
      <c r="C125">
        <v>0.56999999999999995</v>
      </c>
      <c r="D125">
        <v>1.1100000000000001</v>
      </c>
      <c r="F125" s="4051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1</v>
      </c>
      <c r="N125" s="4052">
        <v>0</v>
      </c>
      <c r="O125">
        <v>0</v>
      </c>
      <c r="P125">
        <v>0</v>
      </c>
      <c r="Q125">
        <v>0</v>
      </c>
      <c r="R125">
        <v>0</v>
      </c>
      <c r="S125" s="4053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54">
        <v>0</v>
      </c>
      <c r="AB125">
        <v>0</v>
      </c>
      <c r="AC125">
        <v>0</v>
      </c>
      <c r="AD125">
        <v>0</v>
      </c>
      <c r="AE125">
        <v>0</v>
      </c>
      <c r="AF125" s="4055">
        <v>0</v>
      </c>
      <c r="AG125">
        <v>0</v>
      </c>
      <c r="AH125">
        <v>1</v>
      </c>
      <c r="AI125">
        <v>0</v>
      </c>
      <c r="AJ125">
        <v>1</v>
      </c>
      <c r="AK125">
        <v>0</v>
      </c>
      <c r="AL125">
        <v>5</v>
      </c>
      <c r="AM125">
        <v>1</v>
      </c>
      <c r="AN125" s="4056">
        <v>0</v>
      </c>
      <c r="AO125">
        <v>0</v>
      </c>
      <c r="AP125">
        <v>0</v>
      </c>
      <c r="AQ125">
        <v>0</v>
      </c>
      <c r="AR125">
        <v>0</v>
      </c>
      <c r="AS125" s="4057"/>
      <c r="BA125" s="4058"/>
      <c r="BF125" s="4059"/>
      <c r="BN125" s="4060"/>
      <c r="BS125" s="4061"/>
      <c r="CA125" s="4062"/>
    </row>
    <row r="126" spans="1:105" x14ac:dyDescent="0.25">
      <c r="B126" s="1">
        <f>AVERAGE(B3:B125)</f>
        <v>1.150108695652174</v>
      </c>
      <c r="C126" s="1">
        <f>AVERAGE(C3:C125)</f>
        <v>1.0557608695652174</v>
      </c>
      <c r="D126" s="1">
        <f>AVERAGE(D3:D125)</f>
        <v>1.0515384615384615</v>
      </c>
      <c r="E126" s="1" t="e">
        <f>AVERAGE(E3:E125)</f>
        <v>#DIV/0!</v>
      </c>
      <c r="F126" s="2">
        <f>AVERAGE(F3:F125)</f>
        <v>0.65217391304347827</v>
      </c>
      <c r="G126" s="3999">
        <f t="shared" ref="G126:R126" si="22">AVERAGE(G3:G125)</f>
        <v>2.5869565217391304</v>
      </c>
      <c r="H126" s="3999">
        <f t="shared" si="22"/>
        <v>0.93478260869565222</v>
      </c>
      <c r="I126" s="3999">
        <f t="shared" si="22"/>
        <v>0.11956521739130435</v>
      </c>
      <c r="J126" s="3999">
        <f t="shared" si="22"/>
        <v>2.1739130434782608E-2</v>
      </c>
      <c r="K126" s="3999">
        <f t="shared" si="22"/>
        <v>0.13043478260869565</v>
      </c>
      <c r="L126" s="3999">
        <f t="shared" si="22"/>
        <v>2.2934782608695654</v>
      </c>
      <c r="M126" s="3999">
        <f t="shared" si="22"/>
        <v>0.55434782608695654</v>
      </c>
      <c r="N126" s="4069">
        <f t="shared" si="22"/>
        <v>0.2391304347826087</v>
      </c>
      <c r="O126" s="3999">
        <f>AVERAGE(O3:O125)</f>
        <v>6.5217391304347824E-2</v>
      </c>
      <c r="P126" s="3999">
        <f>AVERAGE(P3:P125)</f>
        <v>2.1739130434782608E-2</v>
      </c>
      <c r="Q126" s="3999">
        <f t="shared" si="22"/>
        <v>0</v>
      </c>
      <c r="R126" s="3999">
        <f t="shared" si="22"/>
        <v>0</v>
      </c>
      <c r="S126" s="4064">
        <f t="shared" ref="S126:AR126" si="23">AVERAGE(S3:S125)</f>
        <v>0.38043478260869568</v>
      </c>
      <c r="T126" s="3880">
        <f t="shared" si="23"/>
        <v>1</v>
      </c>
      <c r="U126" s="3880">
        <f t="shared" si="23"/>
        <v>0.61956521739130432</v>
      </c>
      <c r="V126" s="3880">
        <f t="shared" si="23"/>
        <v>0.13043478260869565</v>
      </c>
      <c r="W126" s="3880">
        <f t="shared" si="23"/>
        <v>4.3478260869565216E-2</v>
      </c>
      <c r="X126" s="3880">
        <f t="shared" si="23"/>
        <v>0.25</v>
      </c>
      <c r="Y126" s="3880">
        <f t="shared" si="23"/>
        <v>3.0543478260869565</v>
      </c>
      <c r="Z126" s="3880">
        <f t="shared" si="23"/>
        <v>0.44565217391304346</v>
      </c>
      <c r="AA126" s="4069">
        <f t="shared" si="23"/>
        <v>0.27173913043478259</v>
      </c>
      <c r="AB126" s="3880">
        <f t="shared" si="23"/>
        <v>0.17391304347826086</v>
      </c>
      <c r="AC126" s="3880">
        <f t="shared" si="23"/>
        <v>6.5217391304347824E-2</v>
      </c>
      <c r="AD126" s="3880">
        <f t="shared" si="23"/>
        <v>1.0869565217391304E-2</v>
      </c>
      <c r="AE126" s="3880">
        <f t="shared" si="23"/>
        <v>0</v>
      </c>
      <c r="AF126" s="4065">
        <f t="shared" si="23"/>
        <v>1.0615384615384615</v>
      </c>
      <c r="AG126" s="3880">
        <f t="shared" si="23"/>
        <v>1.5076923076923077</v>
      </c>
      <c r="AH126" s="3880">
        <f t="shared" si="23"/>
        <v>0.64615384615384619</v>
      </c>
      <c r="AI126" s="3880">
        <f t="shared" si="23"/>
        <v>0.18461538461538463</v>
      </c>
      <c r="AJ126" s="3880">
        <f t="shared" si="23"/>
        <v>3.0769230769230771E-2</v>
      </c>
      <c r="AK126" s="3880">
        <f t="shared" si="23"/>
        <v>0.26153846153846155</v>
      </c>
      <c r="AL126" s="3880">
        <f t="shared" si="23"/>
        <v>2.8</v>
      </c>
      <c r="AM126" s="3880">
        <f t="shared" si="23"/>
        <v>0.46153846153846156</v>
      </c>
      <c r="AN126" s="4069">
        <f t="shared" si="23"/>
        <v>0.44615384615384618</v>
      </c>
      <c r="AO126" s="3880">
        <f t="shared" si="23"/>
        <v>0.13846153846153847</v>
      </c>
      <c r="AP126" s="3880">
        <f t="shared" si="23"/>
        <v>4.6153846153846156E-2</v>
      </c>
      <c r="AQ126" s="3880">
        <f t="shared" si="23"/>
        <v>1.5384615384615385E-2</v>
      </c>
      <c r="AR126" s="3880">
        <f t="shared" si="23"/>
        <v>0</v>
      </c>
      <c r="AS126" s="4066"/>
      <c r="AT126" s="3880"/>
      <c r="AU126" s="3880"/>
      <c r="AV126" s="3880"/>
      <c r="AW126" s="3880"/>
      <c r="AX126" s="3880"/>
      <c r="AY126" s="3880"/>
      <c r="AZ126" s="3880"/>
      <c r="BA126" s="3880"/>
      <c r="BB126" s="3880"/>
      <c r="BC126" s="3880"/>
      <c r="BD126" s="3880"/>
      <c r="BE126" s="3880"/>
      <c r="BF126" s="3880"/>
      <c r="BG126" s="3880"/>
      <c r="BH126" s="3880"/>
      <c r="BI126" s="3880"/>
      <c r="BJ126" s="3880"/>
      <c r="BK126" s="3880"/>
      <c r="BL126" s="3880"/>
      <c r="BM126" s="3880"/>
      <c r="BN126" s="3880"/>
      <c r="BO126" s="3880"/>
      <c r="BP126" s="3880"/>
      <c r="BQ126" s="3880"/>
      <c r="BR126" s="3880"/>
      <c r="BS126" s="3880"/>
      <c r="BT126" s="3880"/>
      <c r="BU126" s="3880"/>
      <c r="BV126" s="3880"/>
      <c r="BW126" s="3880"/>
      <c r="BX126" s="3880"/>
      <c r="BY126" s="3880"/>
      <c r="BZ126" s="3880"/>
      <c r="CA126" s="3880"/>
      <c r="CB126" s="3880"/>
      <c r="CC126" s="3880"/>
      <c r="CF126" s="344"/>
      <c r="CG126" s="344"/>
      <c r="CH126" s="344"/>
      <c r="CI126" s="344"/>
      <c r="CJ126" s="344"/>
      <c r="CK126" s="344"/>
      <c r="CL126" s="344"/>
      <c r="CM126" s="344"/>
      <c r="CN126" s="344"/>
      <c r="CO126" s="344"/>
      <c r="CP126" s="344"/>
      <c r="CQ126" s="344"/>
      <c r="CR126" s="344"/>
      <c r="CS126" s="344"/>
      <c r="CT126" s="344"/>
      <c r="CU126" s="344"/>
      <c r="CV126" s="344"/>
      <c r="CW126" s="344"/>
      <c r="CX126" s="344"/>
      <c r="CY126" s="344"/>
      <c r="CZ126" s="344"/>
      <c r="DA126" s="344"/>
    </row>
  </sheetData>
  <mergeCells count="24"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32"/>
  <sheetViews>
    <sheetView topLeftCell="CI1" zoomScale="85" zoomScaleNormal="85" workbookViewId="0">
      <pane ySplit="1" topLeftCell="A2" activePane="bottomLeft" state="frozen"/>
      <selection pane="bottomLeft" activeCell="CP4" sqref="CP4:CU6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5138" t="s">
        <v>1326</v>
      </c>
      <c r="CK1" s="5134"/>
      <c r="CL1" s="5134"/>
      <c r="CM1" s="5134"/>
      <c r="CN1" s="5134"/>
      <c r="CO1" s="5135"/>
      <c r="CP1" s="5137" t="s">
        <v>1338</v>
      </c>
      <c r="CQ1" s="5131"/>
      <c r="CR1" s="5131"/>
      <c r="CS1" s="5131"/>
      <c r="CT1" s="5131"/>
      <c r="CU1" s="5132"/>
      <c r="CV1" s="5138" t="s">
        <v>1313</v>
      </c>
      <c r="CW1" s="5134"/>
      <c r="CX1" s="5134"/>
      <c r="CY1" s="5134"/>
      <c r="CZ1" s="5134"/>
      <c r="DA1" s="5135"/>
      <c r="DB1" s="5139" t="s">
        <v>1336</v>
      </c>
      <c r="DC1" s="5134"/>
      <c r="DD1" s="5134"/>
      <c r="DE1" s="5134"/>
      <c r="DF1" s="5134"/>
      <c r="DG1" s="5135"/>
      <c r="DH1" s="5140" t="s">
        <v>1282</v>
      </c>
      <c r="DI1" s="5141"/>
      <c r="DJ1" s="5141"/>
      <c r="DK1" s="5141"/>
      <c r="DL1" s="5141"/>
      <c r="DM1" s="5142"/>
      <c r="DN1" s="5137" t="s">
        <v>991</v>
      </c>
      <c r="DO1" s="5131"/>
      <c r="DP1" s="5131"/>
      <c r="DQ1" s="5131"/>
      <c r="DR1" s="5131"/>
      <c r="DS1" s="5132"/>
      <c r="DT1" s="5137" t="s">
        <v>992</v>
      </c>
      <c r="DU1" s="5131"/>
      <c r="DV1" s="5131"/>
      <c r="DW1" s="5131"/>
      <c r="DX1" s="5131"/>
      <c r="DY1" s="5132"/>
      <c r="DZ1" s="5127" t="s">
        <v>1121</v>
      </c>
      <c r="EA1" s="5128"/>
      <c r="EB1" s="5128"/>
      <c r="EC1" s="5128"/>
      <c r="ED1" s="5128"/>
      <c r="EE1" s="5129"/>
      <c r="EF1" s="5127" t="s">
        <v>1178</v>
      </c>
      <c r="EG1" s="5128"/>
      <c r="EH1" s="5128"/>
      <c r="EI1" s="5128"/>
      <c r="EJ1" s="5128"/>
      <c r="EK1" s="5129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AVERAGE(B3,B11,B19,B26,B42,B44,B52,B55,B61,B69,B76,B84,B85,B88,B94,B109,B118,B125,B129,B149,B151,B145,B157,B175,B179,B195,B204,B212,B218,B224,B229,B238,B244,B264,B267,B273,B278,B293,B299,B311,B315,B326)</f>
        <v>1.1440476190476192</v>
      </c>
      <c r="CK2" s="1">
        <f t="shared" ref="CK2:CO2" si="0">AVERAGE(C3,C11,C19,C26,C42,C44,C52,C55,C61,C69,C76,C84,C85,C88,C94,C109,C118,C125,C129,C149,C151,C145,C157,C175,C179,C195,C204,C212,C218,C224,C229,C238,C244,C264,C267,C273,C278,C293,C299,C311,C315,C326)</f>
        <v>1.2187179487179489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AVERAGE(B10,B17,B28,B33,B40,B50,B53,B64,B70,B77,B86,B90,B96,B102,B105,B111,B115,B123,B130,B140,B148,B167,B184,B192,B199,B217,B232,B274,B279,B287,B296,B309,B323,B331)</f>
        <v>1.1285294117647062</v>
      </c>
      <c r="CQ2" s="1">
        <f t="shared" ref="CQ2:CU2" si="1">AVERAGE(C10,C17,C28,C33,C40,C50,C53,C64,C70,C77,C86,C90,C96,C102,C105,C111,C115,C123,C130,C140,C148,C167,C184,C192,C199,C217,C232,C274,C279,C287,C296,C309,C323,C331)</f>
        <v>1.060909090909091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AVERAGE(B12,B16,B62,B81,B120,B137,B155,B170,B180,B190,B191,B194,B196,B271,B285,B289,B306,B314,B330)</f>
        <v>1.125263157894737</v>
      </c>
      <c r="DC2" s="1">
        <f t="shared" ref="DC2:DG2" si="3">AVERAGE(C12,C16,C62,C81,C120,C137,C155,C170,C180,C190,C191,C194,C196,C271,C285,C289,C306,C314,C330)</f>
        <v>1.2511111111111113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5098">
        <f>_xlfn.AGGREGATE(1,3,CJ2:CL2)</f>
        <v>1.2020329670329672</v>
      </c>
      <c r="CK3" s="5099"/>
      <c r="CL3" s="5099"/>
      <c r="CM3" s="5099"/>
      <c r="CN3" s="5099"/>
      <c r="CO3" s="5099"/>
      <c r="CP3" s="5098">
        <f>_xlfn.AGGREGATE(1,3,CP2:CR2)</f>
        <v>1.1494795008912657</v>
      </c>
      <c r="CQ3" s="5099"/>
      <c r="CR3" s="5099"/>
      <c r="CS3" s="5099"/>
      <c r="CT3" s="5099"/>
      <c r="CU3" s="5099"/>
      <c r="CV3" s="5098">
        <f>_xlfn.AGGREGATE(1,3,CV2:CX2)</f>
        <v>1.0901058201058202</v>
      </c>
      <c r="CW3" s="5099"/>
      <c r="CX3" s="5099"/>
      <c r="CY3" s="5099"/>
      <c r="CZ3" s="5099"/>
      <c r="DA3" s="5099"/>
      <c r="DB3" s="5098">
        <f>_xlfn.AGGREGATE(1,3,DB2:DD2)</f>
        <v>1.2281853623958889</v>
      </c>
      <c r="DC3" s="5099"/>
      <c r="DD3" s="5099"/>
      <c r="DE3" s="5099"/>
      <c r="DF3" s="5099"/>
      <c r="DG3" s="5099"/>
      <c r="DH3" s="5098">
        <f>_xlfn.AGGREGATE(1,3,DH2:DJ2)</f>
        <v>1.0894419306184009</v>
      </c>
      <c r="DI3" s="5099"/>
      <c r="DJ3" s="5099"/>
      <c r="DK3" s="5099"/>
      <c r="DL3" s="5099"/>
      <c r="DM3" s="5099"/>
      <c r="DN3" s="5098">
        <f t="shared" ref="DN3" si="9">_xlfn.AGGREGATE(1,6,DN2:DS2)</f>
        <v>1.2135555555555557</v>
      </c>
      <c r="DO3" s="5099"/>
      <c r="DP3" s="5099"/>
      <c r="DQ3" s="5099"/>
      <c r="DR3" s="5099"/>
      <c r="DS3" s="5099"/>
      <c r="DT3" s="5098">
        <f>_xlfn.AGGREGATE(1,3,DT2:DV2)</f>
        <v>1.355</v>
      </c>
      <c r="DU3" s="5099"/>
      <c r="DV3" s="5099"/>
      <c r="DW3" s="5099"/>
      <c r="DX3" s="5099"/>
      <c r="DY3" s="5099"/>
      <c r="DZ3" s="5098">
        <f>_xlfn.AGGREGATE(1,3,DZ2:EB2)</f>
        <v>1.0728333333333335</v>
      </c>
      <c r="EA3" s="5099"/>
      <c r="EB3" s="5099"/>
      <c r="EC3" s="5099"/>
      <c r="ED3" s="5099"/>
      <c r="EE3" s="5099"/>
      <c r="EF3" s="5098">
        <f>_xlfn.AGGREGATE(1,3,EF2:EH2)</f>
        <v>0.94666666666666666</v>
      </c>
      <c r="EG3" s="5099"/>
      <c r="EH3" s="5099"/>
      <c r="EI3" s="5099"/>
      <c r="EJ3" s="5099"/>
      <c r="EK3" s="5099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5130" t="s">
        <v>1330</v>
      </c>
      <c r="CK4" s="5131"/>
      <c r="CL4" s="5131"/>
      <c r="CM4" s="5131"/>
      <c r="CN4" s="5131"/>
      <c r="CO4" s="5132"/>
      <c r="CP4" s="5133" t="s">
        <v>1311</v>
      </c>
      <c r="CQ4" s="5134"/>
      <c r="CR4" s="5134"/>
      <c r="CS4" s="5134"/>
      <c r="CT4" s="5134"/>
      <c r="CU4" s="5135"/>
      <c r="CV4" s="5136" t="s">
        <v>1316</v>
      </c>
      <c r="CW4" s="5131"/>
      <c r="CX4" s="5131"/>
      <c r="CY4" s="5131"/>
      <c r="CZ4" s="5131"/>
      <c r="DA4" s="5132"/>
      <c r="DB4" s="5133" t="s">
        <v>1280</v>
      </c>
      <c r="DC4" s="5134"/>
      <c r="DD4" s="5134"/>
      <c r="DE4" s="5134"/>
      <c r="DF4" s="5134"/>
      <c r="DG4" s="5135"/>
      <c r="DH4" s="5137" t="s">
        <v>946</v>
      </c>
      <c r="DI4" s="5131"/>
      <c r="DJ4" s="5131"/>
      <c r="DK4" s="5131"/>
      <c r="DL4" s="5131"/>
      <c r="DM4" s="5132"/>
      <c r="DN4" s="5127" t="s">
        <v>1191</v>
      </c>
      <c r="DO4" s="5128"/>
      <c r="DP4" s="5128"/>
      <c r="DQ4" s="5128"/>
      <c r="DR4" s="5128"/>
      <c r="DS4" s="5129"/>
      <c r="DT4" s="5137" t="s">
        <v>1328</v>
      </c>
      <c r="DU4" s="5131"/>
      <c r="DV4" s="5131"/>
      <c r="DW4" s="5131"/>
      <c r="DX4" s="5131"/>
      <c r="DY4" s="5132"/>
      <c r="DZ4" s="5127" t="s">
        <v>1205</v>
      </c>
      <c r="EA4" s="5128"/>
      <c r="EB4" s="5128"/>
      <c r="EC4" s="5128"/>
      <c r="ED4" s="5128"/>
      <c r="EE4" s="5129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AVERAGE(B4,B13,B21,B38,B58,B72,B78,B134,B138,B153,B164,B169,B181,B270,B277,B291,B297,B305,B317,B328)</f>
        <v>1.2255</v>
      </c>
      <c r="CK5" s="1">
        <f t="shared" ref="CK5:CO5" si="10">AVERAGE(C4,C13,C21,C38,C58,C72,C78,C134,C138,C153,C164,C169,C181,C270,C277,C291,C297,C305,C317,C328)</f>
        <v>1.1031578947368423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1.2326315789473681</v>
      </c>
      <c r="CW5" s="1">
        <f t="shared" ref="CW5:DA5" si="12">AVERAGE(C6,C9,C37,C82,C92,C97,C124,C128,C139,C152,C183,C226,C231,C257,C266,C284,C292,C312,C324)</f>
        <v>1.1505555555555553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AVERAGE(B158,B159,B161,B162,B200,B235,B327)</f>
        <v>1.3742857142857143</v>
      </c>
      <c r="DU5" s="1">
        <f t="shared" ref="DU5:DY5" si="16">AVERAGE(C158,C159,C161,C162,C200,C235,C327)</f>
        <v>1.1600000000000001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5098">
        <f>_xlfn.AGGREGATE(1,3,CJ5:CL5)</f>
        <v>1.1417748538011698</v>
      </c>
      <c r="CK6" s="5099"/>
      <c r="CL6" s="5099"/>
      <c r="CM6" s="5099"/>
      <c r="CN6" s="5099"/>
      <c r="CO6" s="5099"/>
      <c r="CP6" s="5098">
        <f>_xlfn.AGGREGATE(1,3,CP5:CR5)</f>
        <v>1.2262257187257186</v>
      </c>
      <c r="CQ6" s="5099"/>
      <c r="CR6" s="5099"/>
      <c r="CS6" s="5099"/>
      <c r="CT6" s="5099"/>
      <c r="CU6" s="5099"/>
      <c r="CV6" s="5098">
        <f>_xlfn.AGGREGATE(1,3,CV5:CX5)</f>
        <v>1.1702931473984102</v>
      </c>
      <c r="CW6" s="5099"/>
      <c r="CX6" s="5099"/>
      <c r="CY6" s="5099"/>
      <c r="CZ6" s="5099"/>
      <c r="DA6" s="5099"/>
      <c r="DB6" s="5098">
        <f>_xlfn.AGGREGATE(1,3,DB5:DD5)</f>
        <v>1.2373106060606061</v>
      </c>
      <c r="DC6" s="5099"/>
      <c r="DD6" s="5099"/>
      <c r="DE6" s="5099"/>
      <c r="DF6" s="5099"/>
      <c r="DG6" s="5099"/>
      <c r="DH6" s="5098">
        <f>_xlfn.AGGREGATE(1,3,DH5:DJ5)</f>
        <v>1.1100000000000001</v>
      </c>
      <c r="DI6" s="5099"/>
      <c r="DJ6" s="5099"/>
      <c r="DK6" s="5099"/>
      <c r="DL6" s="5099"/>
      <c r="DM6" s="5099"/>
      <c r="DN6" s="5098">
        <f>_xlfn.AGGREGATE(1,3,DN5:DP5)</f>
        <v>1.0518518518518516</v>
      </c>
      <c r="DO6" s="5099"/>
      <c r="DP6" s="5099"/>
      <c r="DQ6" s="5099"/>
      <c r="DR6" s="5099"/>
      <c r="DS6" s="5099"/>
      <c r="DT6" s="5098">
        <f>_xlfn.AGGREGATE(1,3,DT5:DV5)</f>
        <v>1.2530952380952383</v>
      </c>
      <c r="DU6" s="5099"/>
      <c r="DV6" s="5099"/>
      <c r="DW6" s="5099"/>
      <c r="DX6" s="5099"/>
      <c r="DY6" s="5099"/>
      <c r="DZ6" s="5098">
        <f>_xlfn.AGGREGATE(1,3,DZ5:EB5)</f>
        <v>0.91333333333333344</v>
      </c>
      <c r="EA6" s="5099"/>
      <c r="EB6" s="5099"/>
      <c r="EC6" s="5099"/>
      <c r="ED6" s="5099"/>
      <c r="EE6" s="5099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1071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1072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1073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1074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1075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1076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1077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1078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1083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1084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1085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1086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1087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1088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1089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1090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1091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1081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1092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1093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1094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1095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1096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1097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1112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1113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1114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1115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1116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1117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1118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1119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1120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1122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1123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1124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1141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1142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1143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1153</v>
      </c>
    </row>
    <row r="222" spans="1:87" x14ac:dyDescent="0.25">
      <c r="A222" s="1871" t="s">
        <v>1144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1145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1146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1138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1147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1148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1154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1155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1156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1157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1158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1159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1166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1168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1169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1170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1171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1172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1173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1174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1175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1176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1177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1179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1180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1185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1186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1187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1188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1189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1197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1198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1199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1200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1201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1202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1203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1204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1209</v>
      </c>
    </row>
    <row r="262" spans="1:87" x14ac:dyDescent="0.25">
      <c r="A262" s="40" t="s">
        <v>1216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1218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1219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1220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1224</v>
      </c>
    </row>
    <row r="267" spans="1:87" x14ac:dyDescent="0.25">
      <c r="A267" s="2934" t="s">
        <v>1222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1225</v>
      </c>
    </row>
    <row r="268" spans="1:87" x14ac:dyDescent="0.25">
      <c r="A268" s="2947" t="s">
        <v>1223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1236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1237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1238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1239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1240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1241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1242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1243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1244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1245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1246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1247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1248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1249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1250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1252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1253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1254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1255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1256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1257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1258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1259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1261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1262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1263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1264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1265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1266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1267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1268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1270</v>
      </c>
    </row>
    <row r="303" spans="1:88" x14ac:dyDescent="0.25">
      <c r="A303" s="3432" t="s">
        <v>1269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1273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1277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1278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1279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1281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1299</v>
      </c>
      <c r="CK308" s="3591"/>
      <c r="CL308" s="3591"/>
    </row>
    <row r="309" spans="1:90" x14ac:dyDescent="0.25">
      <c r="A309" s="3539" t="s">
        <v>1283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1284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1285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1286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1295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1296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1297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1298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1300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1301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1309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1310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1312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1314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1315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x14ac:dyDescent="0.25">
      <c r="A325" s="44" t="s">
        <v>1320</v>
      </c>
      <c r="B325" s="44"/>
      <c r="C325" s="44"/>
      <c r="D325" s="44"/>
      <c r="E325" s="44"/>
      <c r="F325" s="44"/>
      <c r="G325" s="44"/>
      <c r="H325" s="3883"/>
      <c r="P325" s="3884"/>
      <c r="U325" s="3885"/>
      <c r="AC325" s="3886"/>
      <c r="AH325" s="3887"/>
      <c r="AP325" s="3888"/>
      <c r="AU325" s="3889"/>
      <c r="BC325" s="3890"/>
      <c r="BH325" s="3891"/>
      <c r="BP325" s="3892"/>
      <c r="BU325" s="3893"/>
      <c r="CC325" s="3894"/>
    </row>
    <row r="326" spans="1:123" x14ac:dyDescent="0.25">
      <c r="A326" s="3895" t="s">
        <v>1325</v>
      </c>
      <c r="B326">
        <v>1.02</v>
      </c>
      <c r="C326">
        <v>1.57</v>
      </c>
      <c r="H326" s="3896">
        <v>1</v>
      </c>
      <c r="I326">
        <v>0</v>
      </c>
      <c r="J326">
        <v>0</v>
      </c>
      <c r="K326">
        <v>0</v>
      </c>
      <c r="L326">
        <v>0</v>
      </c>
      <c r="M326">
        <v>1</v>
      </c>
      <c r="N326">
        <v>3</v>
      </c>
      <c r="O326">
        <v>1</v>
      </c>
      <c r="P326" s="3897">
        <v>0</v>
      </c>
      <c r="Q326">
        <v>0</v>
      </c>
      <c r="R326">
        <v>0</v>
      </c>
      <c r="S326">
        <v>0</v>
      </c>
      <c r="T326">
        <v>0</v>
      </c>
      <c r="U326" s="3898">
        <v>1</v>
      </c>
      <c r="V326">
        <v>1</v>
      </c>
      <c r="W326">
        <v>0</v>
      </c>
      <c r="X326">
        <v>1</v>
      </c>
      <c r="Y326">
        <v>0</v>
      </c>
      <c r="Z326">
        <v>0</v>
      </c>
      <c r="AA326">
        <v>2</v>
      </c>
      <c r="AB326">
        <v>0</v>
      </c>
      <c r="AC326" s="3899">
        <v>0</v>
      </c>
      <c r="AD326">
        <v>0</v>
      </c>
      <c r="AE326">
        <v>0</v>
      </c>
      <c r="AF326">
        <v>0</v>
      </c>
      <c r="AG326">
        <v>0</v>
      </c>
      <c r="AH326" s="3900"/>
      <c r="AP326" s="3901"/>
      <c r="AU326" s="3902"/>
      <c r="BC326" s="3903"/>
      <c r="BH326" s="3904"/>
      <c r="BP326" s="3905"/>
      <c r="BU326" s="3906"/>
      <c r="CC326" s="3907"/>
    </row>
    <row r="327" spans="1:123" x14ac:dyDescent="0.25">
      <c r="A327" s="3908" t="s">
        <v>1327</v>
      </c>
      <c r="B327">
        <v>2.13</v>
      </c>
      <c r="C327">
        <v>1.26</v>
      </c>
      <c r="H327" s="3909">
        <v>4</v>
      </c>
      <c r="I327">
        <v>6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1</v>
      </c>
      <c r="P327" s="3910">
        <v>0</v>
      </c>
      <c r="Q327">
        <v>0</v>
      </c>
      <c r="R327">
        <v>0</v>
      </c>
      <c r="S327">
        <v>0</v>
      </c>
      <c r="T327">
        <v>0</v>
      </c>
      <c r="U327" s="3911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4</v>
      </c>
      <c r="AB327">
        <v>1</v>
      </c>
      <c r="AC327" s="3912">
        <v>0</v>
      </c>
      <c r="AD327">
        <v>0</v>
      </c>
      <c r="AE327">
        <v>0</v>
      </c>
      <c r="AF327">
        <v>0</v>
      </c>
      <c r="AG327">
        <v>0</v>
      </c>
      <c r="AH327" s="3913"/>
      <c r="AP327" s="3914"/>
      <c r="AU327" s="3915"/>
      <c r="BC327" s="3916"/>
      <c r="BH327" s="3917"/>
      <c r="BP327" s="3918"/>
      <c r="BU327" s="3919"/>
      <c r="CC327" s="3920"/>
    </row>
    <row r="328" spans="1:123" x14ac:dyDescent="0.25">
      <c r="A328" s="3921" t="s">
        <v>1329</v>
      </c>
      <c r="B328">
        <v>1.65</v>
      </c>
      <c r="C328">
        <v>1.27</v>
      </c>
      <c r="H328" s="3922">
        <v>1</v>
      </c>
      <c r="I328">
        <v>5</v>
      </c>
      <c r="J328">
        <v>1</v>
      </c>
      <c r="K328">
        <v>0</v>
      </c>
      <c r="L328">
        <v>0</v>
      </c>
      <c r="M328">
        <v>1</v>
      </c>
      <c r="N328">
        <v>2</v>
      </c>
      <c r="O328">
        <v>1</v>
      </c>
      <c r="P328" s="3923">
        <v>1</v>
      </c>
      <c r="Q328">
        <v>0</v>
      </c>
      <c r="R328">
        <v>0</v>
      </c>
      <c r="S328">
        <v>0</v>
      </c>
      <c r="T328">
        <v>0</v>
      </c>
      <c r="U328" s="3924">
        <v>0</v>
      </c>
      <c r="V328">
        <v>1</v>
      </c>
      <c r="W328">
        <v>3</v>
      </c>
      <c r="X328">
        <v>0</v>
      </c>
      <c r="Y328">
        <v>0</v>
      </c>
      <c r="Z328">
        <v>1</v>
      </c>
      <c r="AA328">
        <v>2</v>
      </c>
      <c r="AB328">
        <v>0</v>
      </c>
      <c r="AC328" s="3925">
        <v>0</v>
      </c>
      <c r="AD328">
        <v>0</v>
      </c>
      <c r="AE328">
        <v>0</v>
      </c>
      <c r="AF328">
        <v>0</v>
      </c>
      <c r="AG328">
        <v>0</v>
      </c>
      <c r="AH328" s="3926"/>
      <c r="AP328" s="3927"/>
      <c r="AU328" s="3928"/>
      <c r="BC328" s="3929"/>
      <c r="BH328" s="3930"/>
      <c r="BP328" s="3931"/>
      <c r="BU328" s="3932"/>
      <c r="CC328" s="3933"/>
    </row>
    <row r="329" spans="1:123" x14ac:dyDescent="0.25">
      <c r="A329" s="40" t="s">
        <v>1334</v>
      </c>
      <c r="B329" s="40"/>
      <c r="C329" s="40"/>
      <c r="D329" s="40"/>
      <c r="E329" s="40"/>
      <c r="F329" s="40"/>
      <c r="G329" s="40"/>
      <c r="H329" s="4000"/>
      <c r="P329" s="4001"/>
      <c r="U329" s="4002"/>
      <c r="AC329" s="4003"/>
      <c r="AH329" s="4004"/>
      <c r="AP329" s="4005"/>
      <c r="AU329" s="4006"/>
      <c r="BC329" s="4007"/>
      <c r="BH329" s="4008"/>
      <c r="BP329" s="4009"/>
      <c r="BU329" s="4010"/>
      <c r="CC329" s="4011"/>
    </row>
    <row r="330" spans="1:123" x14ac:dyDescent="0.25">
      <c r="A330" s="4012" t="s">
        <v>1335</v>
      </c>
      <c r="B330">
        <v>1.3</v>
      </c>
      <c r="C330">
        <v>1.17</v>
      </c>
      <c r="H330" s="4013">
        <v>2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1</v>
      </c>
      <c r="O330">
        <v>0</v>
      </c>
      <c r="P330" s="4014">
        <v>1</v>
      </c>
      <c r="Q330">
        <v>0</v>
      </c>
      <c r="R330">
        <v>0</v>
      </c>
      <c r="S330">
        <v>0</v>
      </c>
      <c r="T330">
        <v>0</v>
      </c>
      <c r="U330" s="4015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2</v>
      </c>
      <c r="AB330">
        <v>0</v>
      </c>
      <c r="AC330" s="4016">
        <v>1</v>
      </c>
      <c r="AD330">
        <v>0</v>
      </c>
      <c r="AE330">
        <v>0</v>
      </c>
      <c r="AF330">
        <v>0</v>
      </c>
      <c r="AG330">
        <v>0</v>
      </c>
      <c r="AH330" s="4017"/>
      <c r="AP330" s="4018"/>
      <c r="AU330" s="4019"/>
      <c r="BC330" s="4020"/>
      <c r="BH330" s="4021"/>
      <c r="BP330" s="4022"/>
      <c r="BU330" s="4023"/>
      <c r="CC330" s="4024"/>
    </row>
    <row r="331" spans="1:123" x14ac:dyDescent="0.25">
      <c r="A331" s="4025" t="s">
        <v>1337</v>
      </c>
      <c r="B331">
        <v>0.49</v>
      </c>
      <c r="C331">
        <v>1.0900000000000001</v>
      </c>
      <c r="H331" s="4026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 s="4027">
        <v>0</v>
      </c>
      <c r="Q331">
        <v>0</v>
      </c>
      <c r="R331">
        <v>0</v>
      </c>
      <c r="S331">
        <v>0</v>
      </c>
      <c r="T331">
        <v>0</v>
      </c>
      <c r="U331" s="4028">
        <v>1</v>
      </c>
      <c r="V331">
        <v>0</v>
      </c>
      <c r="W331">
        <v>2</v>
      </c>
      <c r="X331">
        <v>0</v>
      </c>
      <c r="Y331">
        <v>0</v>
      </c>
      <c r="Z331">
        <v>0</v>
      </c>
      <c r="AA331">
        <v>5</v>
      </c>
      <c r="AB331">
        <v>0</v>
      </c>
      <c r="AC331" s="4029">
        <v>0</v>
      </c>
      <c r="AD331">
        <v>1</v>
      </c>
      <c r="AE331">
        <v>0</v>
      </c>
      <c r="AF331">
        <v>0</v>
      </c>
      <c r="AG331">
        <v>0</v>
      </c>
      <c r="AH331" s="4030"/>
      <c r="AP331" s="4031"/>
      <c r="AU331" s="4032"/>
      <c r="BC331" s="4033"/>
      <c r="BH331" s="4034"/>
      <c r="BP331" s="4035"/>
      <c r="BU331" s="4036"/>
      <c r="CC331" s="4037"/>
    </row>
    <row r="332" spans="1:123" ht="15.75" customHeight="1" x14ac:dyDescent="0.25">
      <c r="A332" s="35"/>
      <c r="B332" s="36">
        <f>AVERAGE(B3:B331)</f>
        <v>1.1928044280442802</v>
      </c>
      <c r="C332" s="36">
        <f t="shared" ref="C332:G332" si="18">AVERAGE(C3:C331)</f>
        <v>1.1752873563218396</v>
      </c>
      <c r="D332" s="36">
        <f t="shared" si="18"/>
        <v>1.1566292134831457</v>
      </c>
      <c r="E332" s="36">
        <f t="shared" si="18"/>
        <v>0.66500000000000004</v>
      </c>
      <c r="F332" s="36">
        <f t="shared" si="18"/>
        <v>1.3018181818181818</v>
      </c>
      <c r="G332" s="36">
        <f t="shared" si="18"/>
        <v>0.90166666666666673</v>
      </c>
      <c r="H332" s="4063">
        <f>AVERAGE(H3:H331)</f>
        <v>0.69372693726937273</v>
      </c>
      <c r="I332" s="3999">
        <f t="shared" ref="I332:BT332" si="19">AVERAGE(I3:I331)</f>
        <v>2.5387453874538743</v>
      </c>
      <c r="J332" s="3999">
        <f t="shared" si="19"/>
        <v>0.91881918819188191</v>
      </c>
      <c r="K332" s="3999">
        <f t="shared" si="19"/>
        <v>0.13653136531365315</v>
      </c>
      <c r="L332" s="3999">
        <f t="shared" si="19"/>
        <v>2.5830258302583026E-2</v>
      </c>
      <c r="M332" s="3999">
        <f t="shared" si="19"/>
        <v>0.12546125461254612</v>
      </c>
      <c r="N332" s="3999">
        <f t="shared" si="19"/>
        <v>1.996309963099631</v>
      </c>
      <c r="O332" s="3999">
        <f t="shared" si="19"/>
        <v>0.47601476014760147</v>
      </c>
      <c r="P332" s="4069">
        <f t="shared" si="19"/>
        <v>0.21771217712177121</v>
      </c>
      <c r="Q332" s="3999">
        <f t="shared" si="19"/>
        <v>0.11070110701107011</v>
      </c>
      <c r="R332" s="3999">
        <f t="shared" si="19"/>
        <v>4.797047970479705E-2</v>
      </c>
      <c r="S332" s="3999">
        <f t="shared" si="19"/>
        <v>0</v>
      </c>
      <c r="T332" s="3999">
        <f t="shared" si="19"/>
        <v>3.6900369003690036E-3</v>
      </c>
      <c r="U332" s="4064">
        <f t="shared" si="19"/>
        <v>0.45210727969348657</v>
      </c>
      <c r="V332" s="3999">
        <f t="shared" si="19"/>
        <v>0.88122605363984674</v>
      </c>
      <c r="W332" s="3999">
        <f t="shared" si="19"/>
        <v>0.8</v>
      </c>
      <c r="X332" s="3999">
        <f t="shared" si="19"/>
        <v>0.17624521072796934</v>
      </c>
      <c r="Y332" s="3999">
        <f t="shared" si="19"/>
        <v>7.6628352490421452E-3</v>
      </c>
      <c r="Z332" s="3999">
        <f t="shared" si="19"/>
        <v>0.17624521072796934</v>
      </c>
      <c r="AA332" s="3999">
        <f t="shared" si="19"/>
        <v>3.2452107279693485</v>
      </c>
      <c r="AB332" s="3999">
        <f t="shared" si="19"/>
        <v>0.41762452107279696</v>
      </c>
      <c r="AC332" s="4069">
        <f t="shared" si="19"/>
        <v>0.32567049808429116</v>
      </c>
      <c r="AD332" s="3999">
        <f t="shared" si="19"/>
        <v>0.21839080459770116</v>
      </c>
      <c r="AE332" s="3999">
        <f t="shared" si="19"/>
        <v>9.5785440613026823E-2</v>
      </c>
      <c r="AF332" s="3999">
        <f t="shared" si="19"/>
        <v>3.8314176245210726E-3</v>
      </c>
      <c r="AG332" s="3999">
        <f t="shared" si="19"/>
        <v>0</v>
      </c>
      <c r="AH332" s="4065">
        <f t="shared" si="19"/>
        <v>1.0112359550561798</v>
      </c>
      <c r="AI332" s="3999">
        <f t="shared" si="19"/>
        <v>1.9213483146067416</v>
      </c>
      <c r="AJ332" s="3999">
        <f t="shared" si="19"/>
        <v>0.9382022471910112</v>
      </c>
      <c r="AK332" s="3999">
        <f t="shared" si="19"/>
        <v>0.15730337078651685</v>
      </c>
      <c r="AL332" s="3999">
        <f t="shared" si="19"/>
        <v>2.247191011235955E-2</v>
      </c>
      <c r="AM332" s="3999">
        <f t="shared" si="19"/>
        <v>0.24157303370786518</v>
      </c>
      <c r="AN332" s="3999">
        <f t="shared" si="19"/>
        <v>2.702247191011236</v>
      </c>
      <c r="AO332" s="3999">
        <f t="shared" si="19"/>
        <v>0.5112359550561798</v>
      </c>
      <c r="AP332" s="4069">
        <f t="shared" si="19"/>
        <v>0.29213483146067415</v>
      </c>
      <c r="AQ332" s="3999">
        <f t="shared" si="19"/>
        <v>0.10674157303370786</v>
      </c>
      <c r="AR332" s="3999">
        <f t="shared" si="19"/>
        <v>6.741573033707865E-2</v>
      </c>
      <c r="AS332" s="3999">
        <f t="shared" si="19"/>
        <v>5.6179775280898875E-3</v>
      </c>
      <c r="AT332" s="3999">
        <f t="shared" si="19"/>
        <v>0</v>
      </c>
      <c r="AU332" s="4066">
        <f t="shared" si="19"/>
        <v>0</v>
      </c>
      <c r="AV332" s="3999">
        <f t="shared" si="19"/>
        <v>0.75</v>
      </c>
      <c r="AW332" s="3999">
        <f t="shared" si="19"/>
        <v>0.25</v>
      </c>
      <c r="AX332" s="3999">
        <f t="shared" si="19"/>
        <v>0.25</v>
      </c>
      <c r="AY332" s="3999">
        <f t="shared" si="19"/>
        <v>0</v>
      </c>
      <c r="AZ332" s="3999">
        <f t="shared" si="19"/>
        <v>0</v>
      </c>
      <c r="BA332" s="3999">
        <f t="shared" si="19"/>
        <v>1</v>
      </c>
      <c r="BB332" s="3999">
        <f t="shared" si="19"/>
        <v>0</v>
      </c>
      <c r="BC332" s="4069">
        <f t="shared" si="19"/>
        <v>0</v>
      </c>
      <c r="BD332" s="3999">
        <f t="shared" si="19"/>
        <v>0</v>
      </c>
      <c r="BE332" s="3999">
        <f t="shared" si="19"/>
        <v>0</v>
      </c>
      <c r="BF332" s="3999">
        <f t="shared" si="19"/>
        <v>0</v>
      </c>
      <c r="BG332" s="3999">
        <f t="shared" si="19"/>
        <v>0</v>
      </c>
      <c r="BH332" s="4067">
        <f t="shared" si="19"/>
        <v>0.81818181818181823</v>
      </c>
      <c r="BI332" s="3999">
        <f t="shared" si="19"/>
        <v>2.1818181818181817</v>
      </c>
      <c r="BJ332" s="3999">
        <f t="shared" si="19"/>
        <v>1.2727272727272727</v>
      </c>
      <c r="BK332" s="3999">
        <f t="shared" si="19"/>
        <v>0.27272727272727271</v>
      </c>
      <c r="BL332" s="3999">
        <f t="shared" si="19"/>
        <v>0</v>
      </c>
      <c r="BM332" s="3999">
        <f t="shared" si="19"/>
        <v>0.81818181818181823</v>
      </c>
      <c r="BN332" s="3999">
        <f t="shared" si="19"/>
        <v>2.3636363636363638</v>
      </c>
      <c r="BO332" s="3999">
        <f t="shared" si="19"/>
        <v>0.36363636363636365</v>
      </c>
      <c r="BP332" s="4069">
        <f t="shared" si="19"/>
        <v>9.0909090909090912E-2</v>
      </c>
      <c r="BQ332" s="3999">
        <f t="shared" si="19"/>
        <v>0.18181818181818182</v>
      </c>
      <c r="BR332" s="3999">
        <f t="shared" si="19"/>
        <v>0</v>
      </c>
      <c r="BS332" s="3999">
        <f t="shared" si="19"/>
        <v>0</v>
      </c>
      <c r="BT332" s="3999">
        <f t="shared" si="19"/>
        <v>0</v>
      </c>
      <c r="BU332" s="4068">
        <f t="shared" ref="BU332:CG332" si="20">AVERAGE(BU3:BU331)</f>
        <v>0.16666666666666666</v>
      </c>
      <c r="BV332" s="3999">
        <f t="shared" si="20"/>
        <v>1.6666666666666667</v>
      </c>
      <c r="BW332" s="3999">
        <f t="shared" si="20"/>
        <v>0.66666666666666663</v>
      </c>
      <c r="BX332" s="3999">
        <f t="shared" si="20"/>
        <v>0</v>
      </c>
      <c r="BY332" s="3999">
        <f t="shared" si="20"/>
        <v>0</v>
      </c>
      <c r="BZ332" s="3999">
        <f t="shared" si="20"/>
        <v>0</v>
      </c>
      <c r="CA332" s="3999">
        <f t="shared" si="20"/>
        <v>2</v>
      </c>
      <c r="CB332" s="3999">
        <f t="shared" si="20"/>
        <v>0.16666666666666666</v>
      </c>
      <c r="CC332" s="4069">
        <f t="shared" si="20"/>
        <v>0.33333333333333331</v>
      </c>
      <c r="CD332" s="3999">
        <f t="shared" si="20"/>
        <v>0</v>
      </c>
      <c r="CE332" s="3999">
        <f t="shared" si="20"/>
        <v>0</v>
      </c>
      <c r="CF332" s="3999">
        <f t="shared" si="20"/>
        <v>0</v>
      </c>
      <c r="CG332" s="3999">
        <f t="shared" si="20"/>
        <v>0</v>
      </c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</row>
  </sheetData>
  <mergeCells count="34">
    <mergeCell ref="DT6:DY6"/>
    <mergeCell ref="DZ3:EE3"/>
    <mergeCell ref="DZ1:EE1"/>
    <mergeCell ref="DT1:DY1"/>
    <mergeCell ref="DT3:DY3"/>
    <mergeCell ref="DZ4:EE4"/>
    <mergeCell ref="DZ6:EE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CJ6:CO6"/>
    <mergeCell ref="CP6:CU6"/>
    <mergeCell ref="CV6:DA6"/>
    <mergeCell ref="DB6:DG6"/>
    <mergeCell ref="DH6:DM6"/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B5" sqref="B5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5126" t="s">
        <v>1100</v>
      </c>
      <c r="CK1" s="5126"/>
      <c r="CL1" s="5126"/>
      <c r="CM1" s="5126"/>
      <c r="CN1" s="5126"/>
      <c r="CO1" s="5126"/>
      <c r="CP1" s="5143" t="s">
        <v>1111</v>
      </c>
      <c r="CQ1" s="5124"/>
      <c r="CR1" s="5124"/>
      <c r="CS1" s="5124"/>
      <c r="CT1" s="5124"/>
      <c r="CU1" s="5124"/>
      <c r="CV1" s="5125" t="s">
        <v>1101</v>
      </c>
      <c r="CW1" s="5125"/>
      <c r="CX1" s="5125"/>
      <c r="CY1" s="5125"/>
      <c r="CZ1" s="5125"/>
      <c r="DA1" s="5125"/>
      <c r="DB1" s="5115" t="s">
        <v>1102</v>
      </c>
      <c r="DC1" s="5115"/>
      <c r="DD1" s="5115"/>
      <c r="DE1" s="5115"/>
      <c r="DF1" s="5115"/>
      <c r="DG1" s="5115"/>
      <c r="DH1" s="5125" t="s">
        <v>1104</v>
      </c>
      <c r="DI1" s="5125"/>
      <c r="DJ1" s="5125"/>
      <c r="DK1" s="5125"/>
      <c r="DL1" s="5125"/>
      <c r="DM1" s="5125"/>
      <c r="DN1" s="5122" t="s">
        <v>997</v>
      </c>
      <c r="DO1" s="5122"/>
      <c r="DP1" s="5122"/>
      <c r="DQ1" s="5122"/>
      <c r="DR1" s="5122"/>
      <c r="DS1" s="5122"/>
      <c r="DT1" s="5122" t="s">
        <v>998</v>
      </c>
      <c r="DU1" s="5122"/>
      <c r="DV1" s="5122"/>
      <c r="DW1" s="5122"/>
      <c r="DX1" s="5122"/>
      <c r="DY1" s="5122"/>
    </row>
    <row r="2" spans="1:129" x14ac:dyDescent="0.25">
      <c r="A2" s="44" t="s">
        <v>1106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5098" t="e">
        <f>_xlfn.AGGREGATE(1,6,CJ2:CO2)</f>
        <v>#DIV/0!</v>
      </c>
      <c r="CK3" s="5098"/>
      <c r="CL3" s="5098"/>
      <c r="CM3" s="5098"/>
      <c r="CN3" s="5098"/>
      <c r="CO3" s="5098"/>
      <c r="CP3" s="5098">
        <f t="shared" ref="CP3" si="1">_xlfn.AGGREGATE(1,6,CP2:CU2)</f>
        <v>1.4500000000000002</v>
      </c>
      <c r="CQ3" s="5098"/>
      <c r="CR3" s="5098"/>
      <c r="CS3" s="5098"/>
      <c r="CT3" s="5098"/>
      <c r="CU3" s="5098"/>
      <c r="CV3" s="5098" t="e">
        <f t="shared" ref="CV3" si="2">_xlfn.AGGREGATE(1,6,CV2:DA2)</f>
        <v>#DIV/0!</v>
      </c>
      <c r="CW3" s="5098"/>
      <c r="CX3" s="5098"/>
      <c r="CY3" s="5098"/>
      <c r="CZ3" s="5098"/>
      <c r="DA3" s="5098"/>
      <c r="DB3" s="5098" t="e">
        <f t="shared" ref="DB3" si="3">_xlfn.AGGREGATE(1,6,DB2:DG2)</f>
        <v>#DIV/0!</v>
      </c>
      <c r="DC3" s="5098"/>
      <c r="DD3" s="5098"/>
      <c r="DE3" s="5098"/>
      <c r="DF3" s="5098"/>
      <c r="DG3" s="5098"/>
      <c r="DH3" s="5098" t="e">
        <f t="shared" ref="DH3" si="4">_xlfn.AGGREGATE(1,6,DH2:DM2)</f>
        <v>#DIV/0!</v>
      </c>
      <c r="DI3" s="5098"/>
      <c r="DJ3" s="5098"/>
      <c r="DK3" s="5098"/>
      <c r="DL3" s="5098"/>
      <c r="DM3" s="5098"/>
      <c r="DN3" s="5098" t="e">
        <f t="shared" ref="DN3" si="5">_xlfn.AGGREGATE(1,6,DN2:DS2)</f>
        <v>#DIV/0!</v>
      </c>
      <c r="DO3" s="5098"/>
      <c r="DP3" s="5098"/>
      <c r="DQ3" s="5098"/>
      <c r="DR3" s="5098"/>
      <c r="DS3" s="5098"/>
      <c r="DT3" s="5098" t="e">
        <f t="shared" ref="DT3" si="6">_xlfn.AGGREGATE(1,6,DT2:DY2)</f>
        <v>#DIV/0!</v>
      </c>
      <c r="DU3" s="5098"/>
      <c r="DV3" s="5098"/>
      <c r="DW3" s="5098"/>
      <c r="DX3" s="5098"/>
      <c r="DY3" s="5098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5115" t="s">
        <v>1099</v>
      </c>
      <c r="CK4" s="5115"/>
      <c r="CL4" s="5115"/>
      <c r="CM4" s="5115"/>
      <c r="CN4" s="5115"/>
      <c r="CO4" s="5115"/>
      <c r="CP4" s="5124" t="s">
        <v>993</v>
      </c>
      <c r="CQ4" s="5124"/>
      <c r="CR4" s="5124"/>
      <c r="CS4" s="5124"/>
      <c r="CT4" s="5124"/>
      <c r="CU4" s="5124"/>
      <c r="CV4" s="5122" t="s">
        <v>994</v>
      </c>
      <c r="CW4" s="5122"/>
      <c r="CX4" s="5122"/>
      <c r="CY4" s="5122"/>
      <c r="CZ4" s="5122"/>
      <c r="DA4" s="5122"/>
      <c r="DB4" s="5115" t="s">
        <v>1103</v>
      </c>
      <c r="DC4" s="5115"/>
      <c r="DD4" s="5115"/>
      <c r="DE4" s="5115"/>
      <c r="DF4" s="5115"/>
      <c r="DG4" s="5115"/>
      <c r="DH4" s="5122" t="s">
        <v>996</v>
      </c>
      <c r="DI4" s="5122"/>
      <c r="DJ4" s="5122"/>
      <c r="DK4" s="5122"/>
      <c r="DL4" s="5122"/>
      <c r="DM4" s="5122"/>
      <c r="DN4" s="5123" t="s">
        <v>1105</v>
      </c>
      <c r="DO4" s="5122"/>
      <c r="DP4" s="5122"/>
      <c r="DQ4" s="5122"/>
      <c r="DR4" s="5122"/>
      <c r="DS4" s="5122"/>
    </row>
  </sheetData>
  <mergeCells count="20"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  <mergeCell ref="DN4:DS4"/>
    <mergeCell ref="CJ4:CO4"/>
    <mergeCell ref="CP4:CU4"/>
    <mergeCell ref="CV4:DA4"/>
    <mergeCell ref="DB4:DG4"/>
    <mergeCell ref="DH4:DM4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6208-FF36-40A7-952F-79C1E7562B30}">
  <dimension ref="A1:DO48"/>
  <sheetViews>
    <sheetView workbookViewId="0">
      <pane ySplit="1" topLeftCell="A14" activePane="bottomLeft" state="frozen"/>
      <selection pane="bottomLeft" activeCell="J42" sqref="J42"/>
    </sheetView>
  </sheetViews>
  <sheetFormatPr defaultRowHeight="15" x14ac:dyDescent="0.25"/>
  <cols>
    <col min="1" max="1" width="12.42578125" customWidth="1"/>
    <col min="5" max="5" width="15.85546875" style="4147" customWidth="1"/>
    <col min="6" max="6" width="9.140625" style="4147"/>
  </cols>
  <sheetData>
    <row r="1" spans="1:119" s="3999" customFormat="1" ht="15.75" customHeight="1" x14ac:dyDescent="0.25"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5126" t="s">
        <v>1379</v>
      </c>
      <c r="CK1" s="5126"/>
      <c r="CL1" s="5126"/>
      <c r="CM1" s="5126"/>
      <c r="CN1" s="5126"/>
      <c r="CO1" s="5126"/>
      <c r="CP1" s="5124" t="s">
        <v>1377</v>
      </c>
      <c r="CQ1" s="5124"/>
      <c r="CR1" s="5124"/>
      <c r="CS1" s="5124"/>
      <c r="CT1" s="5124"/>
      <c r="CU1" s="5124"/>
      <c r="CV1" s="5124" t="s">
        <v>1389</v>
      </c>
      <c r="CW1" s="5124"/>
      <c r="CX1" s="5124"/>
      <c r="CY1" s="5124"/>
      <c r="CZ1" s="5124"/>
      <c r="DA1" s="5124"/>
      <c r="DB1" s="5125" t="s">
        <v>1378</v>
      </c>
      <c r="DC1" s="5125"/>
      <c r="DD1" s="5125"/>
      <c r="DE1" s="5125"/>
      <c r="DF1" s="5125"/>
      <c r="DG1" s="5125"/>
      <c r="DH1" s="5126" t="s">
        <v>1405</v>
      </c>
      <c r="DI1" s="5126"/>
      <c r="DJ1" s="5126"/>
      <c r="DK1" s="5126"/>
      <c r="DL1" s="5126"/>
      <c r="DM1" s="5126"/>
      <c r="DN1" s="4150"/>
      <c r="DO1" s="4150"/>
    </row>
    <row r="2" spans="1:119" x14ac:dyDescent="0.25">
      <c r="A2" s="44" t="s">
        <v>1341</v>
      </c>
      <c r="B2" s="44"/>
      <c r="C2" s="44"/>
      <c r="D2" s="44"/>
      <c r="E2" s="44"/>
      <c r="F2" s="44"/>
      <c r="G2" s="4071"/>
      <c r="O2" s="4072"/>
      <c r="T2" s="4073"/>
      <c r="AB2" s="4074"/>
      <c r="AG2" s="4075"/>
      <c r="AO2" s="4076"/>
      <c r="AT2" s="4077"/>
      <c r="BB2" s="4078"/>
      <c r="BG2" s="4079"/>
      <c r="BO2" s="4080"/>
      <c r="BT2" s="4081"/>
      <c r="CB2" s="4082"/>
      <c r="CJ2">
        <f>AVERAGE(B4,B7,B20,B30)</f>
        <v>1.2275</v>
      </c>
      <c r="CK2" s="4150">
        <f>AVERAGE(C4,C7,C20,C30)</f>
        <v>1.175</v>
      </c>
      <c r="CL2" s="4150">
        <f>AVERAGE(D4,D7,D20,D30)</f>
        <v>0.76500000000000001</v>
      </c>
      <c r="CM2" s="4150" t="e">
        <f>AVERAGE(E4,E7,E20,E30)</f>
        <v>#DIV/0!</v>
      </c>
      <c r="CN2" s="4150" t="e">
        <f>AVERAGE(F4,F7,F20,F30)</f>
        <v>#DIV/0!</v>
      </c>
      <c r="CO2" s="4150">
        <f>AVERAGE(G4,G7,G20)</f>
        <v>1.6666666666666667</v>
      </c>
      <c r="CP2" s="1">
        <f>AVERAGE(B9,B25,B28)</f>
        <v>0.77</v>
      </c>
      <c r="CQ2" s="1">
        <f>AVERAGE(C9,C25,C28)</f>
        <v>0.375</v>
      </c>
      <c r="CR2" s="1">
        <f>AVERAGE(D9,D25,D28)</f>
        <v>1.1499999999999999</v>
      </c>
      <c r="CS2" s="1">
        <f>AVERAGE(E9,E25,E28)</f>
        <v>1.19</v>
      </c>
      <c r="CT2" s="1">
        <f>AVERAGE(F9,F25,F28)</f>
        <v>0.73</v>
      </c>
      <c r="CU2" s="1" t="e">
        <f>AVERAGE(G9,G25,#REF!)</f>
        <v>#REF!</v>
      </c>
      <c r="CV2" s="1">
        <f>AVERAGE(B3,B21,B34,B37)</f>
        <v>0.97000000000000008</v>
      </c>
      <c r="CW2" s="1">
        <f>AVERAGE(C3,C21,C34,C37)</f>
        <v>1.1166666666666667</v>
      </c>
      <c r="CX2" s="1">
        <f>AVERAGE(D3,D21,D34,D37)</f>
        <v>1.1299999999999999</v>
      </c>
      <c r="CY2" s="1" t="e">
        <f>AVERAGE(E3,E21,E34)</f>
        <v>#DIV/0!</v>
      </c>
      <c r="CZ2" s="1" t="e">
        <f>AVERAGE(F3,F21,F34)</f>
        <v>#DIV/0!</v>
      </c>
      <c r="DA2" s="1" t="e">
        <f>AVERAGE(G3,G21,#REF!)</f>
        <v>#REF!</v>
      </c>
      <c r="DB2" s="1">
        <f>AVERAGE(B12,B15,B29)</f>
        <v>1.1066666666666667</v>
      </c>
      <c r="DC2" s="1">
        <f>AVERAGE(C12,C15,C29)</f>
        <v>0.91333333333333344</v>
      </c>
      <c r="DD2" s="1">
        <f>AVERAGE(D12,D15,D29)</f>
        <v>1.2266666666666668</v>
      </c>
      <c r="DE2" s="1" t="e">
        <f>AVERAGE(E12,E15,E29)</f>
        <v>#DIV/0!</v>
      </c>
      <c r="DF2" s="1" t="e">
        <f>AVERAGE(F12,F15,F29)</f>
        <v>#DIV/0!</v>
      </c>
      <c r="DG2" s="1" t="e">
        <f>AVERAGE(G12,G15,#REF!)</f>
        <v>#REF!</v>
      </c>
      <c r="DH2" s="1">
        <f>AVERAGE(B5,B10,B22,B32)</f>
        <v>1.2524999999999999</v>
      </c>
      <c r="DI2" s="1">
        <f>AVERAGE(C5,C10,C22,C32)</f>
        <v>1.2224999999999999</v>
      </c>
      <c r="DJ2" s="1">
        <f>AVERAGE(D5,D10,D22,D32)</f>
        <v>0.6</v>
      </c>
      <c r="DK2" s="1" t="e">
        <f>AVERAGE(E5,E10,E22,E32)</f>
        <v>#DIV/0!</v>
      </c>
      <c r="DL2" s="1" t="e">
        <f>AVERAGE(F5,F10,F22,F32)</f>
        <v>#DIV/0!</v>
      </c>
      <c r="DM2" s="1"/>
      <c r="DN2" s="4150"/>
      <c r="DO2" s="4150"/>
    </row>
    <row r="3" spans="1:119" x14ac:dyDescent="0.25">
      <c r="A3" s="4083" t="s">
        <v>372</v>
      </c>
      <c r="B3">
        <v>1.19</v>
      </c>
      <c r="C3">
        <v>1.49</v>
      </c>
      <c r="G3" s="4084">
        <v>0</v>
      </c>
      <c r="H3">
        <v>4</v>
      </c>
      <c r="I3">
        <v>0</v>
      </c>
      <c r="J3">
        <v>1</v>
      </c>
      <c r="K3">
        <v>0</v>
      </c>
      <c r="L3">
        <v>2</v>
      </c>
      <c r="M3">
        <v>1</v>
      </c>
      <c r="N3">
        <v>2</v>
      </c>
      <c r="O3" s="4085">
        <v>0</v>
      </c>
      <c r="P3">
        <v>0</v>
      </c>
      <c r="Q3">
        <v>0</v>
      </c>
      <c r="R3">
        <v>0</v>
      </c>
      <c r="S3">
        <v>0</v>
      </c>
      <c r="T3" s="4086">
        <v>3</v>
      </c>
      <c r="U3">
        <v>1</v>
      </c>
      <c r="V3">
        <v>0</v>
      </c>
      <c r="W3">
        <v>1</v>
      </c>
      <c r="X3">
        <v>0</v>
      </c>
      <c r="Y3">
        <v>0</v>
      </c>
      <c r="Z3">
        <v>8</v>
      </c>
      <c r="AA3">
        <v>1</v>
      </c>
      <c r="AB3" s="4087">
        <v>0</v>
      </c>
      <c r="AC3">
        <v>0</v>
      </c>
      <c r="AD3">
        <v>0</v>
      </c>
      <c r="AE3">
        <v>0</v>
      </c>
      <c r="AF3">
        <v>0</v>
      </c>
      <c r="AG3" s="4088"/>
      <c r="AO3" s="4089"/>
      <c r="AT3" s="4090"/>
      <c r="BB3" s="4091"/>
      <c r="BG3" s="4092"/>
      <c r="BO3" s="4093"/>
      <c r="BT3" s="4094"/>
      <c r="CB3" s="4095"/>
      <c r="CJ3" s="5144">
        <f>_xlfn.AGGREGATE(1,6,CJ2:CO2)</f>
        <v>1.2085416666666666</v>
      </c>
      <c r="CK3" s="5144"/>
      <c r="CL3" s="5144"/>
      <c r="CM3" s="5144"/>
      <c r="CN3" s="5144"/>
      <c r="CO3" s="5144"/>
      <c r="CP3" s="5144">
        <f t="shared" ref="CP3" si="0">_xlfn.AGGREGATE(1,6,CP2:CU2)</f>
        <v>0.84299999999999997</v>
      </c>
      <c r="CQ3" s="5144"/>
      <c r="CR3" s="5144"/>
      <c r="CS3" s="5144"/>
      <c r="CT3" s="5144"/>
      <c r="CU3" s="5144"/>
      <c r="CV3" s="5144">
        <f t="shared" ref="CV3" si="1">_xlfn.AGGREGATE(1,6,CV2:DA2)</f>
        <v>1.0722222222222222</v>
      </c>
      <c r="CW3" s="5144"/>
      <c r="CX3" s="5144"/>
      <c r="CY3" s="5144"/>
      <c r="CZ3" s="5144"/>
      <c r="DA3" s="5144"/>
      <c r="DB3" s="5144">
        <f t="shared" ref="DB3" si="2">_xlfn.AGGREGATE(1,6,DB2:DG2)</f>
        <v>1.0822222222222224</v>
      </c>
      <c r="DC3" s="5144"/>
      <c r="DD3" s="5144"/>
      <c r="DE3" s="5144"/>
      <c r="DF3" s="5144"/>
      <c r="DG3" s="5144"/>
      <c r="DH3" s="5144">
        <f t="shared" ref="DH3" si="3">_xlfn.AGGREGATE(1,6,DH2:DM2)</f>
        <v>1.0249999999999999</v>
      </c>
      <c r="DI3" s="5144"/>
      <c r="DJ3" s="5144"/>
      <c r="DK3" s="5144"/>
      <c r="DL3" s="5144"/>
      <c r="DM3" s="5144"/>
      <c r="DN3" s="4410"/>
      <c r="DO3" s="4410"/>
    </row>
    <row r="4" spans="1:119" ht="15.75" customHeight="1" x14ac:dyDescent="0.25">
      <c r="A4" s="4096" t="s">
        <v>1342</v>
      </c>
      <c r="B4">
        <v>1.5</v>
      </c>
      <c r="C4">
        <v>1.61</v>
      </c>
      <c r="G4" s="4097">
        <v>1</v>
      </c>
      <c r="H4">
        <v>0</v>
      </c>
      <c r="I4">
        <v>0</v>
      </c>
      <c r="J4">
        <v>0</v>
      </c>
      <c r="K4">
        <v>0</v>
      </c>
      <c r="L4">
        <v>1</v>
      </c>
      <c r="M4">
        <v>5</v>
      </c>
      <c r="N4">
        <v>1</v>
      </c>
      <c r="O4" s="4098">
        <v>0</v>
      </c>
      <c r="P4">
        <v>0</v>
      </c>
      <c r="Q4">
        <v>0</v>
      </c>
      <c r="R4">
        <v>0</v>
      </c>
      <c r="S4">
        <v>0</v>
      </c>
      <c r="T4" s="4099">
        <v>0</v>
      </c>
      <c r="U4">
        <v>1</v>
      </c>
      <c r="V4">
        <v>1</v>
      </c>
      <c r="W4">
        <v>1</v>
      </c>
      <c r="X4">
        <v>0</v>
      </c>
      <c r="Y4">
        <v>0</v>
      </c>
      <c r="Z4">
        <v>3</v>
      </c>
      <c r="AA4">
        <v>0</v>
      </c>
      <c r="AB4" s="4100">
        <v>0</v>
      </c>
      <c r="AC4">
        <v>0</v>
      </c>
      <c r="AD4">
        <v>0</v>
      </c>
      <c r="AE4">
        <v>0</v>
      </c>
      <c r="AF4">
        <v>0</v>
      </c>
      <c r="AG4" s="4101"/>
      <c r="AO4" s="4102"/>
      <c r="AT4" s="4103"/>
      <c r="BB4" s="4104"/>
      <c r="BG4" s="4105"/>
      <c r="BO4" s="4106"/>
      <c r="BT4" s="4107"/>
      <c r="CB4" s="4108"/>
      <c r="CJ4" s="5118" t="s">
        <v>1380</v>
      </c>
      <c r="CK4" s="5118"/>
      <c r="CL4" s="5118"/>
      <c r="CM4" s="5118"/>
      <c r="CN4" s="5118"/>
      <c r="CO4" s="5118"/>
      <c r="CP4" s="5115" t="s">
        <v>1391</v>
      </c>
      <c r="CQ4" s="5115"/>
      <c r="CR4" s="5115"/>
      <c r="CS4" s="5115"/>
      <c r="CT4" s="5115"/>
      <c r="CU4" s="5115"/>
      <c r="CV4" s="5122" t="s">
        <v>1356</v>
      </c>
      <c r="CW4" s="5122"/>
      <c r="CX4" s="5122"/>
      <c r="CY4" s="5122"/>
      <c r="CZ4" s="5122"/>
      <c r="DA4" s="5122"/>
      <c r="DB4" s="5115" t="s">
        <v>1408</v>
      </c>
      <c r="DC4" s="5115"/>
      <c r="DD4" s="5115"/>
      <c r="DE4" s="5115"/>
      <c r="DF4" s="5115"/>
      <c r="DG4" s="5115"/>
      <c r="DH4" s="5125" t="s">
        <v>1397</v>
      </c>
      <c r="DI4" s="5125"/>
      <c r="DJ4" s="5125"/>
      <c r="DK4" s="5125"/>
      <c r="DL4" s="5125"/>
      <c r="DM4" s="5125"/>
    </row>
    <row r="5" spans="1:119" x14ac:dyDescent="0.25">
      <c r="A5" s="4109" t="s">
        <v>716</v>
      </c>
      <c r="B5">
        <v>1.05</v>
      </c>
      <c r="C5">
        <v>1.17</v>
      </c>
      <c r="G5" s="4110">
        <v>0</v>
      </c>
      <c r="H5">
        <v>1</v>
      </c>
      <c r="I5">
        <v>1</v>
      </c>
      <c r="J5">
        <v>0</v>
      </c>
      <c r="K5">
        <v>0</v>
      </c>
      <c r="L5">
        <v>0</v>
      </c>
      <c r="M5">
        <v>1</v>
      </c>
      <c r="N5">
        <v>2</v>
      </c>
      <c r="O5" s="4111">
        <v>0</v>
      </c>
      <c r="P5">
        <v>0</v>
      </c>
      <c r="Q5">
        <v>0</v>
      </c>
      <c r="R5">
        <v>0</v>
      </c>
      <c r="S5">
        <v>0</v>
      </c>
      <c r="T5" s="4112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2</v>
      </c>
      <c r="AA5">
        <v>0</v>
      </c>
      <c r="AB5" s="4113">
        <v>0</v>
      </c>
      <c r="AC5">
        <v>0</v>
      </c>
      <c r="AD5">
        <v>0</v>
      </c>
      <c r="AE5">
        <v>0</v>
      </c>
      <c r="AF5">
        <v>0</v>
      </c>
      <c r="AG5" s="4114"/>
      <c r="AO5" s="4115"/>
      <c r="AT5" s="4116"/>
      <c r="BB5" s="4117"/>
      <c r="BG5" s="4118"/>
      <c r="BO5" s="4119"/>
      <c r="BT5" s="4120"/>
      <c r="CB5" s="4121"/>
      <c r="CJ5">
        <f>AVERAGE(B11,B19,B33)</f>
        <v>1.1333333333333335</v>
      </c>
      <c r="CK5" s="4150">
        <f>AVERAGE(C11,C19,C33)</f>
        <v>1.1833333333333333</v>
      </c>
      <c r="CL5" s="4150">
        <f>AVERAGE(D11,D19,D33)</f>
        <v>1.095</v>
      </c>
      <c r="CM5" s="4150" t="e">
        <f>AVERAGE(E11,E19,E33)</f>
        <v>#DIV/0!</v>
      </c>
      <c r="CN5" s="4150" t="e">
        <f>AVERAGE(F11,F19,F33)</f>
        <v>#DIV/0!</v>
      </c>
      <c r="CO5" s="4150" t="e">
        <f>AVERAGE(G11,G19,#REF!)</f>
        <v>#REF!</v>
      </c>
      <c r="CP5" s="4149">
        <f>AVERAGE(B8,B18,B38)</f>
        <v>0.71500000000000008</v>
      </c>
      <c r="CQ5" s="4150">
        <f t="shared" ref="CQ5:CT5" si="4">AVERAGE(C8,C18,C38)</f>
        <v>1.0466666666666666</v>
      </c>
      <c r="CR5" s="4150">
        <f t="shared" si="4"/>
        <v>1.1200000000000001</v>
      </c>
      <c r="CS5" s="4150" t="e">
        <f t="shared" si="4"/>
        <v>#DIV/0!</v>
      </c>
      <c r="CT5" s="4150" t="e">
        <f t="shared" si="4"/>
        <v>#DIV/0!</v>
      </c>
      <c r="CU5" s="4150" t="e">
        <f>AVERAGE(G8,G18,#REF!)</f>
        <v>#REF!</v>
      </c>
      <c r="CV5" s="4149">
        <f>AVERAGE(B16)</f>
        <v>1.38</v>
      </c>
      <c r="CW5" s="4150">
        <f t="shared" ref="CW5:DA5" si="5">AVERAGE(C16)</f>
        <v>1.64</v>
      </c>
      <c r="CX5" s="4150">
        <f t="shared" si="5"/>
        <v>1</v>
      </c>
      <c r="CY5" s="4150" t="e">
        <f t="shared" si="5"/>
        <v>#DIV/0!</v>
      </c>
      <c r="CZ5" s="4150" t="e">
        <f t="shared" si="5"/>
        <v>#DIV/0!</v>
      </c>
      <c r="DA5" s="4150">
        <f t="shared" si="5"/>
        <v>1</v>
      </c>
      <c r="DB5" s="4149">
        <f>AVERAGE(B23,B43,B44,B45,B46,B47)</f>
        <v>1.0516666666666665</v>
      </c>
      <c r="DC5" s="4150">
        <f t="shared" ref="DC5:DF5" si="6">AVERAGE(C23,C43,C44,C45,C46,C47)</f>
        <v>1.1849999999999998</v>
      </c>
      <c r="DD5" s="4150" t="e">
        <f t="shared" si="6"/>
        <v>#DIV/0!</v>
      </c>
      <c r="DE5" s="4150" t="e">
        <f t="shared" si="6"/>
        <v>#DIV/0!</v>
      </c>
      <c r="DF5" s="4150" t="e">
        <f t="shared" si="6"/>
        <v>#DIV/0!</v>
      </c>
      <c r="DG5" s="4150" t="e">
        <f>AVERAGE(G23,#REF!,#REF!,#REF!,#REF!,#REF!)</f>
        <v>#REF!</v>
      </c>
      <c r="DH5" s="1">
        <f>AVERAGE(B13,B27,B31,B36,B39,B41)</f>
        <v>1.2100000000000002</v>
      </c>
      <c r="DI5" s="1">
        <f t="shared" ref="DI5:DL5" si="7">AVERAGE(C13,C27,C31,C36,C39,C41)</f>
        <v>0.63400000000000012</v>
      </c>
      <c r="DJ5" s="1">
        <f t="shared" si="7"/>
        <v>0.89600000000000013</v>
      </c>
      <c r="DK5" s="1" t="e">
        <f t="shared" si="7"/>
        <v>#DIV/0!</v>
      </c>
      <c r="DL5" s="1" t="e">
        <f t="shared" si="7"/>
        <v>#DIV/0!</v>
      </c>
      <c r="DM5" s="1"/>
    </row>
    <row r="6" spans="1:119" x14ac:dyDescent="0.25">
      <c r="A6" s="40" t="s">
        <v>1345</v>
      </c>
      <c r="B6" s="40"/>
      <c r="C6" s="40"/>
      <c r="D6" s="40"/>
      <c r="E6" s="40"/>
      <c r="F6" s="40"/>
      <c r="G6" s="4153"/>
      <c r="O6" s="4154"/>
      <c r="T6" s="4155"/>
      <c r="AB6" s="4156"/>
      <c r="AG6" s="4157"/>
      <c r="AO6" s="4158"/>
      <c r="AT6" s="4159"/>
      <c r="BB6" s="4160"/>
      <c r="BG6" s="4161"/>
      <c r="BO6" s="4162"/>
      <c r="BT6" s="4163"/>
      <c r="CB6" s="4164"/>
      <c r="CJ6" s="5114">
        <f>_xlfn.AGGREGATE(1,6,CJ5:CO5)</f>
        <v>1.1372222222222224</v>
      </c>
      <c r="CK6" s="5114"/>
      <c r="CL6" s="5114"/>
      <c r="CM6" s="5114"/>
      <c r="CN6" s="5114"/>
      <c r="CO6" s="5114"/>
      <c r="CP6" s="5114">
        <f t="shared" ref="CP6" si="8">_xlfn.AGGREGATE(1,6,CP5:CU5)</f>
        <v>0.96055555555555561</v>
      </c>
      <c r="CQ6" s="5114"/>
      <c r="CR6" s="5114"/>
      <c r="CS6" s="5114"/>
      <c r="CT6" s="5114"/>
      <c r="CU6" s="5114"/>
      <c r="CV6" s="5114">
        <f t="shared" ref="CV6" si="9">_xlfn.AGGREGATE(1,6,CV5:DA5)</f>
        <v>1.2549999999999999</v>
      </c>
      <c r="CW6" s="5114"/>
      <c r="CX6" s="5114"/>
      <c r="CY6" s="5114"/>
      <c r="CZ6" s="5114"/>
      <c r="DA6" s="5114"/>
      <c r="DB6" s="5114">
        <f t="shared" ref="DB6" si="10">_xlfn.AGGREGATE(1,6,DB5:DG5)</f>
        <v>1.1183333333333332</v>
      </c>
      <c r="DC6" s="5114"/>
      <c r="DD6" s="5114"/>
      <c r="DE6" s="5114"/>
      <c r="DF6" s="5114"/>
      <c r="DG6" s="5114"/>
      <c r="DH6" s="5098">
        <f>_xlfn.AGGREGATE(1,3,DH5:DJ5)</f>
        <v>0.91333333333333344</v>
      </c>
      <c r="DI6" s="5099"/>
      <c r="DJ6" s="5099"/>
      <c r="DK6" s="5099"/>
      <c r="DL6" s="5099"/>
      <c r="DM6" s="5099"/>
    </row>
    <row r="7" spans="1:119" x14ac:dyDescent="0.25">
      <c r="A7" s="4165" t="s">
        <v>1349</v>
      </c>
      <c r="B7">
        <v>0.75</v>
      </c>
      <c r="C7">
        <v>0.93</v>
      </c>
      <c r="D7">
        <v>0.72</v>
      </c>
      <c r="G7" s="4166">
        <v>3</v>
      </c>
      <c r="H7">
        <v>1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 s="4167">
        <v>0</v>
      </c>
      <c r="P7">
        <v>0</v>
      </c>
      <c r="Q7">
        <v>0</v>
      </c>
      <c r="R7">
        <v>0</v>
      </c>
      <c r="S7">
        <v>0</v>
      </c>
      <c r="T7" s="4168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1</v>
      </c>
      <c r="AB7" s="4169">
        <v>0</v>
      </c>
      <c r="AC7">
        <v>0</v>
      </c>
      <c r="AD7">
        <v>0</v>
      </c>
      <c r="AE7">
        <v>0</v>
      </c>
      <c r="AF7">
        <v>0</v>
      </c>
      <c r="AG7" s="4170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 s="4171">
        <v>0</v>
      </c>
      <c r="AP7">
        <v>0</v>
      </c>
      <c r="AQ7">
        <v>0</v>
      </c>
      <c r="AR7">
        <v>0</v>
      </c>
      <c r="AS7">
        <v>0</v>
      </c>
      <c r="AT7" s="4172"/>
      <c r="BB7" s="4173"/>
      <c r="BG7" s="4174"/>
      <c r="BO7" s="4175"/>
      <c r="BT7" s="4176"/>
      <c r="CB7" s="4177"/>
      <c r="CJ7" s="4150"/>
      <c r="DH7" s="4150"/>
      <c r="DI7" s="4150"/>
    </row>
    <row r="8" spans="1:119" x14ac:dyDescent="0.25">
      <c r="A8" s="4178" t="s">
        <v>1350</v>
      </c>
      <c r="B8">
        <v>0.33</v>
      </c>
      <c r="C8">
        <v>0.64</v>
      </c>
      <c r="D8">
        <v>0.98</v>
      </c>
      <c r="G8" s="4179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 s="4180">
        <v>0</v>
      </c>
      <c r="P8">
        <v>0</v>
      </c>
      <c r="Q8">
        <v>0</v>
      </c>
      <c r="R8">
        <v>0</v>
      </c>
      <c r="S8">
        <v>0</v>
      </c>
      <c r="T8" s="4181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0</v>
      </c>
      <c r="AB8" s="4182">
        <v>0</v>
      </c>
      <c r="AC8">
        <v>0</v>
      </c>
      <c r="AD8">
        <v>0</v>
      </c>
      <c r="AE8">
        <v>0</v>
      </c>
      <c r="AF8">
        <v>0</v>
      </c>
      <c r="AG8" s="4183">
        <v>1</v>
      </c>
      <c r="AH8">
        <v>3</v>
      </c>
      <c r="AI8">
        <v>1</v>
      </c>
      <c r="AJ8">
        <v>0</v>
      </c>
      <c r="AK8">
        <v>0</v>
      </c>
      <c r="AL8">
        <v>0</v>
      </c>
      <c r="AM8">
        <v>5</v>
      </c>
      <c r="AN8">
        <v>0</v>
      </c>
      <c r="AO8" s="4184">
        <v>0</v>
      </c>
      <c r="AP8">
        <v>0</v>
      </c>
      <c r="AQ8">
        <v>0</v>
      </c>
      <c r="AR8">
        <v>0</v>
      </c>
      <c r="AS8">
        <v>0</v>
      </c>
      <c r="AT8" s="4185"/>
      <c r="BB8" s="4186"/>
      <c r="BG8" s="4187"/>
      <c r="BO8" s="4188"/>
      <c r="BT8" s="4189"/>
      <c r="CB8" s="4190"/>
    </row>
    <row r="9" spans="1:119" x14ac:dyDescent="0.25">
      <c r="A9" s="4191" t="s">
        <v>329</v>
      </c>
      <c r="B9">
        <v>1.1000000000000001</v>
      </c>
      <c r="C9">
        <v>0.32</v>
      </c>
      <c r="D9">
        <v>1.22</v>
      </c>
      <c r="G9" s="4192">
        <v>1</v>
      </c>
      <c r="H9">
        <v>2</v>
      </c>
      <c r="I9">
        <v>1</v>
      </c>
      <c r="J9">
        <v>0</v>
      </c>
      <c r="K9">
        <v>0</v>
      </c>
      <c r="L9">
        <v>0</v>
      </c>
      <c r="M9">
        <v>3</v>
      </c>
      <c r="N9">
        <v>1</v>
      </c>
      <c r="O9" s="4193">
        <v>0</v>
      </c>
      <c r="P9">
        <v>0</v>
      </c>
      <c r="Q9">
        <v>0</v>
      </c>
      <c r="R9">
        <v>0</v>
      </c>
      <c r="S9">
        <v>0</v>
      </c>
      <c r="T9" s="4194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4195">
        <v>0</v>
      </c>
      <c r="AC9">
        <v>0</v>
      </c>
      <c r="AD9">
        <v>0</v>
      </c>
      <c r="AE9">
        <v>0</v>
      </c>
      <c r="AF9">
        <v>0</v>
      </c>
      <c r="AG9" s="4196">
        <v>1</v>
      </c>
      <c r="AH9">
        <v>2</v>
      </c>
      <c r="AI9">
        <v>1</v>
      </c>
      <c r="AJ9">
        <v>0</v>
      </c>
      <c r="AK9">
        <v>0</v>
      </c>
      <c r="AL9">
        <v>0</v>
      </c>
      <c r="AM9">
        <v>1</v>
      </c>
      <c r="AN9">
        <v>0</v>
      </c>
      <c r="AO9" s="4197">
        <v>0</v>
      </c>
      <c r="AP9">
        <v>0</v>
      </c>
      <c r="AQ9">
        <v>0</v>
      </c>
      <c r="AR9">
        <v>0</v>
      </c>
      <c r="AS9">
        <v>0</v>
      </c>
      <c r="AT9" s="4198"/>
      <c r="BB9" s="4199"/>
      <c r="BG9" s="4200"/>
      <c r="BO9" s="4201"/>
      <c r="BT9" s="4202"/>
      <c r="CB9" s="4203"/>
    </row>
    <row r="10" spans="1:119" x14ac:dyDescent="0.25">
      <c r="A10" s="4204" t="s">
        <v>330</v>
      </c>
      <c r="B10">
        <v>1.51</v>
      </c>
      <c r="C10">
        <v>1.27</v>
      </c>
      <c r="G10" s="4205">
        <v>2</v>
      </c>
      <c r="H10">
        <v>4</v>
      </c>
      <c r="I10">
        <v>1</v>
      </c>
      <c r="J10">
        <v>0</v>
      </c>
      <c r="K10">
        <v>0</v>
      </c>
      <c r="L10">
        <v>0</v>
      </c>
      <c r="M10">
        <v>1</v>
      </c>
      <c r="N10">
        <v>0</v>
      </c>
      <c r="O10" s="4206">
        <v>1</v>
      </c>
      <c r="P10">
        <v>0</v>
      </c>
      <c r="Q10">
        <v>0</v>
      </c>
      <c r="R10">
        <v>0</v>
      </c>
      <c r="S10">
        <v>0</v>
      </c>
      <c r="T10" s="4207">
        <v>2</v>
      </c>
      <c r="U10">
        <v>3</v>
      </c>
      <c r="V10">
        <v>1</v>
      </c>
      <c r="W10">
        <v>0</v>
      </c>
      <c r="X10">
        <v>0</v>
      </c>
      <c r="Y10">
        <v>0</v>
      </c>
      <c r="Z10">
        <v>1</v>
      </c>
      <c r="AA10">
        <v>0</v>
      </c>
      <c r="AB10" s="4208">
        <v>0</v>
      </c>
      <c r="AC10">
        <v>0</v>
      </c>
      <c r="AD10">
        <v>0</v>
      </c>
      <c r="AE10">
        <v>0</v>
      </c>
      <c r="AF10">
        <v>0</v>
      </c>
      <c r="AG10" s="4209"/>
      <c r="AO10" s="4210"/>
      <c r="AT10" s="4211"/>
      <c r="BB10" s="4212"/>
      <c r="BG10" s="4213"/>
      <c r="BO10" s="4214"/>
      <c r="BT10" s="4215"/>
      <c r="CB10" s="4216"/>
    </row>
    <row r="11" spans="1:119" x14ac:dyDescent="0.25">
      <c r="A11" s="4217" t="s">
        <v>1351</v>
      </c>
      <c r="B11">
        <v>1.71</v>
      </c>
      <c r="C11">
        <v>1.47</v>
      </c>
      <c r="D11">
        <v>1.23</v>
      </c>
      <c r="G11" s="4218">
        <v>1</v>
      </c>
      <c r="H11">
        <v>2</v>
      </c>
      <c r="I11">
        <v>0</v>
      </c>
      <c r="J11">
        <v>1</v>
      </c>
      <c r="K11">
        <v>0</v>
      </c>
      <c r="L11">
        <v>2</v>
      </c>
      <c r="M11">
        <v>1</v>
      </c>
      <c r="N11">
        <v>1</v>
      </c>
      <c r="O11" s="4219">
        <v>0</v>
      </c>
      <c r="P11">
        <v>0</v>
      </c>
      <c r="Q11">
        <v>0</v>
      </c>
      <c r="R11">
        <v>0</v>
      </c>
      <c r="S11">
        <v>0</v>
      </c>
      <c r="T11" s="4220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4</v>
      </c>
      <c r="AA11">
        <v>0</v>
      </c>
      <c r="AB11" s="4221">
        <v>1</v>
      </c>
      <c r="AC11">
        <v>0</v>
      </c>
      <c r="AD11">
        <v>0</v>
      </c>
      <c r="AE11">
        <v>0</v>
      </c>
      <c r="AF11">
        <v>0</v>
      </c>
      <c r="AG11" s="4222">
        <v>0</v>
      </c>
      <c r="AH11">
        <v>3</v>
      </c>
      <c r="AI11">
        <v>1</v>
      </c>
      <c r="AJ11">
        <v>0</v>
      </c>
      <c r="AK11">
        <v>0</v>
      </c>
      <c r="AL11">
        <v>2</v>
      </c>
      <c r="AM11">
        <v>2</v>
      </c>
      <c r="AN11">
        <v>1</v>
      </c>
      <c r="AO11" s="4223">
        <v>0</v>
      </c>
      <c r="AP11">
        <v>0</v>
      </c>
      <c r="AQ11">
        <v>0</v>
      </c>
      <c r="AR11">
        <v>0</v>
      </c>
      <c r="AS11">
        <v>0</v>
      </c>
      <c r="AT11" s="4224"/>
      <c r="BB11" s="4225"/>
      <c r="BG11" s="4226"/>
      <c r="BO11" s="4227"/>
      <c r="BT11" s="4228"/>
      <c r="CB11" s="4229"/>
    </row>
    <row r="12" spans="1:119" x14ac:dyDescent="0.25">
      <c r="A12" s="4230" t="s">
        <v>832</v>
      </c>
      <c r="B12">
        <v>1.42</v>
      </c>
      <c r="C12">
        <v>0.93</v>
      </c>
      <c r="D12">
        <v>1.03</v>
      </c>
      <c r="G12" s="4231">
        <v>0</v>
      </c>
      <c r="H12">
        <v>2</v>
      </c>
      <c r="I12">
        <v>3</v>
      </c>
      <c r="J12">
        <v>0</v>
      </c>
      <c r="K12">
        <v>0</v>
      </c>
      <c r="L12">
        <v>0</v>
      </c>
      <c r="M12">
        <v>3</v>
      </c>
      <c r="N12">
        <v>0</v>
      </c>
      <c r="O12" s="4232">
        <v>0</v>
      </c>
      <c r="P12">
        <v>0</v>
      </c>
      <c r="Q12">
        <v>0</v>
      </c>
      <c r="R12">
        <v>0</v>
      </c>
      <c r="S12">
        <v>0</v>
      </c>
      <c r="T12" s="4233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4</v>
      </c>
      <c r="AA12">
        <v>0</v>
      </c>
      <c r="AB12" s="4234">
        <v>0</v>
      </c>
      <c r="AC12">
        <v>0</v>
      </c>
      <c r="AD12">
        <v>0</v>
      </c>
      <c r="AE12">
        <v>0</v>
      </c>
      <c r="AF12">
        <v>0</v>
      </c>
      <c r="AG12" s="4235">
        <v>0</v>
      </c>
      <c r="AH12">
        <v>3</v>
      </c>
      <c r="AI12">
        <v>4</v>
      </c>
      <c r="AJ12">
        <v>0</v>
      </c>
      <c r="AK12">
        <v>0</v>
      </c>
      <c r="AL12">
        <v>2</v>
      </c>
      <c r="AM12">
        <v>2</v>
      </c>
      <c r="AN12">
        <v>0</v>
      </c>
      <c r="AO12" s="4236">
        <v>0</v>
      </c>
      <c r="AP12">
        <v>0</v>
      </c>
      <c r="AQ12">
        <v>0</v>
      </c>
      <c r="AR12">
        <v>0</v>
      </c>
      <c r="AS12">
        <v>0</v>
      </c>
      <c r="AT12" s="4237"/>
      <c r="BB12" s="4238"/>
      <c r="BG12" s="4239"/>
      <c r="BO12" s="4240"/>
      <c r="BT12" s="4241"/>
      <c r="CB12" s="4242"/>
    </row>
    <row r="13" spans="1:119" x14ac:dyDescent="0.25">
      <c r="A13" s="4243" t="s">
        <v>1352</v>
      </c>
      <c r="B13">
        <v>1.76</v>
      </c>
      <c r="C13">
        <v>1.4</v>
      </c>
      <c r="D13">
        <v>1.42</v>
      </c>
      <c r="G13" s="4244">
        <v>2</v>
      </c>
      <c r="H13">
        <v>3</v>
      </c>
      <c r="I13">
        <v>3</v>
      </c>
      <c r="J13">
        <v>1</v>
      </c>
      <c r="K13">
        <v>0</v>
      </c>
      <c r="L13">
        <v>0</v>
      </c>
      <c r="M13">
        <v>5</v>
      </c>
      <c r="N13">
        <v>0</v>
      </c>
      <c r="O13" s="4245">
        <v>1</v>
      </c>
      <c r="P13">
        <v>1</v>
      </c>
      <c r="Q13">
        <v>0</v>
      </c>
      <c r="R13">
        <v>0</v>
      </c>
      <c r="S13">
        <v>0</v>
      </c>
      <c r="T13" s="4246">
        <v>1</v>
      </c>
      <c r="U13">
        <v>2</v>
      </c>
      <c r="V13">
        <v>2</v>
      </c>
      <c r="W13">
        <v>0</v>
      </c>
      <c r="X13">
        <v>0</v>
      </c>
      <c r="Y13">
        <v>0</v>
      </c>
      <c r="Z13">
        <v>7</v>
      </c>
      <c r="AA13">
        <v>0</v>
      </c>
      <c r="AB13" s="4247">
        <v>1</v>
      </c>
      <c r="AC13">
        <v>0</v>
      </c>
      <c r="AD13">
        <v>1</v>
      </c>
      <c r="AE13">
        <v>0</v>
      </c>
      <c r="AF13">
        <v>0</v>
      </c>
      <c r="AG13" s="4248">
        <v>1</v>
      </c>
      <c r="AH13">
        <v>3</v>
      </c>
      <c r="AI13">
        <v>1</v>
      </c>
      <c r="AJ13">
        <v>0</v>
      </c>
      <c r="AK13">
        <v>0</v>
      </c>
      <c r="AL13">
        <v>2</v>
      </c>
      <c r="AM13">
        <v>1</v>
      </c>
      <c r="AN13">
        <v>0</v>
      </c>
      <c r="AO13" s="4249">
        <v>0</v>
      </c>
      <c r="AP13">
        <v>0</v>
      </c>
      <c r="AQ13">
        <v>1</v>
      </c>
      <c r="AR13">
        <v>0</v>
      </c>
      <c r="AS13">
        <v>0</v>
      </c>
      <c r="AT13" s="4250"/>
      <c r="BB13" s="4251"/>
      <c r="BG13" s="4252"/>
      <c r="BO13" s="4253"/>
      <c r="BT13" s="4254"/>
      <c r="CB13" s="4255"/>
    </row>
    <row r="14" spans="1:119" x14ac:dyDescent="0.25">
      <c r="A14" s="44" t="s">
        <v>1353</v>
      </c>
      <c r="B14" s="44"/>
      <c r="C14" s="44"/>
      <c r="D14" s="44"/>
      <c r="E14" s="44"/>
      <c r="F14" s="44"/>
      <c r="G14" s="4256"/>
      <c r="O14" s="4257"/>
      <c r="T14" s="4258"/>
      <c r="AB14" s="4259"/>
      <c r="AG14" s="4260"/>
      <c r="AO14" s="4261"/>
      <c r="AT14" s="4262"/>
      <c r="BB14" s="4263"/>
      <c r="BG14" s="4264"/>
      <c r="BO14" s="4265"/>
      <c r="BT14" s="4266"/>
      <c r="CB14" s="4267"/>
    </row>
    <row r="15" spans="1:119" x14ac:dyDescent="0.25">
      <c r="A15" s="4268" t="s">
        <v>1354</v>
      </c>
      <c r="B15">
        <v>1.49</v>
      </c>
      <c r="C15">
        <v>1.38</v>
      </c>
      <c r="D15">
        <v>1.1200000000000001</v>
      </c>
      <c r="G15" s="4269">
        <v>1</v>
      </c>
      <c r="H15">
        <v>2</v>
      </c>
      <c r="I15">
        <v>2</v>
      </c>
      <c r="J15">
        <v>0</v>
      </c>
      <c r="K15">
        <v>0</v>
      </c>
      <c r="L15">
        <v>0</v>
      </c>
      <c r="M15">
        <v>3</v>
      </c>
      <c r="N15">
        <v>1</v>
      </c>
      <c r="O15" s="4270">
        <v>0</v>
      </c>
      <c r="P15">
        <v>0</v>
      </c>
      <c r="Q15">
        <v>0</v>
      </c>
      <c r="R15">
        <v>0</v>
      </c>
      <c r="S15">
        <v>0</v>
      </c>
      <c r="T15" s="4271">
        <v>1</v>
      </c>
      <c r="U15">
        <v>0</v>
      </c>
      <c r="V15">
        <v>0</v>
      </c>
      <c r="W15">
        <v>1</v>
      </c>
      <c r="X15">
        <v>0</v>
      </c>
      <c r="Y15">
        <v>0</v>
      </c>
      <c r="Z15">
        <v>1</v>
      </c>
      <c r="AA15">
        <v>1</v>
      </c>
      <c r="AB15" s="4272">
        <v>1</v>
      </c>
      <c r="AC15">
        <v>0</v>
      </c>
      <c r="AD15">
        <v>0</v>
      </c>
      <c r="AE15">
        <v>0</v>
      </c>
      <c r="AF15">
        <v>0</v>
      </c>
      <c r="AG15" s="4273">
        <v>1</v>
      </c>
      <c r="AH15">
        <v>1</v>
      </c>
      <c r="AI15">
        <v>2</v>
      </c>
      <c r="AJ15">
        <v>0</v>
      </c>
      <c r="AK15">
        <v>0</v>
      </c>
      <c r="AL15">
        <v>0</v>
      </c>
      <c r="AM15">
        <v>5</v>
      </c>
      <c r="AN15">
        <v>0</v>
      </c>
      <c r="AO15" s="4274">
        <v>0</v>
      </c>
      <c r="AP15">
        <v>1</v>
      </c>
      <c r="AQ15">
        <v>0</v>
      </c>
      <c r="AR15">
        <v>0</v>
      </c>
      <c r="AS15">
        <v>0</v>
      </c>
      <c r="AT15" s="4275"/>
      <c r="BB15" s="4276"/>
      <c r="BG15" s="4277"/>
      <c r="BO15" s="4278"/>
      <c r="BT15" s="4279"/>
      <c r="CB15" s="4280"/>
    </row>
    <row r="16" spans="1:119" x14ac:dyDescent="0.25">
      <c r="A16" s="4281" t="s">
        <v>1355</v>
      </c>
      <c r="B16">
        <v>1.38</v>
      </c>
      <c r="C16">
        <v>1.64</v>
      </c>
      <c r="D16">
        <v>1</v>
      </c>
      <c r="G16" s="4282">
        <v>1</v>
      </c>
      <c r="H16">
        <v>2</v>
      </c>
      <c r="I16">
        <v>2</v>
      </c>
      <c r="J16">
        <v>0</v>
      </c>
      <c r="K16">
        <v>0</v>
      </c>
      <c r="L16">
        <v>0</v>
      </c>
      <c r="M16">
        <v>2</v>
      </c>
      <c r="N16">
        <v>0</v>
      </c>
      <c r="O16" s="4283">
        <v>0</v>
      </c>
      <c r="P16">
        <v>0</v>
      </c>
      <c r="Q16">
        <v>0</v>
      </c>
      <c r="R16">
        <v>0</v>
      </c>
      <c r="S16">
        <v>0</v>
      </c>
      <c r="T16" s="4284">
        <v>0</v>
      </c>
      <c r="U16">
        <v>1</v>
      </c>
      <c r="V16">
        <v>2</v>
      </c>
      <c r="W16">
        <v>0</v>
      </c>
      <c r="X16">
        <v>0</v>
      </c>
      <c r="Y16">
        <v>0</v>
      </c>
      <c r="Z16">
        <v>3</v>
      </c>
      <c r="AA16">
        <v>0</v>
      </c>
      <c r="AB16" s="4285">
        <v>0</v>
      </c>
      <c r="AC16">
        <v>0</v>
      </c>
      <c r="AD16">
        <v>0</v>
      </c>
      <c r="AE16">
        <v>0</v>
      </c>
      <c r="AF16">
        <v>0</v>
      </c>
      <c r="AG16" s="4286">
        <v>1</v>
      </c>
      <c r="AH16">
        <v>4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 s="4287">
        <v>0</v>
      </c>
      <c r="AP16">
        <v>0</v>
      </c>
      <c r="AQ16">
        <v>0</v>
      </c>
      <c r="AR16">
        <v>0</v>
      </c>
      <c r="AS16">
        <v>0</v>
      </c>
      <c r="AT16" s="4288"/>
      <c r="BB16" s="4289"/>
      <c r="BG16" s="4290"/>
      <c r="BO16" s="4291"/>
      <c r="BT16" s="4292"/>
      <c r="CB16" s="4293"/>
    </row>
    <row r="17" spans="1:113" x14ac:dyDescent="0.25">
      <c r="A17" s="40" t="s">
        <v>1357</v>
      </c>
      <c r="B17" s="40"/>
      <c r="C17" s="40"/>
      <c r="D17" s="40"/>
      <c r="E17" s="40"/>
      <c r="F17" s="40"/>
      <c r="G17" s="4294"/>
      <c r="O17" s="4295"/>
      <c r="T17" s="4296"/>
      <c r="AB17" s="4297"/>
      <c r="AG17" s="4298"/>
      <c r="AO17" s="4299"/>
      <c r="AT17" s="4300"/>
      <c r="BB17" s="4301"/>
      <c r="BG17" s="4302"/>
      <c r="BO17" s="4303"/>
      <c r="BT17" s="4304"/>
      <c r="CB17" s="4305"/>
      <c r="CK17" s="4150"/>
      <c r="CL17" s="4150"/>
      <c r="CM17" s="4150"/>
      <c r="CN17" s="4150"/>
      <c r="CO17" s="4150"/>
      <c r="CP17" s="4150"/>
      <c r="CQ17" s="4150"/>
      <c r="CR17" s="4150"/>
      <c r="CS17" s="4150"/>
      <c r="CT17" s="4150"/>
      <c r="CU17" s="4150"/>
      <c r="CV17" s="4150"/>
      <c r="CW17" s="4150"/>
      <c r="CX17" s="4150"/>
      <c r="CY17" s="4150"/>
      <c r="CZ17" s="4150"/>
      <c r="DA17" s="4150"/>
      <c r="DB17" s="4150"/>
      <c r="DC17" s="4150"/>
      <c r="DD17" s="4150"/>
      <c r="DE17" s="4150"/>
      <c r="DF17" s="4150"/>
      <c r="DG17" s="4150"/>
      <c r="DH17" s="4150"/>
      <c r="DI17" s="4150"/>
    </row>
    <row r="18" spans="1:113" x14ac:dyDescent="0.25">
      <c r="A18" s="4306" t="s">
        <v>1358</v>
      </c>
      <c r="B18">
        <v>1.1000000000000001</v>
      </c>
      <c r="C18">
        <v>1.66</v>
      </c>
      <c r="G18" s="4307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2</v>
      </c>
      <c r="N18">
        <v>0</v>
      </c>
      <c r="O18" s="4308">
        <v>0</v>
      </c>
      <c r="P18">
        <v>0</v>
      </c>
      <c r="Q18">
        <v>0</v>
      </c>
      <c r="R18">
        <v>0</v>
      </c>
      <c r="S18">
        <v>0</v>
      </c>
      <c r="T18" s="4309">
        <v>2</v>
      </c>
      <c r="U18">
        <v>0</v>
      </c>
      <c r="V18">
        <v>2</v>
      </c>
      <c r="W18">
        <v>1</v>
      </c>
      <c r="X18">
        <v>0</v>
      </c>
      <c r="Y18">
        <v>0</v>
      </c>
      <c r="Z18">
        <v>4</v>
      </c>
      <c r="AA18">
        <v>1</v>
      </c>
      <c r="AB18" s="4310">
        <v>1</v>
      </c>
      <c r="AC18">
        <v>0</v>
      </c>
      <c r="AD18">
        <v>0</v>
      </c>
      <c r="AE18">
        <v>0</v>
      </c>
      <c r="AF18">
        <v>0</v>
      </c>
      <c r="AG18" s="4311"/>
      <c r="AO18" s="4312"/>
      <c r="AT18" s="4313"/>
      <c r="BB18" s="4314"/>
      <c r="BG18" s="4315"/>
      <c r="BO18" s="4316"/>
      <c r="BT18" s="4317"/>
      <c r="CB18" s="4318"/>
      <c r="CK18" s="4150"/>
      <c r="CL18" s="4150"/>
      <c r="CM18" s="4150"/>
      <c r="CN18" s="4150"/>
      <c r="CO18" s="4150"/>
      <c r="CP18" s="4150"/>
      <c r="CQ18" s="4150"/>
      <c r="CR18" s="4150"/>
      <c r="CS18" s="4150"/>
      <c r="CT18" s="4150"/>
      <c r="CU18" s="4150"/>
      <c r="CV18" s="4150"/>
      <c r="CW18" s="4150"/>
      <c r="CX18" s="4150"/>
      <c r="CY18" s="4150"/>
      <c r="CZ18" s="4150"/>
      <c r="DA18" s="4150"/>
      <c r="DB18" s="4150"/>
      <c r="DC18" s="4150"/>
      <c r="DD18" s="4150"/>
      <c r="DE18" s="4150"/>
      <c r="DF18" s="4150"/>
      <c r="DG18" s="4150"/>
      <c r="DH18" s="4150"/>
      <c r="DI18" s="4150"/>
    </row>
    <row r="19" spans="1:113" x14ac:dyDescent="0.25">
      <c r="A19" s="4319" t="s">
        <v>1359</v>
      </c>
      <c r="B19">
        <v>1.1599999999999999</v>
      </c>
      <c r="C19">
        <v>1.05</v>
      </c>
      <c r="G19" s="4320">
        <v>3</v>
      </c>
      <c r="H19">
        <v>3</v>
      </c>
      <c r="I19">
        <v>0</v>
      </c>
      <c r="J19">
        <v>0</v>
      </c>
      <c r="K19">
        <v>0</v>
      </c>
      <c r="L19">
        <v>0</v>
      </c>
      <c r="M19">
        <v>3</v>
      </c>
      <c r="N19">
        <v>1</v>
      </c>
      <c r="O19" s="4321">
        <v>0</v>
      </c>
      <c r="P19">
        <v>0</v>
      </c>
      <c r="Q19">
        <v>0</v>
      </c>
      <c r="R19">
        <v>0</v>
      </c>
      <c r="S19">
        <v>0</v>
      </c>
      <c r="T19" s="4322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5</v>
      </c>
      <c r="AA19">
        <v>1</v>
      </c>
      <c r="AB19" s="4323">
        <v>0</v>
      </c>
      <c r="AC19">
        <v>0</v>
      </c>
      <c r="AD19">
        <v>0</v>
      </c>
      <c r="AE19">
        <v>0</v>
      </c>
      <c r="AF19">
        <v>0</v>
      </c>
      <c r="AG19" s="4324"/>
      <c r="AO19" s="4325"/>
      <c r="AT19" s="4326"/>
      <c r="BB19" s="4327"/>
      <c r="BG19" s="4328"/>
      <c r="BO19" s="4329"/>
      <c r="BT19" s="4330"/>
      <c r="CB19" s="4331"/>
      <c r="CI19" t="s">
        <v>1363</v>
      </c>
      <c r="CK19" s="4150"/>
      <c r="CL19" s="4150"/>
      <c r="CM19" s="4150"/>
      <c r="CN19" s="4150"/>
      <c r="CO19" s="4150"/>
      <c r="CP19" s="4150"/>
      <c r="CQ19" s="4150"/>
      <c r="CR19" s="4150"/>
      <c r="CS19" s="4150"/>
      <c r="CT19" s="4150"/>
      <c r="CU19" s="4150"/>
      <c r="CV19" s="4150"/>
      <c r="CW19" s="4150"/>
      <c r="CX19" s="4150"/>
      <c r="CY19" s="4150"/>
      <c r="CZ19" s="4150"/>
      <c r="DA19" s="4150"/>
      <c r="DB19" s="4150"/>
      <c r="DC19" s="4150"/>
      <c r="DD19" s="4150"/>
      <c r="DE19" s="4150"/>
      <c r="DF19" s="4150"/>
      <c r="DG19" s="4150"/>
      <c r="DH19" s="4150"/>
      <c r="DI19" s="4150"/>
    </row>
    <row r="20" spans="1:113" x14ac:dyDescent="0.25">
      <c r="A20" s="4332" t="s">
        <v>838</v>
      </c>
      <c r="B20">
        <v>1.99</v>
      </c>
      <c r="C20">
        <v>1.2</v>
      </c>
      <c r="G20" s="4333">
        <v>1</v>
      </c>
      <c r="H20">
        <v>3</v>
      </c>
      <c r="I20">
        <v>2</v>
      </c>
      <c r="J20">
        <v>1</v>
      </c>
      <c r="K20">
        <v>0</v>
      </c>
      <c r="L20">
        <v>0</v>
      </c>
      <c r="M20">
        <v>1</v>
      </c>
      <c r="N20">
        <v>0</v>
      </c>
      <c r="O20" s="4334">
        <v>0</v>
      </c>
      <c r="P20">
        <v>0</v>
      </c>
      <c r="Q20">
        <v>0</v>
      </c>
      <c r="R20">
        <v>0</v>
      </c>
      <c r="S20">
        <v>0</v>
      </c>
      <c r="T20" s="4335">
        <v>0</v>
      </c>
      <c r="U20">
        <v>2</v>
      </c>
      <c r="V20">
        <v>0</v>
      </c>
      <c r="W20">
        <v>1</v>
      </c>
      <c r="X20">
        <v>0</v>
      </c>
      <c r="Y20">
        <v>0</v>
      </c>
      <c r="Z20">
        <v>3</v>
      </c>
      <c r="AA20">
        <v>1</v>
      </c>
      <c r="AB20" s="4336">
        <v>0</v>
      </c>
      <c r="AC20">
        <v>0</v>
      </c>
      <c r="AD20">
        <v>0</v>
      </c>
      <c r="AE20">
        <v>0</v>
      </c>
      <c r="AF20">
        <v>0</v>
      </c>
      <c r="AG20" s="4337"/>
      <c r="AO20" s="4338"/>
      <c r="AT20" s="4339"/>
      <c r="BB20" s="4340"/>
      <c r="BG20" s="4341"/>
      <c r="BO20" s="4342"/>
      <c r="BT20" s="4343"/>
      <c r="CB20" s="4344"/>
      <c r="CK20" s="4150"/>
      <c r="CL20" s="4150"/>
      <c r="CM20" s="4150"/>
      <c r="CN20" s="4150"/>
      <c r="CO20" s="4150"/>
      <c r="CP20" s="4150"/>
      <c r="CQ20" s="4150"/>
      <c r="CR20" s="4150"/>
      <c r="CS20" s="4150"/>
      <c r="CT20" s="4150"/>
      <c r="CU20" s="4150"/>
      <c r="CV20" s="4150"/>
      <c r="CW20" s="4150"/>
      <c r="CX20" s="4150"/>
      <c r="CY20" s="4150"/>
      <c r="CZ20" s="4150"/>
      <c r="DA20" s="4150"/>
      <c r="DB20" s="4150"/>
      <c r="DC20" s="4150"/>
      <c r="DD20" s="4150"/>
      <c r="DE20" s="4150"/>
      <c r="DF20" s="4150"/>
      <c r="DG20" s="4150"/>
      <c r="DH20" s="4150"/>
      <c r="DI20" s="4150"/>
    </row>
    <row r="21" spans="1:113" x14ac:dyDescent="0.25">
      <c r="A21" s="4345" t="s">
        <v>1360</v>
      </c>
      <c r="B21">
        <v>0.91</v>
      </c>
      <c r="C21">
        <v>0.99</v>
      </c>
      <c r="G21" s="4346">
        <v>0</v>
      </c>
      <c r="H21">
        <v>3</v>
      </c>
      <c r="I21">
        <v>0</v>
      </c>
      <c r="J21">
        <v>0</v>
      </c>
      <c r="K21">
        <v>0</v>
      </c>
      <c r="L21">
        <v>0</v>
      </c>
      <c r="M21">
        <v>3</v>
      </c>
      <c r="N21">
        <v>0</v>
      </c>
      <c r="O21" s="4347">
        <v>0</v>
      </c>
      <c r="P21">
        <v>0</v>
      </c>
      <c r="Q21">
        <v>0</v>
      </c>
      <c r="R21">
        <v>0</v>
      </c>
      <c r="S21">
        <v>0</v>
      </c>
      <c r="T21" s="4348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4</v>
      </c>
      <c r="AA21">
        <v>1</v>
      </c>
      <c r="AB21" s="4349">
        <v>0</v>
      </c>
      <c r="AC21">
        <v>1</v>
      </c>
      <c r="AD21">
        <v>0</v>
      </c>
      <c r="AE21">
        <v>0</v>
      </c>
      <c r="AF21">
        <v>0</v>
      </c>
      <c r="AG21" s="4350"/>
      <c r="AO21" s="4351"/>
      <c r="AT21" s="4352"/>
      <c r="BB21" s="4353"/>
      <c r="BG21" s="4354"/>
      <c r="BO21" s="4355"/>
      <c r="BT21" s="4356"/>
      <c r="CB21" s="4357"/>
      <c r="CK21" s="4150"/>
      <c r="CL21" s="4150"/>
      <c r="CM21" s="4150"/>
      <c r="CN21" s="4150"/>
      <c r="CO21" s="4150"/>
      <c r="CP21" s="4150"/>
      <c r="CQ21" s="4150"/>
      <c r="CR21" s="4150"/>
      <c r="CS21" s="4150"/>
      <c r="CT21" s="4150"/>
      <c r="CU21" s="4150"/>
      <c r="CV21" s="4150"/>
      <c r="CW21" s="4150"/>
      <c r="CX21" s="4150"/>
      <c r="CY21" s="4150"/>
      <c r="CZ21" s="4150"/>
      <c r="DA21" s="4150"/>
      <c r="DB21" s="4150"/>
      <c r="DC21" s="4150"/>
      <c r="DD21" s="4150"/>
      <c r="DE21" s="4150"/>
      <c r="DF21" s="4150"/>
      <c r="DG21" s="4150"/>
      <c r="DH21" s="4150"/>
      <c r="DI21" s="4150"/>
    </row>
    <row r="22" spans="1:113" x14ac:dyDescent="0.25">
      <c r="A22" s="4358" t="s">
        <v>1361</v>
      </c>
      <c r="B22">
        <v>1.61</v>
      </c>
      <c r="C22">
        <v>1.56</v>
      </c>
      <c r="G22" s="4359">
        <v>3</v>
      </c>
      <c r="H22">
        <v>2</v>
      </c>
      <c r="I22">
        <v>2</v>
      </c>
      <c r="J22">
        <v>0</v>
      </c>
      <c r="K22">
        <v>0</v>
      </c>
      <c r="L22">
        <v>0</v>
      </c>
      <c r="M22">
        <v>2</v>
      </c>
      <c r="N22">
        <v>0</v>
      </c>
      <c r="O22" s="4360">
        <v>0</v>
      </c>
      <c r="P22">
        <v>0</v>
      </c>
      <c r="Q22">
        <v>0</v>
      </c>
      <c r="R22">
        <v>0</v>
      </c>
      <c r="S22">
        <v>0</v>
      </c>
      <c r="T22" s="4361">
        <v>0</v>
      </c>
      <c r="U22">
        <v>1</v>
      </c>
      <c r="V22">
        <v>0</v>
      </c>
      <c r="W22">
        <v>1</v>
      </c>
      <c r="X22">
        <v>0</v>
      </c>
      <c r="Y22">
        <v>0</v>
      </c>
      <c r="Z22">
        <v>1</v>
      </c>
      <c r="AA22">
        <v>0</v>
      </c>
      <c r="AB22" s="4362">
        <v>0</v>
      </c>
      <c r="AC22">
        <v>0</v>
      </c>
      <c r="AD22">
        <v>0</v>
      </c>
      <c r="AE22">
        <v>0</v>
      </c>
      <c r="AF22">
        <v>0</v>
      </c>
      <c r="AG22" s="4363"/>
      <c r="AO22" s="4364"/>
      <c r="AT22" s="4365"/>
      <c r="BB22" s="4366"/>
      <c r="BG22" s="4367"/>
      <c r="BO22" s="4368"/>
      <c r="BT22" s="4369"/>
      <c r="CB22" s="4370"/>
      <c r="CK22" s="4150"/>
      <c r="CL22" s="4150"/>
      <c r="CM22" s="4150"/>
      <c r="CN22" s="4150"/>
      <c r="CO22" s="4150"/>
      <c r="CP22" s="4150"/>
      <c r="CQ22" s="4150"/>
      <c r="CR22" s="4150"/>
      <c r="CS22" s="4150"/>
      <c r="CT22" s="4150"/>
      <c r="CU22" s="4150"/>
      <c r="CV22" s="4150"/>
      <c r="CW22" s="4150"/>
      <c r="CX22" s="4150"/>
      <c r="CY22" s="4150"/>
      <c r="CZ22" s="4150"/>
      <c r="DA22" s="4150"/>
      <c r="DB22" s="4150"/>
      <c r="DC22" s="4150"/>
      <c r="DD22" s="4150"/>
      <c r="DE22" s="4150"/>
      <c r="DF22" s="4150"/>
      <c r="DG22" s="4150"/>
      <c r="DH22" s="4150"/>
      <c r="DI22" s="4150"/>
    </row>
    <row r="23" spans="1:113" x14ac:dyDescent="0.25">
      <c r="A23" s="4371" t="s">
        <v>727</v>
      </c>
      <c r="B23">
        <v>1.08</v>
      </c>
      <c r="C23">
        <v>1.55</v>
      </c>
      <c r="G23" s="4372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2</v>
      </c>
      <c r="N23">
        <v>2</v>
      </c>
      <c r="O23" s="4373">
        <v>0</v>
      </c>
      <c r="P23">
        <v>0</v>
      </c>
      <c r="Q23">
        <v>0</v>
      </c>
      <c r="R23">
        <v>0</v>
      </c>
      <c r="S23">
        <v>0</v>
      </c>
      <c r="T23" s="4374">
        <v>0</v>
      </c>
      <c r="U23">
        <v>2</v>
      </c>
      <c r="V23">
        <v>0</v>
      </c>
      <c r="W23">
        <v>0</v>
      </c>
      <c r="X23">
        <v>0</v>
      </c>
      <c r="Y23">
        <v>0</v>
      </c>
      <c r="Z23">
        <v>5</v>
      </c>
      <c r="AA23">
        <v>0</v>
      </c>
      <c r="AB23" s="4375">
        <v>1</v>
      </c>
      <c r="AC23">
        <v>0</v>
      </c>
      <c r="AD23">
        <v>0</v>
      </c>
      <c r="AE23">
        <v>0</v>
      </c>
      <c r="AF23">
        <v>0</v>
      </c>
      <c r="AG23" s="4376"/>
      <c r="AO23" s="4377"/>
      <c r="AT23" s="4378"/>
      <c r="BB23" s="4379"/>
      <c r="BG23" s="4380"/>
      <c r="BO23" s="4381"/>
      <c r="BT23" s="4382"/>
      <c r="CB23" s="4383"/>
      <c r="CK23" s="4150"/>
      <c r="CL23" s="4150"/>
      <c r="CM23" s="4150"/>
      <c r="CN23" s="4150"/>
      <c r="CO23" s="4150"/>
      <c r="CP23" s="4150"/>
      <c r="CQ23" s="4150"/>
      <c r="CR23" s="4150"/>
      <c r="CS23" s="4150"/>
      <c r="CT23" s="4150"/>
      <c r="CU23" s="4150"/>
      <c r="CV23" s="4150"/>
      <c r="CW23" s="4150"/>
      <c r="CX23" s="4150"/>
      <c r="CY23" s="4150"/>
      <c r="CZ23" s="4150"/>
      <c r="DA23" s="4150"/>
      <c r="DB23" s="4150"/>
      <c r="DC23" s="4150"/>
      <c r="DD23" s="4150"/>
      <c r="DE23" s="4150"/>
      <c r="DF23" s="4150"/>
      <c r="DG23" s="4150"/>
      <c r="DH23" s="4150"/>
      <c r="DI23" s="4150"/>
    </row>
    <row r="24" spans="1:113" x14ac:dyDescent="0.25">
      <c r="A24" s="619" t="s">
        <v>1347</v>
      </c>
      <c r="B24" s="619"/>
      <c r="C24" s="619"/>
      <c r="D24" s="619"/>
      <c r="E24" s="619"/>
      <c r="F24" s="619"/>
      <c r="G24" s="4384"/>
      <c r="O24" s="4385"/>
      <c r="T24" s="4386"/>
      <c r="AB24" s="4387"/>
      <c r="AG24" s="4388"/>
      <c r="AO24" s="4389"/>
      <c r="AT24" s="4390"/>
      <c r="BB24" s="4391"/>
      <c r="BG24" s="4392"/>
      <c r="BO24" s="4393"/>
      <c r="BT24" s="4394"/>
      <c r="CB24" s="4395"/>
      <c r="CK24" s="4150"/>
      <c r="CL24" s="4150"/>
      <c r="CM24" s="4150"/>
      <c r="CN24" s="4150"/>
      <c r="CO24" s="4150"/>
      <c r="CP24" s="4150"/>
      <c r="CQ24" s="4150"/>
      <c r="CR24" s="4150"/>
      <c r="CS24" s="4150"/>
      <c r="CT24" s="4150"/>
      <c r="CU24" s="4150"/>
      <c r="CV24" s="4150"/>
      <c r="CW24" s="4150"/>
      <c r="CX24" s="4150"/>
      <c r="CY24" s="4150"/>
      <c r="CZ24" s="4150"/>
      <c r="DA24" s="4150"/>
      <c r="DB24" s="4150"/>
      <c r="DC24" s="4150"/>
      <c r="DD24" s="4150"/>
      <c r="DE24" s="4150"/>
      <c r="DF24" s="4150"/>
      <c r="DG24" s="4150"/>
      <c r="DH24" s="4150"/>
      <c r="DI24" s="4150"/>
    </row>
    <row r="25" spans="1:113" x14ac:dyDescent="0.25">
      <c r="A25" s="4396" t="s">
        <v>1033</v>
      </c>
      <c r="B25">
        <v>0.32</v>
      </c>
      <c r="E25" s="4147">
        <v>1.19</v>
      </c>
      <c r="F25" s="4147">
        <v>0.73</v>
      </c>
      <c r="G25" s="4397">
        <v>0</v>
      </c>
      <c r="H25">
        <v>2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398">
        <v>0</v>
      </c>
      <c r="P25">
        <v>0</v>
      </c>
      <c r="Q25">
        <v>0</v>
      </c>
      <c r="R25">
        <v>0</v>
      </c>
      <c r="S25">
        <v>0</v>
      </c>
      <c r="T25" s="4399"/>
      <c r="AB25" s="4400"/>
      <c r="AG25" s="4401"/>
      <c r="AO25" s="4402"/>
      <c r="AT25" s="4403">
        <v>0</v>
      </c>
      <c r="AU25">
        <v>1</v>
      </c>
      <c r="AV25">
        <v>1</v>
      </c>
      <c r="AW25">
        <v>1</v>
      </c>
      <c r="AX25">
        <v>0</v>
      </c>
      <c r="AY25">
        <v>0</v>
      </c>
      <c r="AZ25">
        <v>3</v>
      </c>
      <c r="BA25">
        <v>2</v>
      </c>
      <c r="BB25" s="4404">
        <v>0</v>
      </c>
      <c r="BC25">
        <v>0</v>
      </c>
      <c r="BD25">
        <v>0</v>
      </c>
      <c r="BE25">
        <v>0</v>
      </c>
      <c r="BF25">
        <v>0</v>
      </c>
      <c r="BG25" s="4405">
        <v>2</v>
      </c>
      <c r="BH25">
        <v>3</v>
      </c>
      <c r="BI25">
        <v>0</v>
      </c>
      <c r="BJ25">
        <v>0</v>
      </c>
      <c r="BK25">
        <v>0</v>
      </c>
      <c r="BL25">
        <v>0</v>
      </c>
      <c r="BM25">
        <v>3</v>
      </c>
      <c r="BN25">
        <v>0</v>
      </c>
      <c r="BO25" s="4406">
        <v>0</v>
      </c>
      <c r="BP25">
        <v>0</v>
      </c>
      <c r="BQ25">
        <v>0</v>
      </c>
      <c r="BR25">
        <v>0</v>
      </c>
      <c r="BS25">
        <v>0</v>
      </c>
      <c r="BT25" s="4407"/>
      <c r="CB25" s="4408"/>
      <c r="CI25" t="s">
        <v>1364</v>
      </c>
      <c r="CK25" s="4150"/>
      <c r="CL25" s="4150"/>
      <c r="CM25" s="4150"/>
      <c r="CN25" s="4150"/>
      <c r="CO25" s="4150"/>
      <c r="CP25" s="4150"/>
      <c r="CQ25" s="4150"/>
      <c r="CR25" s="4150"/>
      <c r="CS25" s="4150"/>
      <c r="CT25" s="4150"/>
      <c r="CU25" s="4150"/>
      <c r="CV25" s="4150"/>
      <c r="CW25" s="4150"/>
      <c r="CX25" s="4150"/>
      <c r="CY25" s="4150"/>
      <c r="CZ25" s="4150"/>
      <c r="DA25" s="4150"/>
      <c r="DB25" s="4150"/>
      <c r="DC25" s="4150"/>
      <c r="DD25" s="4150"/>
      <c r="DE25" s="4150"/>
      <c r="DF25" s="4150"/>
      <c r="DG25" s="4150"/>
      <c r="DH25" s="4150"/>
      <c r="DI25" s="4150"/>
    </row>
    <row r="26" spans="1:113" x14ac:dyDescent="0.25">
      <c r="A26" s="40" t="s">
        <v>1376</v>
      </c>
      <c r="B26" s="40"/>
      <c r="C26" s="40"/>
      <c r="D26" s="40"/>
      <c r="E26" s="40"/>
      <c r="F26" s="40"/>
      <c r="G26" s="4471"/>
      <c r="O26" s="4472"/>
      <c r="T26" s="4473"/>
      <c r="AB26" s="4474"/>
      <c r="AG26" s="4475"/>
      <c r="AO26" s="4476"/>
      <c r="AT26" s="4477"/>
      <c r="BB26" s="4478"/>
      <c r="BG26" s="4479"/>
      <c r="BO26" s="4480"/>
      <c r="BT26" s="4481"/>
      <c r="CB26" s="4482"/>
    </row>
    <row r="27" spans="1:113" x14ac:dyDescent="0.25">
      <c r="A27" s="4483" t="s">
        <v>343</v>
      </c>
      <c r="B27">
        <v>0.83</v>
      </c>
      <c r="C27">
        <v>0.75</v>
      </c>
      <c r="D27">
        <v>1.1299999999999999</v>
      </c>
      <c r="G27" s="4484">
        <v>1</v>
      </c>
      <c r="H27">
        <v>2</v>
      </c>
      <c r="I27">
        <v>2</v>
      </c>
      <c r="J27">
        <v>0</v>
      </c>
      <c r="K27">
        <v>0</v>
      </c>
      <c r="L27">
        <v>0</v>
      </c>
      <c r="M27">
        <v>2</v>
      </c>
      <c r="N27">
        <v>1</v>
      </c>
      <c r="O27" s="4485">
        <v>1</v>
      </c>
      <c r="P27">
        <v>0</v>
      </c>
      <c r="Q27">
        <v>0</v>
      </c>
      <c r="R27">
        <v>0</v>
      </c>
      <c r="S27">
        <v>0</v>
      </c>
      <c r="T27" s="4486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2</v>
      </c>
      <c r="AA27">
        <v>0</v>
      </c>
      <c r="AB27" s="4487">
        <v>0</v>
      </c>
      <c r="AC27">
        <v>0</v>
      </c>
      <c r="AD27">
        <v>0</v>
      </c>
      <c r="AE27">
        <v>0</v>
      </c>
      <c r="AF27">
        <v>0</v>
      </c>
      <c r="AG27" s="4488">
        <v>1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3</v>
      </c>
      <c r="AN27">
        <v>1</v>
      </c>
      <c r="AO27" s="4489">
        <v>1</v>
      </c>
      <c r="AP27">
        <v>1</v>
      </c>
      <c r="AQ27">
        <v>0</v>
      </c>
      <c r="AR27">
        <v>0</v>
      </c>
      <c r="AS27">
        <v>0</v>
      </c>
      <c r="AT27" s="4490"/>
      <c r="BB27" s="4491"/>
      <c r="BG27" s="4492"/>
      <c r="BO27" s="4493"/>
      <c r="BT27" s="4494"/>
      <c r="CB27" s="4495"/>
    </row>
    <row r="28" spans="1:113" x14ac:dyDescent="0.25">
      <c r="A28" s="4496" t="s">
        <v>1034</v>
      </c>
      <c r="B28">
        <v>0.89</v>
      </c>
      <c r="C28">
        <v>0.43</v>
      </c>
      <c r="D28">
        <v>1.08</v>
      </c>
      <c r="G28" s="4497">
        <v>2</v>
      </c>
      <c r="H28">
        <v>2</v>
      </c>
      <c r="I28">
        <v>0</v>
      </c>
      <c r="J28">
        <v>0</v>
      </c>
      <c r="K28">
        <v>0</v>
      </c>
      <c r="L28">
        <v>0</v>
      </c>
      <c r="M28">
        <v>4</v>
      </c>
      <c r="N28">
        <v>1</v>
      </c>
      <c r="O28" s="4498">
        <v>1</v>
      </c>
      <c r="P28">
        <v>0</v>
      </c>
      <c r="Q28">
        <v>0</v>
      </c>
      <c r="R28">
        <v>0</v>
      </c>
      <c r="S28">
        <v>0</v>
      </c>
      <c r="T28" s="4499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</v>
      </c>
      <c r="AA28">
        <v>1</v>
      </c>
      <c r="AB28" s="4500">
        <v>0</v>
      </c>
      <c r="AC28">
        <v>0</v>
      </c>
      <c r="AD28">
        <v>0</v>
      </c>
      <c r="AE28">
        <v>0</v>
      </c>
      <c r="AF28">
        <v>0</v>
      </c>
      <c r="AG28" s="4501">
        <v>4</v>
      </c>
      <c r="AH28">
        <v>1</v>
      </c>
      <c r="AI28">
        <v>1</v>
      </c>
      <c r="AJ28">
        <v>1</v>
      </c>
      <c r="AK28">
        <v>0</v>
      </c>
      <c r="AL28">
        <v>0</v>
      </c>
      <c r="AM28">
        <v>5</v>
      </c>
      <c r="AN28">
        <v>1</v>
      </c>
      <c r="AO28" s="4502">
        <v>0</v>
      </c>
      <c r="AP28">
        <v>0</v>
      </c>
      <c r="AQ28">
        <v>0</v>
      </c>
      <c r="AR28">
        <v>0</v>
      </c>
      <c r="AS28">
        <v>0</v>
      </c>
      <c r="AT28" s="4503"/>
      <c r="BB28" s="4504"/>
      <c r="BG28" s="4505"/>
      <c r="BO28" s="4506"/>
      <c r="BT28" s="4507"/>
      <c r="CB28" s="4508"/>
    </row>
    <row r="29" spans="1:113" x14ac:dyDescent="0.25">
      <c r="A29" s="4509" t="s">
        <v>1383</v>
      </c>
      <c r="B29">
        <v>0.41</v>
      </c>
      <c r="C29">
        <v>0.43</v>
      </c>
      <c r="D29">
        <v>1.53</v>
      </c>
      <c r="G29" s="4510">
        <v>0</v>
      </c>
      <c r="H29">
        <v>2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511">
        <v>0</v>
      </c>
      <c r="P29">
        <v>0</v>
      </c>
      <c r="Q29">
        <v>0</v>
      </c>
      <c r="R29">
        <v>0</v>
      </c>
      <c r="S29">
        <v>0</v>
      </c>
      <c r="T29" s="4512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4513">
        <v>0</v>
      </c>
      <c r="AC29">
        <v>0</v>
      </c>
      <c r="AD29">
        <v>0</v>
      </c>
      <c r="AE29">
        <v>0</v>
      </c>
      <c r="AF29">
        <v>0</v>
      </c>
      <c r="AG29" s="4514">
        <v>0</v>
      </c>
      <c r="AH29">
        <v>1</v>
      </c>
      <c r="AI29">
        <v>2</v>
      </c>
      <c r="AJ29">
        <v>1</v>
      </c>
      <c r="AK29">
        <v>0</v>
      </c>
      <c r="AL29">
        <v>0</v>
      </c>
      <c r="AM29">
        <v>3</v>
      </c>
      <c r="AN29">
        <v>0</v>
      </c>
      <c r="AO29" s="4515">
        <v>3</v>
      </c>
      <c r="AP29">
        <v>0</v>
      </c>
      <c r="AQ29">
        <v>0</v>
      </c>
      <c r="AR29">
        <v>0</v>
      </c>
      <c r="AS29">
        <v>0</v>
      </c>
      <c r="AT29" s="4516"/>
      <c r="BB29" s="4517"/>
      <c r="BG29" s="4518"/>
      <c r="BO29" s="4519"/>
      <c r="BT29" s="4520"/>
      <c r="CB29" s="4521"/>
    </row>
    <row r="30" spans="1:113" x14ac:dyDescent="0.25">
      <c r="A30" s="4522" t="s">
        <v>1035</v>
      </c>
      <c r="B30">
        <v>0.67</v>
      </c>
      <c r="C30">
        <v>0.96</v>
      </c>
      <c r="D30">
        <v>0.81</v>
      </c>
      <c r="G30" s="4523">
        <v>3</v>
      </c>
      <c r="H30">
        <v>2</v>
      </c>
      <c r="I30">
        <v>0</v>
      </c>
      <c r="J30">
        <v>0</v>
      </c>
      <c r="K30">
        <v>0</v>
      </c>
      <c r="L30">
        <v>1</v>
      </c>
      <c r="M30">
        <v>0</v>
      </c>
      <c r="N30">
        <v>2</v>
      </c>
      <c r="O30" s="4524">
        <v>0</v>
      </c>
      <c r="P30">
        <v>0</v>
      </c>
      <c r="Q30">
        <v>0</v>
      </c>
      <c r="R30">
        <v>0</v>
      </c>
      <c r="S30">
        <v>0</v>
      </c>
      <c r="T30" s="4525">
        <v>0</v>
      </c>
      <c r="U30">
        <v>1</v>
      </c>
      <c r="V30">
        <v>1</v>
      </c>
      <c r="W30">
        <v>0</v>
      </c>
      <c r="X30">
        <v>0</v>
      </c>
      <c r="Y30">
        <v>0</v>
      </c>
      <c r="Z30">
        <v>5</v>
      </c>
      <c r="AA30">
        <v>1</v>
      </c>
      <c r="AB30" s="4526">
        <v>1</v>
      </c>
      <c r="AC30">
        <v>0</v>
      </c>
      <c r="AD30">
        <v>0</v>
      </c>
      <c r="AE30">
        <v>0</v>
      </c>
      <c r="AF30">
        <v>0</v>
      </c>
      <c r="AG30" s="4527">
        <v>0</v>
      </c>
      <c r="AH30">
        <v>3</v>
      </c>
      <c r="AI30">
        <v>0</v>
      </c>
      <c r="AJ30">
        <v>0</v>
      </c>
      <c r="AK30">
        <v>0</v>
      </c>
      <c r="AL30">
        <v>1</v>
      </c>
      <c r="AM30">
        <v>0</v>
      </c>
      <c r="AN30">
        <v>0</v>
      </c>
      <c r="AO30" s="4528">
        <v>0</v>
      </c>
      <c r="AP30">
        <v>0</v>
      </c>
      <c r="AQ30">
        <v>0</v>
      </c>
      <c r="AR30">
        <v>0</v>
      </c>
      <c r="AS30">
        <v>0</v>
      </c>
      <c r="AT30" s="4529"/>
      <c r="BB30" s="4530"/>
      <c r="BG30" s="4531"/>
      <c r="BO30" s="4532"/>
      <c r="BT30" s="4533"/>
      <c r="CB30" s="4534"/>
    </row>
    <row r="31" spans="1:113" x14ac:dyDescent="0.25">
      <c r="A31" s="4535" t="s">
        <v>347</v>
      </c>
      <c r="B31">
        <v>1.7</v>
      </c>
      <c r="C31">
        <v>0.18</v>
      </c>
      <c r="D31">
        <v>0.83</v>
      </c>
      <c r="G31" s="4536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 s="4537">
        <v>0</v>
      </c>
      <c r="P31">
        <v>0</v>
      </c>
      <c r="Q31">
        <v>0</v>
      </c>
      <c r="R31">
        <v>0</v>
      </c>
      <c r="S31">
        <v>0</v>
      </c>
      <c r="T31" s="4538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 s="4539">
        <v>0</v>
      </c>
      <c r="AC31">
        <v>0</v>
      </c>
      <c r="AD31">
        <v>0</v>
      </c>
      <c r="AE31">
        <v>0</v>
      </c>
      <c r="AF31">
        <v>0</v>
      </c>
      <c r="AG31" s="4540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 s="4541">
        <v>0</v>
      </c>
      <c r="AP31">
        <v>0</v>
      </c>
      <c r="AQ31">
        <v>0</v>
      </c>
      <c r="AR31">
        <v>0</v>
      </c>
      <c r="AS31">
        <v>0</v>
      </c>
      <c r="AT31" s="4542"/>
      <c r="BB31" s="4543"/>
      <c r="BG31" s="4544"/>
      <c r="BO31" s="4545"/>
      <c r="BT31" s="4546"/>
      <c r="CB31" s="4547"/>
    </row>
    <row r="32" spans="1:113" x14ac:dyDescent="0.25">
      <c r="A32" s="4548" t="s">
        <v>348</v>
      </c>
      <c r="B32">
        <v>0.84</v>
      </c>
      <c r="C32">
        <v>0.89</v>
      </c>
      <c r="D32">
        <v>0.6</v>
      </c>
      <c r="G32" s="4549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2</v>
      </c>
      <c r="N32">
        <v>1</v>
      </c>
      <c r="O32" s="4550">
        <v>0</v>
      </c>
      <c r="P32">
        <v>0</v>
      </c>
      <c r="Q32">
        <v>0</v>
      </c>
      <c r="R32">
        <v>0</v>
      </c>
      <c r="S32">
        <v>0</v>
      </c>
      <c r="T32" s="4551">
        <v>0</v>
      </c>
      <c r="U32">
        <v>1</v>
      </c>
      <c r="V32">
        <v>1</v>
      </c>
      <c r="W32">
        <v>0</v>
      </c>
      <c r="X32">
        <v>0</v>
      </c>
      <c r="Y32">
        <v>0</v>
      </c>
      <c r="Z32">
        <v>4</v>
      </c>
      <c r="AA32">
        <v>0</v>
      </c>
      <c r="AB32" s="4552">
        <v>1</v>
      </c>
      <c r="AC32">
        <v>1</v>
      </c>
      <c r="AD32">
        <v>0</v>
      </c>
      <c r="AE32">
        <v>0</v>
      </c>
      <c r="AF32">
        <v>0</v>
      </c>
      <c r="AG32" s="4553">
        <v>0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0</v>
      </c>
      <c r="AO32" s="4554">
        <v>0</v>
      </c>
      <c r="AP32">
        <v>0</v>
      </c>
      <c r="AQ32">
        <v>0</v>
      </c>
      <c r="AR32">
        <v>0</v>
      </c>
      <c r="AS32">
        <v>0</v>
      </c>
      <c r="AT32" s="4555"/>
      <c r="BB32" s="4556"/>
      <c r="BG32" s="4557"/>
      <c r="BO32" s="4558"/>
      <c r="BT32" s="4559"/>
      <c r="CB32" s="4560"/>
    </row>
    <row r="33" spans="1:113" x14ac:dyDescent="0.25">
      <c r="A33" s="4561" t="s">
        <v>1384</v>
      </c>
      <c r="B33">
        <v>0.53</v>
      </c>
      <c r="C33">
        <v>1.03</v>
      </c>
      <c r="D33">
        <v>0.96</v>
      </c>
      <c r="G33" s="4562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563">
        <v>0</v>
      </c>
      <c r="P33">
        <v>0</v>
      </c>
      <c r="Q33">
        <v>0</v>
      </c>
      <c r="R33">
        <v>0</v>
      </c>
      <c r="S33">
        <v>0</v>
      </c>
      <c r="T33" s="4564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7</v>
      </c>
      <c r="AA33">
        <v>1</v>
      </c>
      <c r="AB33" s="4565">
        <v>1</v>
      </c>
      <c r="AC33">
        <v>0</v>
      </c>
      <c r="AD33">
        <v>0</v>
      </c>
      <c r="AE33">
        <v>0</v>
      </c>
      <c r="AF33">
        <v>0</v>
      </c>
      <c r="AG33" s="4566">
        <v>1</v>
      </c>
      <c r="AH33">
        <v>2</v>
      </c>
      <c r="AI33">
        <v>1</v>
      </c>
      <c r="AJ33">
        <v>0</v>
      </c>
      <c r="AK33">
        <v>0</v>
      </c>
      <c r="AL33">
        <v>0</v>
      </c>
      <c r="AM33">
        <v>3</v>
      </c>
      <c r="AN33">
        <v>0</v>
      </c>
      <c r="AO33" s="4567">
        <v>1</v>
      </c>
      <c r="AP33">
        <v>1</v>
      </c>
      <c r="AQ33">
        <v>0</v>
      </c>
      <c r="AR33">
        <v>0</v>
      </c>
      <c r="AS33">
        <v>0</v>
      </c>
      <c r="AT33" s="4568"/>
      <c r="BB33" s="4569"/>
      <c r="BG33" s="4570"/>
      <c r="BO33" s="4571"/>
      <c r="BT33" s="4572"/>
      <c r="CB33" s="4573"/>
    </row>
    <row r="34" spans="1:113" x14ac:dyDescent="0.25">
      <c r="A34" s="4638" t="s">
        <v>350</v>
      </c>
      <c r="B34">
        <v>0.81</v>
      </c>
      <c r="C34">
        <v>0.87</v>
      </c>
      <c r="D34">
        <v>1.1299999999999999</v>
      </c>
      <c r="G34" s="4639">
        <v>0</v>
      </c>
      <c r="H34">
        <v>0</v>
      </c>
      <c r="I34">
        <v>1</v>
      </c>
      <c r="J34">
        <v>0</v>
      </c>
      <c r="K34">
        <v>0</v>
      </c>
      <c r="L34">
        <v>0</v>
      </c>
      <c r="M34">
        <v>1</v>
      </c>
      <c r="N34">
        <v>0</v>
      </c>
      <c r="O34" s="4640">
        <v>2</v>
      </c>
      <c r="P34">
        <v>0</v>
      </c>
      <c r="Q34">
        <v>0</v>
      </c>
      <c r="R34">
        <v>0</v>
      </c>
      <c r="S34">
        <v>0</v>
      </c>
      <c r="T34" s="4641">
        <v>1</v>
      </c>
      <c r="U34">
        <v>1</v>
      </c>
      <c r="V34">
        <v>0</v>
      </c>
      <c r="W34">
        <v>0</v>
      </c>
      <c r="X34">
        <v>0</v>
      </c>
      <c r="Y34">
        <v>0</v>
      </c>
      <c r="Z34">
        <v>3</v>
      </c>
      <c r="AA34">
        <v>0</v>
      </c>
      <c r="AB34" s="4642">
        <v>0</v>
      </c>
      <c r="AC34">
        <v>0</v>
      </c>
      <c r="AD34">
        <v>0</v>
      </c>
      <c r="AE34">
        <v>0</v>
      </c>
      <c r="AF34">
        <v>0</v>
      </c>
      <c r="AG34" s="4643">
        <v>1</v>
      </c>
      <c r="AH34">
        <v>1</v>
      </c>
      <c r="AI34">
        <v>2</v>
      </c>
      <c r="AJ34">
        <v>0</v>
      </c>
      <c r="AK34">
        <v>0</v>
      </c>
      <c r="AL34">
        <v>1</v>
      </c>
      <c r="AM34">
        <v>4</v>
      </c>
      <c r="AN34">
        <v>0</v>
      </c>
      <c r="AO34" s="4644">
        <v>0</v>
      </c>
      <c r="AP34">
        <v>1</v>
      </c>
      <c r="AQ34">
        <v>0</v>
      </c>
      <c r="AR34">
        <v>0</v>
      </c>
      <c r="AS34">
        <v>0</v>
      </c>
      <c r="AT34" s="4645"/>
      <c r="BB34" s="4646"/>
      <c r="BG34" s="4647"/>
      <c r="BO34" s="4648"/>
      <c r="BT34" s="4649"/>
      <c r="CB34" s="4650"/>
    </row>
    <row r="35" spans="1:113" x14ac:dyDescent="0.25">
      <c r="A35" s="40" t="s">
        <v>1386</v>
      </c>
      <c r="B35" s="40"/>
      <c r="C35" s="40"/>
      <c r="D35" s="40"/>
      <c r="E35" s="40"/>
      <c r="F35" s="40"/>
      <c r="G35" s="4654"/>
      <c r="O35" s="4655"/>
      <c r="T35" s="4656"/>
      <c r="AB35" s="4657"/>
      <c r="AG35" s="4658"/>
      <c r="AO35" s="4659"/>
      <c r="AT35" s="4660"/>
      <c r="BB35" s="4661"/>
      <c r="BG35" s="4662"/>
      <c r="BO35" s="4663"/>
      <c r="BT35" s="4664"/>
      <c r="CB35" s="4665"/>
    </row>
    <row r="36" spans="1:113" x14ac:dyDescent="0.25">
      <c r="A36" s="4666" t="s">
        <v>1387</v>
      </c>
      <c r="B36">
        <v>1.1000000000000001</v>
      </c>
      <c r="C36">
        <v>0.41</v>
      </c>
      <c r="D36">
        <v>0.65</v>
      </c>
      <c r="G36" s="4667">
        <v>0</v>
      </c>
      <c r="H36">
        <v>1</v>
      </c>
      <c r="I36">
        <v>1</v>
      </c>
      <c r="J36">
        <v>1</v>
      </c>
      <c r="K36">
        <v>0</v>
      </c>
      <c r="L36">
        <v>0</v>
      </c>
      <c r="M36">
        <v>2</v>
      </c>
      <c r="N36">
        <v>2</v>
      </c>
      <c r="O36" s="4668">
        <v>0</v>
      </c>
      <c r="P36">
        <v>0</v>
      </c>
      <c r="Q36">
        <v>0</v>
      </c>
      <c r="R36">
        <v>0</v>
      </c>
      <c r="S36">
        <v>0</v>
      </c>
      <c r="T36" s="4669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 s="4670">
        <v>0</v>
      </c>
      <c r="AC36">
        <v>0</v>
      </c>
      <c r="AD36">
        <v>0</v>
      </c>
      <c r="AE36">
        <v>0</v>
      </c>
      <c r="AF36">
        <v>0</v>
      </c>
      <c r="AG36" s="4671">
        <v>1</v>
      </c>
      <c r="AH36">
        <v>0</v>
      </c>
      <c r="AI36">
        <v>0</v>
      </c>
      <c r="AJ36">
        <v>1</v>
      </c>
      <c r="AK36">
        <v>0</v>
      </c>
      <c r="AL36">
        <v>0</v>
      </c>
      <c r="AM36">
        <v>3</v>
      </c>
      <c r="AN36">
        <v>1</v>
      </c>
      <c r="AO36" s="4672">
        <v>0</v>
      </c>
      <c r="AP36">
        <v>0</v>
      </c>
      <c r="AQ36">
        <v>0</v>
      </c>
      <c r="AR36">
        <v>0</v>
      </c>
      <c r="AS36">
        <v>0</v>
      </c>
      <c r="AT36" s="4673"/>
      <c r="BB36" s="4674"/>
      <c r="BG36" s="4675"/>
      <c r="BO36" s="4676"/>
      <c r="BT36" s="4677"/>
      <c r="CB36" s="4678"/>
    </row>
    <row r="37" spans="1:113" x14ac:dyDescent="0.25">
      <c r="A37" s="4679" t="s">
        <v>1388</v>
      </c>
      <c r="B37">
        <v>1.39</v>
      </c>
      <c r="C37">
        <v>1.49</v>
      </c>
      <c r="D37">
        <v>1.42</v>
      </c>
      <c r="G37" s="4680">
        <v>1</v>
      </c>
      <c r="H37">
        <v>5</v>
      </c>
      <c r="I37">
        <v>3</v>
      </c>
      <c r="J37">
        <v>0</v>
      </c>
      <c r="K37">
        <v>0</v>
      </c>
      <c r="L37">
        <v>0</v>
      </c>
      <c r="M37">
        <v>4</v>
      </c>
      <c r="N37">
        <v>2</v>
      </c>
      <c r="O37" s="4681">
        <v>1</v>
      </c>
      <c r="P37">
        <v>0</v>
      </c>
      <c r="Q37">
        <v>0</v>
      </c>
      <c r="R37">
        <v>0</v>
      </c>
      <c r="S37">
        <v>0</v>
      </c>
      <c r="T37" s="4682">
        <v>0</v>
      </c>
      <c r="U37">
        <v>3</v>
      </c>
      <c r="V37">
        <v>2</v>
      </c>
      <c r="W37">
        <v>0</v>
      </c>
      <c r="X37">
        <v>0</v>
      </c>
      <c r="Y37">
        <v>0</v>
      </c>
      <c r="Z37">
        <v>1</v>
      </c>
      <c r="AA37">
        <v>4</v>
      </c>
      <c r="AB37" s="4683">
        <v>1</v>
      </c>
      <c r="AC37">
        <v>0</v>
      </c>
      <c r="AD37">
        <v>1</v>
      </c>
      <c r="AE37">
        <v>0</v>
      </c>
      <c r="AF37">
        <v>0</v>
      </c>
      <c r="AG37" s="4684">
        <v>2</v>
      </c>
      <c r="AH37">
        <v>6</v>
      </c>
      <c r="AI37">
        <v>1</v>
      </c>
      <c r="AJ37">
        <v>0</v>
      </c>
      <c r="AK37">
        <v>1</v>
      </c>
      <c r="AL37">
        <v>0</v>
      </c>
      <c r="AM37">
        <v>3</v>
      </c>
      <c r="AN37">
        <v>0</v>
      </c>
      <c r="AO37" s="4685">
        <v>1</v>
      </c>
      <c r="AP37">
        <v>0</v>
      </c>
      <c r="AQ37">
        <v>0</v>
      </c>
      <c r="AR37">
        <v>0</v>
      </c>
      <c r="AS37">
        <v>0</v>
      </c>
      <c r="AT37" s="4686"/>
      <c r="BB37" s="4687"/>
      <c r="BG37" s="4688"/>
      <c r="BO37" s="4689"/>
      <c r="BT37" s="4690"/>
      <c r="CB37" s="4691"/>
    </row>
    <row r="38" spans="1:113" x14ac:dyDescent="0.25">
      <c r="A38" s="4692" t="s">
        <v>1390</v>
      </c>
      <c r="B38">
        <v>0.88</v>
      </c>
      <c r="C38">
        <v>0.84</v>
      </c>
      <c r="D38">
        <v>1.26</v>
      </c>
      <c r="G38" s="4693">
        <v>0</v>
      </c>
      <c r="H38">
        <v>1</v>
      </c>
      <c r="I38">
        <v>0</v>
      </c>
      <c r="J38">
        <v>0</v>
      </c>
      <c r="K38">
        <v>0</v>
      </c>
      <c r="L38">
        <v>0</v>
      </c>
      <c r="M38">
        <v>2</v>
      </c>
      <c r="N38">
        <v>0</v>
      </c>
      <c r="O38" s="4694">
        <v>0</v>
      </c>
      <c r="P38">
        <v>1</v>
      </c>
      <c r="Q38">
        <v>1</v>
      </c>
      <c r="R38">
        <v>0</v>
      </c>
      <c r="S38">
        <v>0</v>
      </c>
      <c r="T38" s="4695">
        <v>0</v>
      </c>
      <c r="U38">
        <v>0</v>
      </c>
      <c r="V38">
        <v>2</v>
      </c>
      <c r="W38">
        <v>0</v>
      </c>
      <c r="X38">
        <v>0</v>
      </c>
      <c r="Y38">
        <v>0</v>
      </c>
      <c r="Z38">
        <v>3</v>
      </c>
      <c r="AA38">
        <v>0</v>
      </c>
      <c r="AB38" s="4696">
        <v>0</v>
      </c>
      <c r="AC38">
        <v>0</v>
      </c>
      <c r="AD38">
        <v>0</v>
      </c>
      <c r="AE38">
        <v>0</v>
      </c>
      <c r="AF38">
        <v>0</v>
      </c>
      <c r="AG38" s="4697">
        <v>1</v>
      </c>
      <c r="AH38">
        <v>0</v>
      </c>
      <c r="AI38">
        <v>1</v>
      </c>
      <c r="AJ38">
        <v>0</v>
      </c>
      <c r="AK38">
        <v>0</v>
      </c>
      <c r="AL38">
        <v>1</v>
      </c>
      <c r="AM38">
        <v>7</v>
      </c>
      <c r="AN38">
        <v>0</v>
      </c>
      <c r="AO38" s="4698">
        <v>2</v>
      </c>
      <c r="AP38">
        <v>0</v>
      </c>
      <c r="AQ38">
        <v>0</v>
      </c>
      <c r="AR38">
        <v>0</v>
      </c>
      <c r="AS38">
        <v>0</v>
      </c>
      <c r="AT38" s="4699"/>
      <c r="BB38" s="4700"/>
      <c r="BG38" s="4701"/>
      <c r="BO38" s="4702"/>
      <c r="BT38" s="4703"/>
      <c r="CB38" s="4704"/>
    </row>
    <row r="39" spans="1:113" x14ac:dyDescent="0.25">
      <c r="A39" s="4705" t="s">
        <v>1392</v>
      </c>
      <c r="B39">
        <v>0.66</v>
      </c>
      <c r="C39">
        <v>0.43</v>
      </c>
      <c r="D39">
        <v>0.45</v>
      </c>
      <c r="G39" s="4706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1</v>
      </c>
      <c r="N39">
        <v>1</v>
      </c>
      <c r="O39" s="4707">
        <v>0</v>
      </c>
      <c r="P39">
        <v>0</v>
      </c>
      <c r="Q39">
        <v>0</v>
      </c>
      <c r="R39">
        <v>0</v>
      </c>
      <c r="S39">
        <v>0</v>
      </c>
      <c r="T39" s="4708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 s="4709">
        <v>0</v>
      </c>
      <c r="AC39">
        <v>0</v>
      </c>
      <c r="AD39">
        <v>0</v>
      </c>
      <c r="AE39">
        <v>0</v>
      </c>
      <c r="AF39">
        <v>0</v>
      </c>
      <c r="AG39" s="4710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2</v>
      </c>
      <c r="AN39">
        <v>0</v>
      </c>
      <c r="AO39" s="4711">
        <v>1</v>
      </c>
      <c r="AP39">
        <v>0</v>
      </c>
      <c r="AQ39">
        <v>0</v>
      </c>
      <c r="AR39">
        <v>0</v>
      </c>
      <c r="AS39">
        <v>0</v>
      </c>
      <c r="AT39" s="4712"/>
      <c r="BB39" s="4713"/>
      <c r="BG39" s="4714"/>
      <c r="BO39" s="4715"/>
      <c r="BT39" s="4716"/>
      <c r="CB39" s="4717"/>
    </row>
    <row r="40" spans="1:113" x14ac:dyDescent="0.25">
      <c r="A40" s="44" t="s">
        <v>1403</v>
      </c>
      <c r="B40" s="44"/>
      <c r="C40" s="44"/>
      <c r="D40" s="44"/>
      <c r="E40" s="44"/>
      <c r="F40" s="44"/>
      <c r="G40" s="4811"/>
      <c r="O40" s="4812"/>
      <c r="T40" s="4813"/>
      <c r="AB40" s="4814"/>
      <c r="AG40" s="4815"/>
      <c r="AO40" s="4816"/>
      <c r="AT40" s="4817"/>
      <c r="BB40" s="4818"/>
      <c r="BG40" s="4819"/>
      <c r="BO40" s="4820"/>
      <c r="BT40" s="4821"/>
      <c r="CB40" s="4822"/>
    </row>
    <row r="41" spans="1:113" x14ac:dyDescent="0.25">
      <c r="A41" s="4823" t="s">
        <v>1404</v>
      </c>
      <c r="B41">
        <v>1.23</v>
      </c>
      <c r="C41">
        <v>1.29</v>
      </c>
      <c r="D41">
        <v>1.03</v>
      </c>
      <c r="G41" s="4824">
        <v>0</v>
      </c>
      <c r="H41">
        <v>2</v>
      </c>
      <c r="I41">
        <v>1</v>
      </c>
      <c r="J41">
        <v>0</v>
      </c>
      <c r="K41">
        <v>0</v>
      </c>
      <c r="L41">
        <v>0</v>
      </c>
      <c r="M41">
        <v>3</v>
      </c>
      <c r="N41">
        <v>1</v>
      </c>
      <c r="O41" s="4825">
        <v>0</v>
      </c>
      <c r="P41">
        <v>0</v>
      </c>
      <c r="Q41">
        <v>0</v>
      </c>
      <c r="R41">
        <v>0</v>
      </c>
      <c r="S41">
        <v>0</v>
      </c>
      <c r="T41" s="4826">
        <v>1</v>
      </c>
      <c r="U41">
        <v>2</v>
      </c>
      <c r="V41">
        <v>1</v>
      </c>
      <c r="W41">
        <v>0</v>
      </c>
      <c r="X41">
        <v>0</v>
      </c>
      <c r="Y41">
        <v>0</v>
      </c>
      <c r="Z41">
        <v>2</v>
      </c>
      <c r="AA41">
        <v>0</v>
      </c>
      <c r="AB41" s="4827">
        <v>1</v>
      </c>
      <c r="AC41">
        <v>0</v>
      </c>
      <c r="AD41">
        <v>0</v>
      </c>
      <c r="AE41">
        <v>0</v>
      </c>
      <c r="AF41">
        <v>0</v>
      </c>
      <c r="AG41" s="4828">
        <v>1</v>
      </c>
      <c r="AH41">
        <v>4</v>
      </c>
      <c r="AI41">
        <v>0</v>
      </c>
      <c r="AJ41">
        <v>0</v>
      </c>
      <c r="AK41">
        <v>0</v>
      </c>
      <c r="AL41">
        <v>0</v>
      </c>
      <c r="AM41">
        <v>2</v>
      </c>
      <c r="AN41">
        <v>1</v>
      </c>
      <c r="AO41" s="4829">
        <v>1</v>
      </c>
      <c r="AP41">
        <v>0</v>
      </c>
      <c r="AQ41">
        <v>0</v>
      </c>
      <c r="AR41">
        <v>0</v>
      </c>
      <c r="AS41">
        <v>0</v>
      </c>
      <c r="AT41" s="4830"/>
      <c r="BB41" s="4831"/>
      <c r="BG41" s="4832"/>
      <c r="BO41" s="4833"/>
      <c r="BT41" s="4834"/>
      <c r="CB41" s="4835"/>
    </row>
    <row r="42" spans="1:113" x14ac:dyDescent="0.25">
      <c r="A42" s="40" t="s">
        <v>1398</v>
      </c>
      <c r="B42" s="40"/>
      <c r="C42" s="40"/>
      <c r="D42" s="40"/>
      <c r="E42" s="40"/>
      <c r="F42" s="40"/>
      <c r="G42" s="4836"/>
      <c r="O42" s="4837"/>
      <c r="T42" s="4838"/>
      <c r="AB42" s="4839"/>
      <c r="AG42" s="4840"/>
      <c r="AO42" s="4841"/>
      <c r="AT42" s="4842"/>
      <c r="BB42" s="4843"/>
      <c r="BG42" s="4844"/>
      <c r="BO42" s="4845"/>
      <c r="BT42" s="4846"/>
      <c r="CB42" s="4847"/>
    </row>
    <row r="43" spans="1:113" x14ac:dyDescent="0.25">
      <c r="A43" s="4848" t="s">
        <v>356</v>
      </c>
      <c r="B43">
        <v>0.59</v>
      </c>
      <c r="C43">
        <v>1.01</v>
      </c>
      <c r="G43" s="4849">
        <v>0</v>
      </c>
      <c r="H43">
        <v>0</v>
      </c>
      <c r="I43">
        <v>1</v>
      </c>
      <c r="J43">
        <v>0</v>
      </c>
      <c r="K43">
        <v>0</v>
      </c>
      <c r="L43">
        <v>0</v>
      </c>
      <c r="M43">
        <v>1</v>
      </c>
      <c r="N43">
        <v>1</v>
      </c>
      <c r="O43" s="4850">
        <v>0</v>
      </c>
      <c r="P43">
        <v>0</v>
      </c>
      <c r="Q43">
        <v>0</v>
      </c>
      <c r="R43">
        <v>0</v>
      </c>
      <c r="S43">
        <v>0</v>
      </c>
      <c r="T43" s="4851">
        <v>0</v>
      </c>
      <c r="U43">
        <v>1</v>
      </c>
      <c r="V43">
        <v>0</v>
      </c>
      <c r="W43">
        <v>0</v>
      </c>
      <c r="X43">
        <v>0</v>
      </c>
      <c r="Y43">
        <v>0</v>
      </c>
      <c r="Z43">
        <v>3</v>
      </c>
      <c r="AA43">
        <v>1</v>
      </c>
      <c r="AB43" s="4852">
        <v>1</v>
      </c>
      <c r="AC43">
        <v>0</v>
      </c>
      <c r="AD43">
        <v>0</v>
      </c>
      <c r="AE43">
        <v>0</v>
      </c>
      <c r="AF43">
        <v>0</v>
      </c>
      <c r="AG43" s="4853"/>
      <c r="AO43" s="4854"/>
      <c r="AT43" s="4855"/>
      <c r="BB43" s="4856"/>
      <c r="BG43" s="4857"/>
      <c r="BO43" s="4858"/>
      <c r="BT43" s="4859"/>
      <c r="CB43" s="4860"/>
    </row>
    <row r="44" spans="1:113" x14ac:dyDescent="0.25">
      <c r="A44" s="4861" t="s">
        <v>737</v>
      </c>
      <c r="B44">
        <v>0.88</v>
      </c>
      <c r="C44">
        <v>1.1299999999999999</v>
      </c>
      <c r="G44" s="4862">
        <v>1</v>
      </c>
      <c r="H44">
        <v>0</v>
      </c>
      <c r="I44">
        <v>2</v>
      </c>
      <c r="J44">
        <v>0</v>
      </c>
      <c r="K44">
        <v>0</v>
      </c>
      <c r="L44">
        <v>0</v>
      </c>
      <c r="M44">
        <v>1</v>
      </c>
      <c r="N44">
        <v>0</v>
      </c>
      <c r="O44" s="4863">
        <v>0</v>
      </c>
      <c r="P44">
        <v>0</v>
      </c>
      <c r="Q44">
        <v>0</v>
      </c>
      <c r="R44">
        <v>0</v>
      </c>
      <c r="S44">
        <v>0</v>
      </c>
      <c r="T44" s="4864">
        <v>2</v>
      </c>
      <c r="U44">
        <v>0</v>
      </c>
      <c r="V44">
        <v>2</v>
      </c>
      <c r="W44">
        <v>0</v>
      </c>
      <c r="X44">
        <v>0</v>
      </c>
      <c r="Y44">
        <v>0</v>
      </c>
      <c r="Z44">
        <v>9</v>
      </c>
      <c r="AA44">
        <v>3</v>
      </c>
      <c r="AB44" s="4865">
        <v>0</v>
      </c>
      <c r="AC44">
        <v>0</v>
      </c>
      <c r="AD44">
        <v>0</v>
      </c>
      <c r="AE44">
        <v>0</v>
      </c>
      <c r="AF44">
        <v>0</v>
      </c>
      <c r="AG44" s="4866"/>
      <c r="AO44" s="4867"/>
      <c r="AT44" s="4868"/>
      <c r="BB44" s="4869"/>
      <c r="BG44" s="4870"/>
      <c r="BO44" s="4871"/>
      <c r="BT44" s="4872"/>
      <c r="CB44" s="4873"/>
    </row>
    <row r="45" spans="1:113" x14ac:dyDescent="0.25">
      <c r="A45" s="4874" t="s">
        <v>738</v>
      </c>
      <c r="B45">
        <v>1.33</v>
      </c>
      <c r="C45">
        <v>1.1599999999999999</v>
      </c>
      <c r="G45" s="4875">
        <v>1</v>
      </c>
      <c r="H45">
        <v>2</v>
      </c>
      <c r="I45">
        <v>2</v>
      </c>
      <c r="J45">
        <v>0</v>
      </c>
      <c r="K45">
        <v>0</v>
      </c>
      <c r="L45">
        <v>0</v>
      </c>
      <c r="M45">
        <v>4</v>
      </c>
      <c r="N45">
        <v>0</v>
      </c>
      <c r="O45" s="4876">
        <v>1</v>
      </c>
      <c r="P45">
        <v>0</v>
      </c>
      <c r="Q45">
        <v>0</v>
      </c>
      <c r="R45">
        <v>0</v>
      </c>
      <c r="S45">
        <v>0</v>
      </c>
      <c r="T45" s="4877">
        <v>1</v>
      </c>
      <c r="U45">
        <v>0</v>
      </c>
      <c r="V45">
        <v>1</v>
      </c>
      <c r="W45">
        <v>0</v>
      </c>
      <c r="X45">
        <v>0</v>
      </c>
      <c r="Y45">
        <v>3</v>
      </c>
      <c r="Z45">
        <v>5</v>
      </c>
      <c r="AA45">
        <v>1</v>
      </c>
      <c r="AB45" s="4878">
        <v>1</v>
      </c>
      <c r="AC45">
        <v>0</v>
      </c>
      <c r="AD45">
        <v>0</v>
      </c>
      <c r="AE45">
        <v>0</v>
      </c>
      <c r="AF45">
        <v>0</v>
      </c>
      <c r="AG45" s="4879"/>
      <c r="AO45" s="4880"/>
      <c r="AT45" s="4881"/>
      <c r="BB45" s="4882"/>
      <c r="BG45" s="4883"/>
      <c r="BO45" s="4884"/>
      <c r="BT45" s="4885"/>
      <c r="CB45" s="4886"/>
    </row>
    <row r="46" spans="1:113" x14ac:dyDescent="0.25">
      <c r="A46" s="4887" t="s">
        <v>1406</v>
      </c>
      <c r="B46">
        <v>0.89</v>
      </c>
      <c r="C46">
        <v>0.97</v>
      </c>
      <c r="G46" s="4888">
        <v>1</v>
      </c>
      <c r="H46">
        <v>0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O46" s="4889">
        <v>0</v>
      </c>
      <c r="P46">
        <v>0</v>
      </c>
      <c r="Q46">
        <v>0</v>
      </c>
      <c r="R46">
        <v>0</v>
      </c>
      <c r="S46">
        <v>0</v>
      </c>
      <c r="T46" s="4890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6</v>
      </c>
      <c r="AA46">
        <v>0</v>
      </c>
      <c r="AB46" s="4891">
        <v>1</v>
      </c>
      <c r="AC46">
        <v>0</v>
      </c>
      <c r="AD46">
        <v>0</v>
      </c>
      <c r="AE46">
        <v>0</v>
      </c>
      <c r="AF46">
        <v>0</v>
      </c>
      <c r="AG46" s="4892"/>
      <c r="AO46" s="4893"/>
      <c r="AT46" s="4894"/>
      <c r="BB46" s="4895"/>
      <c r="BG46" s="4896"/>
      <c r="BO46" s="4897"/>
      <c r="BT46" s="4898"/>
      <c r="CB46" s="4899"/>
    </row>
    <row r="47" spans="1:113" x14ac:dyDescent="0.25">
      <c r="A47" s="4900" t="s">
        <v>1407</v>
      </c>
      <c r="B47">
        <v>1.54</v>
      </c>
      <c r="C47">
        <v>1.29</v>
      </c>
      <c r="G47" s="4901">
        <v>0</v>
      </c>
      <c r="H47">
        <v>3</v>
      </c>
      <c r="I47">
        <v>1</v>
      </c>
      <c r="J47">
        <v>1</v>
      </c>
      <c r="K47">
        <v>0</v>
      </c>
      <c r="L47">
        <v>1</v>
      </c>
      <c r="M47">
        <v>3</v>
      </c>
      <c r="N47">
        <v>1</v>
      </c>
      <c r="O47" s="4902">
        <v>0</v>
      </c>
      <c r="P47">
        <v>0</v>
      </c>
      <c r="Q47">
        <v>0</v>
      </c>
      <c r="R47">
        <v>0</v>
      </c>
      <c r="S47">
        <v>0</v>
      </c>
      <c r="T47" s="4903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6</v>
      </c>
      <c r="AA47">
        <v>0</v>
      </c>
      <c r="AB47" s="4904">
        <v>0</v>
      </c>
      <c r="AC47">
        <v>1</v>
      </c>
      <c r="AD47">
        <v>0</v>
      </c>
      <c r="AE47">
        <v>0</v>
      </c>
      <c r="AF47">
        <v>0</v>
      </c>
      <c r="AG47" s="4905"/>
      <c r="AO47" s="4906"/>
      <c r="AT47" s="4907"/>
      <c r="BB47" s="4908"/>
      <c r="BG47" s="4909"/>
      <c r="BO47" s="4910"/>
      <c r="BT47" s="4911"/>
      <c r="CB47" s="4912"/>
    </row>
    <row r="48" spans="1:113" x14ac:dyDescent="0.25">
      <c r="B48" s="4070">
        <f>AVERAGE(B3:B47)</f>
        <v>1.0954054054054054</v>
      </c>
      <c r="C48" s="4470">
        <f t="shared" ref="C48:AG48" si="11">AVERAGE(C3:C47)</f>
        <v>1.0505555555555555</v>
      </c>
      <c r="D48" s="4470">
        <f t="shared" si="11"/>
        <v>1.0285714285714287</v>
      </c>
      <c r="E48" s="4470">
        <f t="shared" si="11"/>
        <v>1.19</v>
      </c>
      <c r="F48" s="4470">
        <f t="shared" si="11"/>
        <v>0.73</v>
      </c>
      <c r="G48" s="4150">
        <f>AVERAGE(G3:G47)</f>
        <v>0.78378378378378377</v>
      </c>
      <c r="H48" s="4150">
        <f t="shared" si="11"/>
        <v>1.6216216216216217</v>
      </c>
      <c r="I48" s="4150">
        <f t="shared" si="11"/>
        <v>0.83783783783783783</v>
      </c>
      <c r="J48" s="4150">
        <f t="shared" si="11"/>
        <v>0.1891891891891892</v>
      </c>
      <c r="K48" s="4150">
        <f t="shared" si="11"/>
        <v>0</v>
      </c>
      <c r="L48" s="4150">
        <f t="shared" si="11"/>
        <v>0.1891891891891892</v>
      </c>
      <c r="M48" s="4150">
        <f t="shared" si="11"/>
        <v>2.0270270270270272</v>
      </c>
      <c r="N48" s="4150">
        <f t="shared" si="11"/>
        <v>0.64864864864864868</v>
      </c>
      <c r="O48" s="4150">
        <f t="shared" si="11"/>
        <v>0.21621621621621623</v>
      </c>
      <c r="P48" s="4150">
        <f t="shared" si="11"/>
        <v>5.4054054054054057E-2</v>
      </c>
      <c r="Q48" s="4150">
        <f t="shared" si="11"/>
        <v>2.7027027027027029E-2</v>
      </c>
      <c r="R48" s="4150">
        <f t="shared" si="11"/>
        <v>0</v>
      </c>
      <c r="S48" s="4150">
        <f t="shared" si="11"/>
        <v>0</v>
      </c>
      <c r="T48" s="4150">
        <f t="shared" si="11"/>
        <v>0.44444444444444442</v>
      </c>
      <c r="U48" s="4150">
        <f t="shared" si="11"/>
        <v>0.63888888888888884</v>
      </c>
      <c r="V48" s="4150">
        <f t="shared" si="11"/>
        <v>0.58333333333333337</v>
      </c>
      <c r="W48" s="4150">
        <f t="shared" si="11"/>
        <v>0.19444444444444445</v>
      </c>
      <c r="X48" s="4150">
        <f t="shared" si="11"/>
        <v>0</v>
      </c>
      <c r="Y48" s="4150">
        <f t="shared" si="11"/>
        <v>8.3333333333333329E-2</v>
      </c>
      <c r="Z48" s="4150">
        <f t="shared" si="11"/>
        <v>3.3055555555555554</v>
      </c>
      <c r="AA48" s="4150">
        <f t="shared" si="11"/>
        <v>0.52777777777777779</v>
      </c>
      <c r="AB48" s="4150">
        <f t="shared" si="11"/>
        <v>0.3611111111111111</v>
      </c>
      <c r="AC48" s="4150">
        <f t="shared" si="11"/>
        <v>8.3333333333333329E-2</v>
      </c>
      <c r="AD48" s="4150">
        <f t="shared" si="11"/>
        <v>5.5555555555555552E-2</v>
      </c>
      <c r="AE48" s="4150">
        <f t="shared" si="11"/>
        <v>0</v>
      </c>
      <c r="AF48" s="4150">
        <f t="shared" si="11"/>
        <v>0</v>
      </c>
      <c r="AG48" s="4150">
        <f t="shared" si="11"/>
        <v>0.8571428571428571</v>
      </c>
      <c r="AH48" s="4150">
        <f t="shared" ref="AH48:BM48" si="12">AVERAGE(AH3:AH47)</f>
        <v>1.8571428571428572</v>
      </c>
      <c r="AI48" s="4150">
        <f t="shared" si="12"/>
        <v>0.95238095238095233</v>
      </c>
      <c r="AJ48" s="4150">
        <f t="shared" si="12"/>
        <v>0.14285714285714285</v>
      </c>
      <c r="AK48" s="4150">
        <f t="shared" si="12"/>
        <v>4.7619047619047616E-2</v>
      </c>
      <c r="AL48" s="4150">
        <f t="shared" si="12"/>
        <v>0.42857142857142855</v>
      </c>
      <c r="AM48" s="4150">
        <f t="shared" si="12"/>
        <v>2.5238095238095237</v>
      </c>
      <c r="AN48" s="4150">
        <f t="shared" si="12"/>
        <v>0.23809523809523808</v>
      </c>
      <c r="AO48" s="4150">
        <f t="shared" si="12"/>
        <v>0.47619047619047616</v>
      </c>
      <c r="AP48" s="4150">
        <f t="shared" si="12"/>
        <v>0.19047619047619047</v>
      </c>
      <c r="AQ48" s="4150">
        <f t="shared" si="12"/>
        <v>4.7619047619047616E-2</v>
      </c>
      <c r="AR48" s="4150">
        <f t="shared" si="12"/>
        <v>0</v>
      </c>
      <c r="AS48" s="4150">
        <f t="shared" si="12"/>
        <v>0</v>
      </c>
      <c r="AT48" s="4150">
        <f t="shared" si="12"/>
        <v>0</v>
      </c>
      <c r="AU48" s="4150">
        <f t="shared" si="12"/>
        <v>1</v>
      </c>
      <c r="AV48" s="4150">
        <f t="shared" si="12"/>
        <v>1</v>
      </c>
      <c r="AW48" s="4150">
        <f t="shared" si="12"/>
        <v>1</v>
      </c>
      <c r="AX48" s="4150">
        <f t="shared" si="12"/>
        <v>0</v>
      </c>
      <c r="AY48" s="4150">
        <f t="shared" si="12"/>
        <v>0</v>
      </c>
      <c r="AZ48" s="4150">
        <f t="shared" si="12"/>
        <v>3</v>
      </c>
      <c r="BA48" s="4150">
        <f t="shared" si="12"/>
        <v>2</v>
      </c>
      <c r="BB48" s="4150">
        <f t="shared" si="12"/>
        <v>0</v>
      </c>
      <c r="BC48" s="4150">
        <f t="shared" si="12"/>
        <v>0</v>
      </c>
      <c r="BD48" s="4150">
        <f t="shared" si="12"/>
        <v>0</v>
      </c>
      <c r="BE48" s="4150">
        <f t="shared" si="12"/>
        <v>0</v>
      </c>
      <c r="BF48" s="4150">
        <f t="shared" si="12"/>
        <v>0</v>
      </c>
      <c r="BG48" s="4150">
        <f t="shared" si="12"/>
        <v>2</v>
      </c>
      <c r="BH48" s="4150">
        <f t="shared" si="12"/>
        <v>3</v>
      </c>
      <c r="BI48" s="4150">
        <f t="shared" si="12"/>
        <v>0</v>
      </c>
      <c r="BJ48" s="4150">
        <f t="shared" si="12"/>
        <v>0</v>
      </c>
      <c r="BK48" s="4150">
        <f t="shared" si="12"/>
        <v>0</v>
      </c>
      <c r="BL48" s="4150">
        <f t="shared" si="12"/>
        <v>0</v>
      </c>
      <c r="BM48" s="4150">
        <f t="shared" si="12"/>
        <v>3</v>
      </c>
      <c r="BN48" s="4150">
        <f t="shared" ref="BN48:BS48" si="13">AVERAGE(BN3:BN47)</f>
        <v>0</v>
      </c>
      <c r="BO48" s="4150">
        <f t="shared" si="13"/>
        <v>0</v>
      </c>
      <c r="BP48" s="4150">
        <f t="shared" si="13"/>
        <v>0</v>
      </c>
      <c r="BQ48" s="4150">
        <f t="shared" si="13"/>
        <v>0</v>
      </c>
      <c r="BR48" s="4150">
        <f t="shared" si="13"/>
        <v>0</v>
      </c>
      <c r="BS48" s="4150">
        <f t="shared" si="13"/>
        <v>0</v>
      </c>
      <c r="CK48" s="4150"/>
      <c r="CL48" s="4150"/>
      <c r="CM48" s="4150"/>
      <c r="CN48" s="4150"/>
      <c r="CO48" s="4150"/>
      <c r="CP48" s="4150"/>
      <c r="CQ48" s="4150"/>
      <c r="CR48" s="4150"/>
      <c r="CS48" s="4150"/>
      <c r="CT48" s="4150"/>
      <c r="CU48" s="4150"/>
      <c r="CV48" s="4150"/>
      <c r="CW48" s="4150"/>
      <c r="CX48" s="4150"/>
      <c r="CY48" s="4150"/>
      <c r="CZ48" s="4150"/>
      <c r="DA48" s="4150"/>
      <c r="DB48" s="4150"/>
      <c r="DC48" s="4150"/>
      <c r="DD48" s="4150"/>
      <c r="DE48" s="4150"/>
      <c r="DF48" s="4150"/>
      <c r="DG48" s="4150"/>
      <c r="DH48" s="4150"/>
      <c r="DI48" s="4150"/>
    </row>
  </sheetData>
  <mergeCells count="20">
    <mergeCell ref="DH6:DM6"/>
    <mergeCell ref="CJ6:CO6"/>
    <mergeCell ref="CP6:CU6"/>
    <mergeCell ref="CV6:DA6"/>
    <mergeCell ref="DB6:DG6"/>
    <mergeCell ref="CJ4:CO4"/>
    <mergeCell ref="CP4:CU4"/>
    <mergeCell ref="CV4:DA4"/>
    <mergeCell ref="DB4:DG4"/>
    <mergeCell ref="DH1:DM1"/>
    <mergeCell ref="CJ3:CO3"/>
    <mergeCell ref="DH3:DM3"/>
    <mergeCell ref="DH4:DM4"/>
    <mergeCell ref="CJ1:CO1"/>
    <mergeCell ref="CP1:CU1"/>
    <mergeCell ref="CV1:DA1"/>
    <mergeCell ref="DB1:DG1"/>
    <mergeCell ref="CP3:CU3"/>
    <mergeCell ref="CV3:DA3"/>
    <mergeCell ref="DB3:DG3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A790-1582-408A-82E4-3D912D5D55B0}">
  <dimension ref="A1:DM35"/>
  <sheetViews>
    <sheetView tabSelected="1" topLeftCell="CI1" workbookViewId="0">
      <selection activeCell="CM12" sqref="CM12"/>
    </sheetView>
  </sheetViews>
  <sheetFormatPr defaultRowHeight="15" x14ac:dyDescent="0.25"/>
  <cols>
    <col min="1" max="1" width="12.28515625" customWidth="1"/>
    <col min="5" max="5" width="14.140625" style="4147" customWidth="1"/>
    <col min="6" max="6" width="9.140625" style="4147"/>
    <col min="88" max="88" width="10.28515625" bestFit="1" customWidth="1"/>
  </cols>
  <sheetData>
    <row r="1" spans="1:117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5117" t="s">
        <v>1411</v>
      </c>
      <c r="CK1" s="5117"/>
      <c r="CL1" s="5117"/>
      <c r="CM1" s="5117"/>
      <c r="CN1" s="5117" t="s">
        <v>1111</v>
      </c>
      <c r="CO1" s="5117"/>
      <c r="CP1" s="5143" t="s">
        <v>1415</v>
      </c>
      <c r="CQ1" s="5124"/>
      <c r="CR1" s="5124"/>
      <c r="CS1" s="5124"/>
      <c r="CT1" s="5124" t="s">
        <v>1362</v>
      </c>
      <c r="CU1" s="5124"/>
      <c r="CV1" s="5125" t="s">
        <v>1418</v>
      </c>
      <c r="CW1" s="5125"/>
      <c r="CX1" s="5125"/>
      <c r="CY1" s="5125"/>
      <c r="CZ1" s="5125"/>
      <c r="DA1" s="5125"/>
      <c r="DB1" s="5115" t="s">
        <v>1102</v>
      </c>
      <c r="DC1" s="5115"/>
      <c r="DD1" s="5115"/>
      <c r="DE1" s="5115"/>
      <c r="DF1" s="5115" t="s">
        <v>1382</v>
      </c>
      <c r="DG1" s="5115"/>
      <c r="DH1" s="5116" t="s">
        <v>1414</v>
      </c>
      <c r="DI1" s="5116"/>
      <c r="DJ1" s="5116"/>
      <c r="DK1" s="5116"/>
      <c r="DL1" s="5116"/>
      <c r="DM1" s="5116"/>
    </row>
    <row r="2" spans="1:117" x14ac:dyDescent="0.25">
      <c r="A2" s="619" t="s">
        <v>1341</v>
      </c>
      <c r="B2" s="619"/>
      <c r="C2" s="619"/>
      <c r="D2" s="619"/>
      <c r="E2" s="619"/>
      <c r="F2" s="619"/>
      <c r="G2" s="4122"/>
      <c r="O2" s="4123"/>
      <c r="T2" s="4124"/>
      <c r="AB2" s="4125"/>
      <c r="AG2" s="4126"/>
      <c r="AO2" s="4127"/>
      <c r="AT2" s="4128"/>
      <c r="BB2" s="4129"/>
      <c r="BG2" s="4130"/>
      <c r="BO2" s="4131"/>
      <c r="BT2" s="4132"/>
      <c r="CB2" s="4133"/>
      <c r="CJ2" s="1">
        <f>AVERAGE(B6,B10,B12,B15,B16,B22,B23,B24)</f>
        <v>0.79249999999999998</v>
      </c>
      <c r="CK2" s="1">
        <f t="shared" ref="CK2:CL2" si="0">AVERAGE(C6,C10,C12,C15,C16,C22,C23,C24)</f>
        <v>0.92124999999999979</v>
      </c>
      <c r="CL2" s="1">
        <f t="shared" si="0"/>
        <v>1.02125</v>
      </c>
      <c r="CM2" s="1" t="e">
        <f t="shared" ref="CM2:CN2" si="1">AVERAGE(E6,E10,E12,E15,E16,E22,E23,E24)</f>
        <v>#DIV/0!</v>
      </c>
      <c r="CN2" s="1" t="e">
        <f t="shared" si="1"/>
        <v>#DIV/0!</v>
      </c>
      <c r="CO2" s="1"/>
      <c r="CP2" s="1">
        <f>AVERAGE(B3,B7,B8,B17,B20,B25,B26,B27,B29)</f>
        <v>0.87444444444444436</v>
      </c>
      <c r="CQ2" s="1">
        <f t="shared" ref="CQ2:CR2" si="2">AVERAGE(C3,C7,C8,C17,C20,C25,C26,C27,C29)</f>
        <v>0.99111111111111105</v>
      </c>
      <c r="CR2" s="1">
        <f t="shared" si="2"/>
        <v>1.01125</v>
      </c>
      <c r="CS2" s="1" t="e">
        <f t="shared" ref="CS2:CT2" si="3">AVERAGE(E3,E7,E8,E17,E20,E25,E26,E27,E29)</f>
        <v>#DIV/0!</v>
      </c>
      <c r="CT2" s="1" t="e">
        <f t="shared" si="3"/>
        <v>#DIV/0!</v>
      </c>
      <c r="CU2" s="1"/>
      <c r="CV2" s="1">
        <f>AVERAGE(B5,B13,B32)</f>
        <v>1.0366666666666666</v>
      </c>
      <c r="CW2" s="1">
        <f t="shared" ref="CW2:CX2" si="4">AVERAGE(C5,C13,C32)</f>
        <v>0.88</v>
      </c>
      <c r="CX2" s="1">
        <f t="shared" si="4"/>
        <v>1.07</v>
      </c>
      <c r="CY2" s="1" t="e">
        <f t="shared" ref="CY2:CZ2" si="5">AVERAGE(E5,E13,E32)</f>
        <v>#DIV/0!</v>
      </c>
      <c r="CZ2" s="1" t="e">
        <f t="shared" si="5"/>
        <v>#DIV/0!</v>
      </c>
      <c r="DA2" s="1"/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AVERAGE(#REF!,B11)</f>
        <v>#REF!</v>
      </c>
      <c r="DG2" s="1"/>
      <c r="DH2" s="1">
        <f>AVERAGE(B11,B18,B28)</f>
        <v>1.0866666666666667</v>
      </c>
      <c r="DI2" s="1">
        <f t="shared" ref="DI2:DJ2" si="6">AVERAGE(C11,C18,C28)</f>
        <v>1.0266666666666666</v>
      </c>
      <c r="DJ2" s="1">
        <f t="shared" si="6"/>
        <v>1.31</v>
      </c>
      <c r="DK2" s="1" t="e">
        <f t="shared" ref="DK2:DL2" si="7">AVERAGE(E11,E18,E28)</f>
        <v>#DIV/0!</v>
      </c>
      <c r="DL2" s="1" t="e">
        <f t="shared" si="7"/>
        <v>#DIV/0!</v>
      </c>
      <c r="DM2" s="1"/>
    </row>
    <row r="3" spans="1:117" x14ac:dyDescent="0.25">
      <c r="A3" s="4134" t="s">
        <v>324</v>
      </c>
      <c r="B3">
        <v>0.93</v>
      </c>
      <c r="C3">
        <v>1.34</v>
      </c>
      <c r="G3" s="4135">
        <v>4</v>
      </c>
      <c r="H3">
        <v>0</v>
      </c>
      <c r="I3">
        <v>1</v>
      </c>
      <c r="J3">
        <v>0</v>
      </c>
      <c r="K3">
        <v>0</v>
      </c>
      <c r="L3">
        <v>0</v>
      </c>
      <c r="M3">
        <v>5</v>
      </c>
      <c r="N3">
        <v>1</v>
      </c>
      <c r="O3" s="4136">
        <v>0</v>
      </c>
      <c r="P3">
        <v>0</v>
      </c>
      <c r="Q3">
        <v>0</v>
      </c>
      <c r="R3">
        <v>0</v>
      </c>
      <c r="S3">
        <v>0</v>
      </c>
      <c r="T3" s="4137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3</v>
      </c>
      <c r="AA3">
        <v>0</v>
      </c>
      <c r="AB3" s="4138">
        <v>0</v>
      </c>
      <c r="AC3">
        <v>0</v>
      </c>
      <c r="AD3">
        <v>0</v>
      </c>
      <c r="AE3">
        <v>0</v>
      </c>
      <c r="AF3">
        <v>0</v>
      </c>
      <c r="AG3" s="4139"/>
      <c r="AO3" s="4140"/>
      <c r="AT3" s="4141"/>
      <c r="BB3" s="4142"/>
      <c r="BG3" s="4143"/>
      <c r="BO3" s="4144"/>
      <c r="BT3" s="4145"/>
      <c r="CB3" s="4146"/>
      <c r="CJ3" s="5098">
        <f>_xlfn.AGGREGATE(1,6,CJ2:CO2)</f>
        <v>0.91166666666666651</v>
      </c>
      <c r="CK3" s="5098"/>
      <c r="CL3" s="5098"/>
      <c r="CM3" s="5098"/>
      <c r="CN3" s="5098"/>
      <c r="CO3" s="5098"/>
      <c r="CP3" s="5098">
        <f t="shared" ref="CP3" si="8">_xlfn.AGGREGATE(1,6,CP2:CU2)</f>
        <v>0.95893518518518517</v>
      </c>
      <c r="CQ3" s="5098"/>
      <c r="CR3" s="5098"/>
      <c r="CS3" s="5098"/>
      <c r="CT3" s="5098"/>
      <c r="CU3" s="5098"/>
      <c r="CV3" s="5098">
        <f t="shared" ref="CV3" si="9">_xlfn.AGGREGATE(1,6,CV2:DA2)</f>
        <v>0.99555555555555542</v>
      </c>
      <c r="CW3" s="5098"/>
      <c r="CX3" s="5098"/>
      <c r="CY3" s="5098"/>
      <c r="CZ3" s="5098"/>
      <c r="DA3" s="5098"/>
      <c r="DB3" s="5098" t="e">
        <f t="shared" ref="DB3" si="10">_xlfn.AGGREGATE(1,6,DB2:DG2)</f>
        <v>#DIV/0!</v>
      </c>
      <c r="DC3" s="5098"/>
      <c r="DD3" s="5098"/>
      <c r="DE3" s="5098"/>
      <c r="DF3" s="5098"/>
      <c r="DG3" s="5098"/>
      <c r="DH3" s="5098">
        <f t="shared" ref="DH3" si="11">_xlfn.AGGREGATE(1,6,DH2:DM2)</f>
        <v>1.1411111111111112</v>
      </c>
      <c r="DI3" s="5098"/>
      <c r="DJ3" s="5098"/>
      <c r="DK3" s="5098"/>
      <c r="DL3" s="5098"/>
      <c r="DM3" s="5098"/>
    </row>
    <row r="4" spans="1:117" x14ac:dyDescent="0.25">
      <c r="A4" s="4457" t="s">
        <v>1365</v>
      </c>
      <c r="B4" s="4457"/>
      <c r="C4" s="4457"/>
      <c r="D4" s="4457"/>
      <c r="E4" s="4457"/>
      <c r="F4" s="4457"/>
      <c r="G4" s="4418"/>
      <c r="O4" s="4419"/>
      <c r="T4" s="4420"/>
      <c r="AB4" s="4421"/>
      <c r="AG4" s="4422"/>
      <c r="AO4" s="4423"/>
      <c r="AT4" s="4424"/>
      <c r="BB4" s="4425"/>
      <c r="BG4" s="4426"/>
      <c r="BO4" s="4427"/>
      <c r="BT4" s="4428"/>
      <c r="CB4" s="4429"/>
      <c r="CJ4" s="5116" t="s">
        <v>1424</v>
      </c>
      <c r="CK4" s="5116"/>
      <c r="CL4" s="5116"/>
      <c r="CM4" s="5116"/>
      <c r="CN4" s="5116"/>
      <c r="CO4" s="5116"/>
      <c r="CP4" s="5122" t="s">
        <v>994</v>
      </c>
      <c r="CQ4" s="5122"/>
      <c r="CR4" s="5122"/>
      <c r="CS4" s="5122"/>
      <c r="CT4" s="5122"/>
      <c r="CU4" s="5122"/>
      <c r="CV4" s="5115" t="s">
        <v>1103</v>
      </c>
      <c r="CW4" s="5115"/>
      <c r="CX4" s="5115"/>
      <c r="CY4" s="5115"/>
      <c r="CZ4" s="5115"/>
      <c r="DA4" s="5115"/>
      <c r="DB4" s="5143" t="s">
        <v>1417</v>
      </c>
      <c r="DC4" s="5124"/>
      <c r="DD4" s="5124"/>
      <c r="DE4" s="5124"/>
      <c r="DF4" s="5124"/>
      <c r="DG4" s="5124"/>
    </row>
    <row r="5" spans="1:117" x14ac:dyDescent="0.25">
      <c r="A5" s="4430" t="s">
        <v>381</v>
      </c>
      <c r="B5">
        <v>1.03</v>
      </c>
      <c r="C5">
        <v>0.86</v>
      </c>
      <c r="D5">
        <v>1.3</v>
      </c>
      <c r="G5" s="4431">
        <v>1</v>
      </c>
      <c r="H5">
        <v>3</v>
      </c>
      <c r="I5">
        <v>1</v>
      </c>
      <c r="J5">
        <v>0</v>
      </c>
      <c r="K5">
        <v>0</v>
      </c>
      <c r="L5">
        <v>0</v>
      </c>
      <c r="M5">
        <v>1</v>
      </c>
      <c r="N5">
        <v>0</v>
      </c>
      <c r="O5" s="4432">
        <v>0</v>
      </c>
      <c r="P5">
        <v>0</v>
      </c>
      <c r="Q5">
        <v>0</v>
      </c>
      <c r="R5">
        <v>0</v>
      </c>
      <c r="S5">
        <v>0</v>
      </c>
      <c r="T5" s="4433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1</v>
      </c>
      <c r="AA5">
        <v>0</v>
      </c>
      <c r="AB5" s="4434">
        <v>0</v>
      </c>
      <c r="AC5">
        <v>1</v>
      </c>
      <c r="AD5">
        <v>0</v>
      </c>
      <c r="AE5">
        <v>0</v>
      </c>
      <c r="AF5">
        <v>0</v>
      </c>
      <c r="AG5" s="4435">
        <v>2</v>
      </c>
      <c r="AH5">
        <v>1</v>
      </c>
      <c r="AI5">
        <v>0</v>
      </c>
      <c r="AJ5">
        <v>2</v>
      </c>
      <c r="AK5">
        <v>0</v>
      </c>
      <c r="AL5">
        <v>0</v>
      </c>
      <c r="AM5">
        <v>2</v>
      </c>
      <c r="AN5">
        <v>1</v>
      </c>
      <c r="AO5" s="4436">
        <v>0</v>
      </c>
      <c r="AP5">
        <v>1</v>
      </c>
      <c r="AQ5">
        <v>0</v>
      </c>
      <c r="AR5">
        <v>0</v>
      </c>
      <c r="AS5">
        <v>0</v>
      </c>
      <c r="AT5" s="4437"/>
      <c r="BB5" s="4438"/>
      <c r="BG5" s="4439"/>
      <c r="BO5" s="4440"/>
      <c r="BT5" s="4441"/>
      <c r="CB5" s="4442"/>
      <c r="CJ5" s="4149">
        <f>AVERAGE(B19,B30,B34)</f>
        <v>1.1000000000000001</v>
      </c>
      <c r="CK5" s="5068">
        <f t="shared" ref="CK5:CL5" si="12">AVERAGE(C19,C30,C34)</f>
        <v>0.98666666666666669</v>
      </c>
      <c r="CL5" s="5068">
        <f t="shared" si="12"/>
        <v>1.1000000000000001</v>
      </c>
      <c r="CM5" s="4653" t="e">
        <f t="shared" ref="CM5:CN5" si="13">AVERAGE(E19,E30)</f>
        <v>#DIV/0!</v>
      </c>
      <c r="CN5" s="4653" t="e">
        <f t="shared" si="13"/>
        <v>#DIV/0!</v>
      </c>
      <c r="CO5" s="4470"/>
      <c r="CP5" s="4149" t="e">
        <f>AVERAGE(CP8)</f>
        <v>#DIV/0!</v>
      </c>
      <c r="CQ5" s="4653" t="e">
        <f t="shared" ref="CQ5:CT5" si="14">AVERAGE(CQ8)</f>
        <v>#DIV/0!</v>
      </c>
      <c r="CR5" s="4653" t="e">
        <f t="shared" si="14"/>
        <v>#DIV/0!</v>
      </c>
      <c r="CS5" s="4653" t="e">
        <f t="shared" si="14"/>
        <v>#DIV/0!</v>
      </c>
      <c r="CT5" s="4653" t="e">
        <f t="shared" si="14"/>
        <v>#DIV/0!</v>
      </c>
      <c r="CU5" s="4149"/>
      <c r="CV5" s="4149" t="e">
        <f>AVERAGE(CV8)</f>
        <v>#DIV/0!</v>
      </c>
      <c r="CW5" s="4653" t="e">
        <f t="shared" ref="CW5:CZ5" si="15">AVERAGE(CW8)</f>
        <v>#DIV/0!</v>
      </c>
      <c r="CX5" s="4653" t="e">
        <f t="shared" si="15"/>
        <v>#DIV/0!</v>
      </c>
      <c r="CY5" s="4653" t="e">
        <f t="shared" si="15"/>
        <v>#DIV/0!</v>
      </c>
      <c r="CZ5" s="4653" t="e">
        <f t="shared" si="15"/>
        <v>#DIV/0!</v>
      </c>
      <c r="DA5" s="4149"/>
      <c r="DB5" s="4149">
        <f>AVERAGE(B31)</f>
        <v>0.57999999999999996</v>
      </c>
      <c r="DC5" s="4808">
        <f t="shared" ref="DC5:DD5" si="16">AVERAGE(C31)</f>
        <v>0.73</v>
      </c>
      <c r="DD5" s="4808">
        <f t="shared" si="16"/>
        <v>1.27</v>
      </c>
      <c r="DE5" s="4808" t="e">
        <f>AVERAGE(E31)</f>
        <v>#DIV/0!</v>
      </c>
      <c r="DF5" s="4808" t="e">
        <f>AVERAGE(F31)</f>
        <v>#DIV/0!</v>
      </c>
      <c r="DG5" s="4149"/>
    </row>
    <row r="6" spans="1:117" x14ac:dyDescent="0.25">
      <c r="A6" s="4443" t="s">
        <v>1375</v>
      </c>
      <c r="B6">
        <v>1.25</v>
      </c>
      <c r="C6">
        <v>1.42</v>
      </c>
      <c r="D6">
        <v>0.99</v>
      </c>
      <c r="G6" s="4444">
        <v>2</v>
      </c>
      <c r="H6">
        <v>1</v>
      </c>
      <c r="I6">
        <v>0</v>
      </c>
      <c r="J6">
        <v>0</v>
      </c>
      <c r="K6">
        <v>0</v>
      </c>
      <c r="L6">
        <v>1</v>
      </c>
      <c r="M6">
        <v>2</v>
      </c>
      <c r="N6">
        <v>0</v>
      </c>
      <c r="O6" s="4445">
        <v>0</v>
      </c>
      <c r="P6">
        <v>0</v>
      </c>
      <c r="Q6">
        <v>0</v>
      </c>
      <c r="R6">
        <v>0</v>
      </c>
      <c r="S6">
        <v>0</v>
      </c>
      <c r="T6" s="444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3</v>
      </c>
      <c r="AA6">
        <v>2</v>
      </c>
      <c r="AB6" s="4447">
        <v>0</v>
      </c>
      <c r="AC6">
        <v>0</v>
      </c>
      <c r="AD6">
        <v>0</v>
      </c>
      <c r="AE6">
        <v>0</v>
      </c>
      <c r="AF6">
        <v>0</v>
      </c>
      <c r="AG6" s="4448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0</v>
      </c>
      <c r="AN6">
        <v>1</v>
      </c>
      <c r="AO6" s="4449">
        <v>0</v>
      </c>
      <c r="AP6">
        <v>1</v>
      </c>
      <c r="AQ6">
        <v>0</v>
      </c>
      <c r="AR6">
        <v>0</v>
      </c>
      <c r="AS6">
        <v>0</v>
      </c>
      <c r="AT6" s="4450"/>
      <c r="BB6" s="4451"/>
      <c r="BG6" s="4452"/>
      <c r="BO6" s="4453"/>
      <c r="BT6" s="4454"/>
      <c r="CB6" s="4455"/>
      <c r="CJ6" s="5098">
        <f>_xlfn.AGGREGATE(1,6,CJ5:CO5)</f>
        <v>1.0622222222222224</v>
      </c>
      <c r="CK6" s="5098"/>
      <c r="CL6" s="5098"/>
      <c r="CM6" s="5098"/>
      <c r="CN6" s="5098"/>
      <c r="CO6" s="5098"/>
      <c r="CP6" s="5098" t="e">
        <f>_xlfn.AGGREGATE(1,6,CP5:CU5)</f>
        <v>#DIV/0!</v>
      </c>
      <c r="CQ6" s="5098"/>
      <c r="CR6" s="5098"/>
      <c r="CS6" s="5098"/>
      <c r="CT6" s="5098"/>
      <c r="CU6" s="5098"/>
      <c r="CV6" s="5098" t="e">
        <f>_xlfn.AGGREGATE(1,6,CV5:DA5)</f>
        <v>#DIV/0!</v>
      </c>
      <c r="CW6" s="5098"/>
      <c r="CX6" s="5098"/>
      <c r="CY6" s="5098"/>
      <c r="CZ6" s="5098"/>
      <c r="DA6" s="5098"/>
      <c r="DB6" s="5098">
        <f>_xlfn.AGGREGATE(1,6,DB5:DG5)</f>
        <v>0.86</v>
      </c>
      <c r="DC6" s="5098"/>
      <c r="DD6" s="5098"/>
      <c r="DE6" s="5098"/>
      <c r="DF6" s="5098"/>
      <c r="DG6" s="5098"/>
    </row>
    <row r="7" spans="1:117" x14ac:dyDescent="0.25">
      <c r="A7" s="4456" t="s">
        <v>327</v>
      </c>
      <c r="B7">
        <v>1.67</v>
      </c>
      <c r="C7">
        <v>1.1000000000000001</v>
      </c>
      <c r="D7">
        <v>0.92</v>
      </c>
      <c r="G7" s="4457">
        <v>0</v>
      </c>
      <c r="H7">
        <v>5</v>
      </c>
      <c r="I7">
        <v>2</v>
      </c>
      <c r="J7">
        <v>0</v>
      </c>
      <c r="K7">
        <v>0</v>
      </c>
      <c r="L7">
        <v>0</v>
      </c>
      <c r="M7">
        <v>4</v>
      </c>
      <c r="N7">
        <v>0</v>
      </c>
      <c r="O7" s="4458">
        <v>0</v>
      </c>
      <c r="P7">
        <v>0</v>
      </c>
      <c r="Q7">
        <v>0</v>
      </c>
      <c r="R7">
        <v>0</v>
      </c>
      <c r="S7">
        <v>0</v>
      </c>
      <c r="T7" s="4459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4</v>
      </c>
      <c r="AA7">
        <v>1</v>
      </c>
      <c r="AB7" s="4460">
        <v>0</v>
      </c>
      <c r="AC7">
        <v>1</v>
      </c>
      <c r="AD7">
        <v>0</v>
      </c>
      <c r="AE7">
        <v>0</v>
      </c>
      <c r="AF7">
        <v>0</v>
      </c>
      <c r="AG7" s="4461">
        <v>1</v>
      </c>
      <c r="AH7">
        <v>0</v>
      </c>
      <c r="AI7">
        <v>0</v>
      </c>
      <c r="AJ7">
        <v>0</v>
      </c>
      <c r="AK7">
        <v>0</v>
      </c>
      <c r="AL7">
        <v>0</v>
      </c>
      <c r="AM7">
        <v>2</v>
      </c>
      <c r="AN7">
        <v>3</v>
      </c>
      <c r="AO7" s="4462">
        <v>0</v>
      </c>
      <c r="AP7">
        <v>0</v>
      </c>
      <c r="AQ7">
        <v>0</v>
      </c>
      <c r="AR7">
        <v>0</v>
      </c>
      <c r="AS7">
        <v>0</v>
      </c>
      <c r="AT7" s="4463"/>
      <c r="BB7" s="4464"/>
      <c r="BG7" s="4465"/>
      <c r="BO7" s="4466"/>
      <c r="BT7" s="4467"/>
      <c r="CB7" s="4468"/>
    </row>
    <row r="8" spans="1:117" x14ac:dyDescent="0.25">
      <c r="A8" s="4457" t="s">
        <v>328</v>
      </c>
      <c r="B8">
        <v>1.28</v>
      </c>
      <c r="C8">
        <v>1.21</v>
      </c>
      <c r="D8">
        <v>1.04</v>
      </c>
      <c r="G8" s="4457">
        <v>2</v>
      </c>
      <c r="H8">
        <v>1</v>
      </c>
      <c r="I8">
        <v>2</v>
      </c>
      <c r="J8">
        <v>0</v>
      </c>
      <c r="K8">
        <v>0</v>
      </c>
      <c r="L8">
        <v>1</v>
      </c>
      <c r="M8">
        <v>5</v>
      </c>
      <c r="N8">
        <v>2</v>
      </c>
      <c r="O8" s="4468">
        <v>0</v>
      </c>
      <c r="P8">
        <v>0</v>
      </c>
      <c r="Q8">
        <v>0</v>
      </c>
      <c r="R8">
        <v>0</v>
      </c>
      <c r="S8">
        <v>0</v>
      </c>
      <c r="T8" s="4459">
        <v>1</v>
      </c>
      <c r="U8">
        <v>2</v>
      </c>
      <c r="V8">
        <v>0</v>
      </c>
      <c r="W8">
        <v>0</v>
      </c>
      <c r="X8">
        <v>0</v>
      </c>
      <c r="Y8">
        <v>0</v>
      </c>
      <c r="Z8">
        <v>3</v>
      </c>
      <c r="AA8">
        <v>0</v>
      </c>
      <c r="AB8" s="4468">
        <v>1</v>
      </c>
      <c r="AC8">
        <v>0</v>
      </c>
      <c r="AD8">
        <v>0</v>
      </c>
      <c r="AE8">
        <v>0</v>
      </c>
      <c r="AF8">
        <v>0</v>
      </c>
      <c r="AG8" s="4461">
        <v>0</v>
      </c>
      <c r="AH8">
        <v>1</v>
      </c>
      <c r="AI8">
        <v>2</v>
      </c>
      <c r="AJ8">
        <v>0</v>
      </c>
      <c r="AK8">
        <v>0</v>
      </c>
      <c r="AL8">
        <v>1</v>
      </c>
      <c r="AM8">
        <v>4</v>
      </c>
      <c r="AN8">
        <v>1</v>
      </c>
      <c r="AO8" s="4468">
        <v>0</v>
      </c>
      <c r="AP8">
        <v>0</v>
      </c>
      <c r="AQ8">
        <v>0</v>
      </c>
      <c r="AR8">
        <v>0</v>
      </c>
      <c r="AS8">
        <v>0</v>
      </c>
      <c r="AT8" s="4463"/>
      <c r="BB8" s="4468"/>
      <c r="BG8" s="4465"/>
      <c r="BO8" s="4468"/>
      <c r="BT8" s="4467"/>
      <c r="CB8" s="4468"/>
    </row>
    <row r="9" spans="1:117" x14ac:dyDescent="0.25">
      <c r="A9" s="40" t="s">
        <v>1376</v>
      </c>
      <c r="B9" s="40"/>
      <c r="C9" s="40"/>
      <c r="D9" s="40"/>
      <c r="E9" s="40"/>
      <c r="F9" s="40"/>
      <c r="G9" s="4574"/>
      <c r="O9" s="4575"/>
      <c r="T9" s="4576"/>
      <c r="AB9" s="4577"/>
      <c r="AG9" s="4578"/>
      <c r="AO9" s="4579"/>
      <c r="AT9" s="4580"/>
      <c r="BB9" s="4581"/>
      <c r="BG9" s="4582"/>
      <c r="BO9" s="4583"/>
      <c r="BT9" s="4584"/>
      <c r="CB9" s="4585"/>
    </row>
    <row r="10" spans="1:117" x14ac:dyDescent="0.25">
      <c r="A10" s="4586" t="s">
        <v>1381</v>
      </c>
      <c r="B10">
        <v>0.28999999999999998</v>
      </c>
      <c r="C10">
        <v>0.88</v>
      </c>
      <c r="D10">
        <v>0.87</v>
      </c>
      <c r="G10" s="4587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1</v>
      </c>
      <c r="N10">
        <v>1</v>
      </c>
      <c r="O10" s="4588">
        <v>1</v>
      </c>
      <c r="P10">
        <v>0</v>
      </c>
      <c r="Q10">
        <v>0</v>
      </c>
      <c r="R10">
        <v>0</v>
      </c>
      <c r="S10">
        <v>0</v>
      </c>
      <c r="T10" s="4589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8</v>
      </c>
      <c r="AA10">
        <v>0</v>
      </c>
      <c r="AB10" s="4590">
        <v>0</v>
      </c>
      <c r="AC10">
        <v>1</v>
      </c>
      <c r="AD10">
        <v>0</v>
      </c>
      <c r="AE10">
        <v>0</v>
      </c>
      <c r="AF10">
        <v>0</v>
      </c>
      <c r="AG10" s="4591">
        <v>1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7</v>
      </c>
      <c r="AN10">
        <v>0</v>
      </c>
      <c r="AO10" s="4592">
        <v>1</v>
      </c>
      <c r="AP10">
        <v>0</v>
      </c>
      <c r="AQ10">
        <v>0</v>
      </c>
      <c r="AR10">
        <v>0</v>
      </c>
      <c r="AS10">
        <v>0</v>
      </c>
      <c r="AT10" s="4593"/>
      <c r="BB10" s="4594"/>
      <c r="BG10" s="4595"/>
      <c r="BO10" s="4596"/>
      <c r="BT10" s="4597"/>
      <c r="CB10" s="4598"/>
      <c r="CD10" t="s">
        <v>1421</v>
      </c>
    </row>
    <row r="11" spans="1:117" x14ac:dyDescent="0.25">
      <c r="A11" s="4599" t="s">
        <v>330</v>
      </c>
      <c r="B11">
        <v>1.77</v>
      </c>
      <c r="C11">
        <v>1.07</v>
      </c>
      <c r="D11">
        <v>1.58</v>
      </c>
      <c r="G11" s="4600">
        <v>0</v>
      </c>
      <c r="H11">
        <v>1</v>
      </c>
      <c r="I11">
        <v>0</v>
      </c>
      <c r="J11">
        <v>0</v>
      </c>
      <c r="K11">
        <v>1</v>
      </c>
      <c r="L11">
        <v>0</v>
      </c>
      <c r="M11">
        <v>3</v>
      </c>
      <c r="N11">
        <v>1</v>
      </c>
      <c r="O11" s="4601">
        <v>2</v>
      </c>
      <c r="P11">
        <v>0</v>
      </c>
      <c r="Q11">
        <v>1</v>
      </c>
      <c r="R11">
        <v>0</v>
      </c>
      <c r="S11">
        <v>0</v>
      </c>
      <c r="T11" s="4602">
        <v>0</v>
      </c>
      <c r="U11">
        <v>2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 s="4603">
        <v>0</v>
      </c>
      <c r="AC11">
        <v>0</v>
      </c>
      <c r="AD11">
        <v>0</v>
      </c>
      <c r="AE11">
        <v>0</v>
      </c>
      <c r="AF11">
        <v>0</v>
      </c>
      <c r="AG11" s="4604">
        <v>2</v>
      </c>
      <c r="AH11">
        <v>4</v>
      </c>
      <c r="AI11">
        <v>0</v>
      </c>
      <c r="AJ11">
        <v>0</v>
      </c>
      <c r="AK11">
        <v>0</v>
      </c>
      <c r="AL11">
        <v>0</v>
      </c>
      <c r="AM11">
        <v>2</v>
      </c>
      <c r="AN11">
        <v>0</v>
      </c>
      <c r="AO11" s="4605">
        <v>0</v>
      </c>
      <c r="AP11">
        <v>0</v>
      </c>
      <c r="AQ11">
        <v>0</v>
      </c>
      <c r="AR11">
        <v>0</v>
      </c>
      <c r="AS11">
        <v>0</v>
      </c>
      <c r="AT11" s="4606"/>
      <c r="BB11" s="4607"/>
      <c r="BG11" s="4608"/>
      <c r="BO11" s="4609"/>
      <c r="BT11" s="4610"/>
      <c r="CB11" s="4611"/>
    </row>
    <row r="12" spans="1:117" x14ac:dyDescent="0.25">
      <c r="A12" s="4612" t="s">
        <v>831</v>
      </c>
      <c r="B12">
        <v>1.23</v>
      </c>
      <c r="C12">
        <v>1.18</v>
      </c>
      <c r="D12">
        <v>0.78</v>
      </c>
      <c r="G12" s="4613">
        <v>0</v>
      </c>
      <c r="H12">
        <v>2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 s="4614">
        <v>1</v>
      </c>
      <c r="P12">
        <v>1</v>
      </c>
      <c r="Q12">
        <v>0</v>
      </c>
      <c r="R12">
        <v>0</v>
      </c>
      <c r="S12">
        <v>0</v>
      </c>
      <c r="T12" s="4615">
        <v>1</v>
      </c>
      <c r="U12">
        <v>0</v>
      </c>
      <c r="V12">
        <v>1</v>
      </c>
      <c r="W12">
        <v>1</v>
      </c>
      <c r="X12">
        <v>0</v>
      </c>
      <c r="Y12">
        <v>0</v>
      </c>
      <c r="Z12">
        <v>3</v>
      </c>
      <c r="AA12">
        <v>1</v>
      </c>
      <c r="AB12" s="4616">
        <v>0</v>
      </c>
      <c r="AC12">
        <v>0</v>
      </c>
      <c r="AD12">
        <v>0</v>
      </c>
      <c r="AE12">
        <v>0</v>
      </c>
      <c r="AF12">
        <v>0</v>
      </c>
      <c r="AG12" s="4617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4618">
        <v>0</v>
      </c>
      <c r="AP12">
        <v>0</v>
      </c>
      <c r="AQ12">
        <v>0</v>
      </c>
      <c r="AR12">
        <v>0</v>
      </c>
      <c r="AS12">
        <v>0</v>
      </c>
      <c r="AT12" s="4619"/>
      <c r="BB12" s="4620"/>
      <c r="BG12" s="4621"/>
      <c r="BO12" s="4622"/>
      <c r="BT12" s="4623"/>
      <c r="CB12" s="4624"/>
    </row>
    <row r="13" spans="1:117" x14ac:dyDescent="0.25">
      <c r="A13" s="4625" t="s">
        <v>388</v>
      </c>
      <c r="B13">
        <v>1.51</v>
      </c>
      <c r="C13">
        <v>1.1000000000000001</v>
      </c>
      <c r="D13">
        <v>1</v>
      </c>
      <c r="G13" s="4626">
        <v>4</v>
      </c>
      <c r="H13">
        <v>6</v>
      </c>
      <c r="I13">
        <v>2</v>
      </c>
      <c r="J13">
        <v>0</v>
      </c>
      <c r="K13">
        <v>0</v>
      </c>
      <c r="L13">
        <v>0</v>
      </c>
      <c r="M13">
        <v>0</v>
      </c>
      <c r="N13">
        <v>1</v>
      </c>
      <c r="O13" s="4627">
        <v>1</v>
      </c>
      <c r="P13">
        <v>0</v>
      </c>
      <c r="Q13">
        <v>0</v>
      </c>
      <c r="R13">
        <v>0</v>
      </c>
      <c r="S13">
        <v>0</v>
      </c>
      <c r="T13" s="4628">
        <v>3</v>
      </c>
      <c r="U13">
        <v>1</v>
      </c>
      <c r="V13">
        <v>1</v>
      </c>
      <c r="W13">
        <v>0</v>
      </c>
      <c r="X13">
        <v>0</v>
      </c>
      <c r="Y13">
        <v>0</v>
      </c>
      <c r="Z13">
        <v>4</v>
      </c>
      <c r="AA13">
        <v>0</v>
      </c>
      <c r="AB13" s="4629">
        <v>0</v>
      </c>
      <c r="AC13">
        <v>0</v>
      </c>
      <c r="AD13">
        <v>0</v>
      </c>
      <c r="AE13">
        <v>0</v>
      </c>
      <c r="AF13">
        <v>0</v>
      </c>
      <c r="AG13" s="4630">
        <v>2</v>
      </c>
      <c r="AH13">
        <v>2</v>
      </c>
      <c r="AI13">
        <v>0</v>
      </c>
      <c r="AJ13">
        <v>0</v>
      </c>
      <c r="AK13">
        <v>0</v>
      </c>
      <c r="AL13">
        <v>1</v>
      </c>
      <c r="AM13">
        <v>3</v>
      </c>
      <c r="AN13">
        <v>1</v>
      </c>
      <c r="AO13" s="4631">
        <v>0</v>
      </c>
      <c r="AP13">
        <v>0</v>
      </c>
      <c r="AQ13">
        <v>0</v>
      </c>
      <c r="AR13">
        <v>0</v>
      </c>
      <c r="AS13">
        <v>0</v>
      </c>
      <c r="AT13" s="4632"/>
      <c r="BB13" s="4633"/>
      <c r="BG13" s="4634"/>
      <c r="BO13" s="4635"/>
      <c r="BT13" s="4636"/>
      <c r="CB13" s="4637"/>
    </row>
    <row r="14" spans="1:117" x14ac:dyDescent="0.25">
      <c r="A14" s="40" t="s">
        <v>1386</v>
      </c>
      <c r="B14" s="40"/>
      <c r="C14" s="40"/>
      <c r="D14" s="40"/>
      <c r="E14" s="40"/>
      <c r="F14" s="40"/>
      <c r="G14" s="4718"/>
      <c r="O14" s="4719"/>
      <c r="T14" s="4720"/>
      <c r="AB14" s="4721"/>
      <c r="AG14" s="4722"/>
      <c r="AO14" s="4723"/>
      <c r="AT14" s="4724"/>
      <c r="BB14" s="4725"/>
      <c r="BG14" s="4726"/>
      <c r="BO14" s="4727"/>
      <c r="BT14" s="4728"/>
      <c r="CB14" s="4729"/>
    </row>
    <row r="15" spans="1:117" x14ac:dyDescent="0.25">
      <c r="A15" s="4730" t="s">
        <v>1393</v>
      </c>
      <c r="B15">
        <v>0.57999999999999996</v>
      </c>
      <c r="C15">
        <v>0.59</v>
      </c>
      <c r="D15">
        <v>0.99</v>
      </c>
      <c r="G15" s="4731">
        <v>2</v>
      </c>
      <c r="H15">
        <v>1</v>
      </c>
      <c r="I15">
        <v>0</v>
      </c>
      <c r="J15">
        <v>0</v>
      </c>
      <c r="K15">
        <v>0</v>
      </c>
      <c r="L15">
        <v>0</v>
      </c>
      <c r="M15">
        <v>2</v>
      </c>
      <c r="N15">
        <v>0</v>
      </c>
      <c r="O15" s="4732">
        <v>0</v>
      </c>
      <c r="P15">
        <v>0</v>
      </c>
      <c r="Q15">
        <v>0</v>
      </c>
      <c r="R15">
        <v>0</v>
      </c>
      <c r="S15">
        <v>0</v>
      </c>
      <c r="T15" s="4733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1</v>
      </c>
      <c r="AB15" s="4734">
        <v>0</v>
      </c>
      <c r="AC15">
        <v>0</v>
      </c>
      <c r="AD15">
        <v>0</v>
      </c>
      <c r="AE15">
        <v>0</v>
      </c>
      <c r="AF15">
        <v>0</v>
      </c>
      <c r="AG15" s="4735">
        <v>0</v>
      </c>
      <c r="AH15">
        <v>1</v>
      </c>
      <c r="AI15">
        <v>1</v>
      </c>
      <c r="AJ15">
        <v>0</v>
      </c>
      <c r="AK15">
        <v>0</v>
      </c>
      <c r="AL15">
        <v>0</v>
      </c>
      <c r="AM15">
        <v>2</v>
      </c>
      <c r="AN15">
        <v>0</v>
      </c>
      <c r="AO15" s="4736">
        <v>0</v>
      </c>
      <c r="AP15">
        <v>0</v>
      </c>
      <c r="AQ15">
        <v>0</v>
      </c>
      <c r="AR15">
        <v>0</v>
      </c>
      <c r="AS15">
        <v>0</v>
      </c>
      <c r="AT15" s="4737"/>
      <c r="BB15" s="4738"/>
      <c r="BG15" s="4739"/>
      <c r="BO15" s="4740"/>
      <c r="BT15" s="4741"/>
      <c r="CB15" s="4742"/>
    </row>
    <row r="16" spans="1:117" x14ac:dyDescent="0.25">
      <c r="A16" s="4743" t="s">
        <v>1394</v>
      </c>
      <c r="B16">
        <v>1.1100000000000001</v>
      </c>
      <c r="C16">
        <v>0.97</v>
      </c>
      <c r="D16">
        <v>1.2</v>
      </c>
      <c r="G16" s="4744">
        <v>2</v>
      </c>
      <c r="H16">
        <v>1</v>
      </c>
      <c r="I16">
        <v>2</v>
      </c>
      <c r="J16">
        <v>0</v>
      </c>
      <c r="K16">
        <v>0</v>
      </c>
      <c r="L16">
        <v>1</v>
      </c>
      <c r="M16">
        <v>3</v>
      </c>
      <c r="N16">
        <v>0</v>
      </c>
      <c r="O16" s="4745">
        <v>1</v>
      </c>
      <c r="P16">
        <v>0</v>
      </c>
      <c r="Q16">
        <v>0</v>
      </c>
      <c r="R16">
        <v>0</v>
      </c>
      <c r="S16">
        <v>0</v>
      </c>
      <c r="T16" s="4746">
        <v>0</v>
      </c>
      <c r="U16">
        <v>3</v>
      </c>
      <c r="V16">
        <v>0</v>
      </c>
      <c r="W16">
        <v>0</v>
      </c>
      <c r="X16">
        <v>0</v>
      </c>
      <c r="Y16">
        <v>0</v>
      </c>
      <c r="Z16">
        <v>3</v>
      </c>
      <c r="AA16">
        <v>1</v>
      </c>
      <c r="AB16" s="4747">
        <v>0</v>
      </c>
      <c r="AC16">
        <v>0</v>
      </c>
      <c r="AD16">
        <v>0</v>
      </c>
      <c r="AE16">
        <v>0</v>
      </c>
      <c r="AF16">
        <v>0</v>
      </c>
      <c r="AG16" s="4748">
        <v>0</v>
      </c>
      <c r="AH16">
        <v>3</v>
      </c>
      <c r="AI16">
        <v>2</v>
      </c>
      <c r="AJ16">
        <v>0</v>
      </c>
      <c r="AK16">
        <v>0</v>
      </c>
      <c r="AL16">
        <v>0</v>
      </c>
      <c r="AM16">
        <v>4</v>
      </c>
      <c r="AN16">
        <v>0</v>
      </c>
      <c r="AO16" s="4749">
        <v>0</v>
      </c>
      <c r="AP16">
        <v>0</v>
      </c>
      <c r="AQ16">
        <v>0</v>
      </c>
      <c r="AR16">
        <v>0</v>
      </c>
      <c r="AS16">
        <v>0</v>
      </c>
      <c r="AT16" s="4750"/>
      <c r="BB16" s="4751"/>
      <c r="BG16" s="4752"/>
      <c r="BO16" s="4753"/>
      <c r="BT16" s="4754"/>
      <c r="CB16" s="4755"/>
    </row>
    <row r="17" spans="1:82" x14ac:dyDescent="0.25">
      <c r="A17" s="4756" t="s">
        <v>335</v>
      </c>
      <c r="B17">
        <v>0.8</v>
      </c>
      <c r="C17">
        <v>1.38</v>
      </c>
      <c r="D17">
        <v>1.07</v>
      </c>
      <c r="G17" s="4757">
        <v>1</v>
      </c>
      <c r="H17">
        <v>2</v>
      </c>
      <c r="I17">
        <v>1</v>
      </c>
      <c r="J17">
        <v>0</v>
      </c>
      <c r="K17">
        <v>0</v>
      </c>
      <c r="L17">
        <v>0</v>
      </c>
      <c r="M17">
        <v>2</v>
      </c>
      <c r="N17">
        <v>0</v>
      </c>
      <c r="O17" s="4758">
        <v>0</v>
      </c>
      <c r="P17">
        <v>0</v>
      </c>
      <c r="Q17">
        <v>0</v>
      </c>
      <c r="R17">
        <v>0</v>
      </c>
      <c r="S17">
        <v>0</v>
      </c>
      <c r="T17" s="4759">
        <v>0</v>
      </c>
      <c r="U17">
        <v>1</v>
      </c>
      <c r="V17">
        <v>0</v>
      </c>
      <c r="W17">
        <v>1</v>
      </c>
      <c r="X17">
        <v>0</v>
      </c>
      <c r="Y17">
        <v>1</v>
      </c>
      <c r="Z17">
        <v>6</v>
      </c>
      <c r="AA17">
        <v>3</v>
      </c>
      <c r="AB17" s="4760">
        <v>1</v>
      </c>
      <c r="AC17">
        <v>1</v>
      </c>
      <c r="AD17">
        <v>0</v>
      </c>
      <c r="AE17">
        <v>0</v>
      </c>
      <c r="AF17">
        <v>0</v>
      </c>
      <c r="AG17" s="4761">
        <v>0</v>
      </c>
      <c r="AH17">
        <v>2</v>
      </c>
      <c r="AI17">
        <v>0</v>
      </c>
      <c r="AJ17">
        <v>0</v>
      </c>
      <c r="AK17">
        <v>0</v>
      </c>
      <c r="AL17">
        <v>2</v>
      </c>
      <c r="AM17">
        <v>6</v>
      </c>
      <c r="AN17">
        <v>2</v>
      </c>
      <c r="AO17" s="4762">
        <v>1</v>
      </c>
      <c r="AP17">
        <v>0</v>
      </c>
      <c r="AQ17">
        <v>0</v>
      </c>
      <c r="AR17">
        <v>0</v>
      </c>
      <c r="AS17">
        <v>0</v>
      </c>
      <c r="AT17" s="4763"/>
      <c r="BB17" s="4764"/>
      <c r="BG17" s="4765"/>
      <c r="BO17" s="4766"/>
      <c r="BT17" s="4767"/>
      <c r="CB17" s="4768"/>
    </row>
    <row r="18" spans="1:82" x14ac:dyDescent="0.25">
      <c r="A18" s="4769" t="s">
        <v>1395</v>
      </c>
      <c r="B18">
        <v>0.59</v>
      </c>
      <c r="C18">
        <v>0.61</v>
      </c>
      <c r="D18">
        <v>0.91</v>
      </c>
      <c r="G18" s="4770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1</v>
      </c>
      <c r="N18">
        <v>1</v>
      </c>
      <c r="O18" s="4771">
        <v>0</v>
      </c>
      <c r="P18">
        <v>0</v>
      </c>
      <c r="Q18">
        <v>0</v>
      </c>
      <c r="R18">
        <v>0</v>
      </c>
      <c r="S18">
        <v>0</v>
      </c>
      <c r="T18" s="4772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 s="4773">
        <v>0</v>
      </c>
      <c r="AC18">
        <v>0</v>
      </c>
      <c r="AD18">
        <v>0</v>
      </c>
      <c r="AE18">
        <v>0</v>
      </c>
      <c r="AF18">
        <v>0</v>
      </c>
      <c r="AG18" s="4774">
        <v>1</v>
      </c>
      <c r="AH18">
        <v>1</v>
      </c>
      <c r="AI18">
        <v>1</v>
      </c>
      <c r="AJ18">
        <v>0</v>
      </c>
      <c r="AK18">
        <v>0</v>
      </c>
      <c r="AL18">
        <v>0</v>
      </c>
      <c r="AM18">
        <v>3</v>
      </c>
      <c r="AN18">
        <v>2</v>
      </c>
      <c r="AO18" s="4775">
        <v>0</v>
      </c>
      <c r="AP18">
        <v>1</v>
      </c>
      <c r="AQ18">
        <v>0</v>
      </c>
      <c r="AR18">
        <v>0</v>
      </c>
      <c r="AS18">
        <v>0</v>
      </c>
      <c r="AT18" s="4776"/>
      <c r="BB18" s="4777"/>
      <c r="BG18" s="4778"/>
      <c r="BO18" s="4779"/>
      <c r="BT18" s="4780"/>
      <c r="CB18" s="4781"/>
    </row>
    <row r="19" spans="1:82" x14ac:dyDescent="0.25">
      <c r="A19" s="4782" t="s">
        <v>1359</v>
      </c>
      <c r="B19">
        <v>0.93</v>
      </c>
      <c r="C19">
        <v>0.84</v>
      </c>
      <c r="D19">
        <v>1.27</v>
      </c>
      <c r="G19" s="4783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6</v>
      </c>
      <c r="N19">
        <v>0</v>
      </c>
      <c r="O19" s="4784">
        <v>0</v>
      </c>
      <c r="P19">
        <v>0</v>
      </c>
      <c r="Q19">
        <v>0</v>
      </c>
      <c r="R19">
        <v>0</v>
      </c>
      <c r="S19">
        <v>0</v>
      </c>
      <c r="T19" s="4785">
        <v>0</v>
      </c>
      <c r="U19">
        <v>2</v>
      </c>
      <c r="V19">
        <v>1</v>
      </c>
      <c r="W19">
        <v>0</v>
      </c>
      <c r="X19">
        <v>0</v>
      </c>
      <c r="Y19">
        <v>0</v>
      </c>
      <c r="Z19">
        <v>4</v>
      </c>
      <c r="AA19">
        <v>0</v>
      </c>
      <c r="AB19" s="4786">
        <v>0</v>
      </c>
      <c r="AC19">
        <v>0</v>
      </c>
      <c r="AD19">
        <v>0</v>
      </c>
      <c r="AE19">
        <v>0</v>
      </c>
      <c r="AF19">
        <v>0</v>
      </c>
      <c r="AG19" s="4787">
        <v>0</v>
      </c>
      <c r="AH19">
        <v>4</v>
      </c>
      <c r="AI19">
        <v>1</v>
      </c>
      <c r="AJ19">
        <v>1</v>
      </c>
      <c r="AK19">
        <v>0</v>
      </c>
      <c r="AL19">
        <v>0</v>
      </c>
      <c r="AM19">
        <v>3</v>
      </c>
      <c r="AN19">
        <v>1</v>
      </c>
      <c r="AO19" s="4788">
        <v>1</v>
      </c>
      <c r="AP19">
        <v>0</v>
      </c>
      <c r="AQ19">
        <v>0</v>
      </c>
      <c r="AR19">
        <v>0</v>
      </c>
      <c r="AS19">
        <v>0</v>
      </c>
      <c r="AT19" s="4789"/>
      <c r="BB19" s="4790"/>
      <c r="BG19" s="4791"/>
      <c r="BO19" s="4792"/>
      <c r="BT19" s="4793"/>
      <c r="CB19" s="4794"/>
    </row>
    <row r="20" spans="1:82" x14ac:dyDescent="0.25">
      <c r="A20" s="4795" t="s">
        <v>1396</v>
      </c>
      <c r="B20">
        <v>0.79</v>
      </c>
      <c r="C20">
        <v>0.59</v>
      </c>
      <c r="D20">
        <v>0.9</v>
      </c>
      <c r="G20" s="4796">
        <v>2</v>
      </c>
      <c r="H20">
        <v>1</v>
      </c>
      <c r="I20">
        <v>2</v>
      </c>
      <c r="J20">
        <v>0</v>
      </c>
      <c r="K20">
        <v>0</v>
      </c>
      <c r="L20">
        <v>0</v>
      </c>
      <c r="M20">
        <v>3</v>
      </c>
      <c r="N20">
        <v>1</v>
      </c>
      <c r="O20" s="4797">
        <v>0</v>
      </c>
      <c r="P20">
        <v>0</v>
      </c>
      <c r="Q20">
        <v>0</v>
      </c>
      <c r="R20">
        <v>0</v>
      </c>
      <c r="S20">
        <v>0</v>
      </c>
      <c r="T20" s="4798">
        <v>1</v>
      </c>
      <c r="U20">
        <v>1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 s="4799">
        <v>0</v>
      </c>
      <c r="AC20">
        <v>0</v>
      </c>
      <c r="AD20">
        <v>0</v>
      </c>
      <c r="AE20">
        <v>0</v>
      </c>
      <c r="AF20">
        <v>0</v>
      </c>
      <c r="AG20" s="4800">
        <v>1</v>
      </c>
      <c r="AH20">
        <v>4</v>
      </c>
      <c r="AI20">
        <v>1</v>
      </c>
      <c r="AJ20">
        <v>0</v>
      </c>
      <c r="AK20">
        <v>0</v>
      </c>
      <c r="AL20">
        <v>0</v>
      </c>
      <c r="AM20">
        <v>4</v>
      </c>
      <c r="AN20">
        <v>1</v>
      </c>
      <c r="AO20" s="4801">
        <v>0</v>
      </c>
      <c r="AP20">
        <v>0</v>
      </c>
      <c r="AQ20">
        <v>0</v>
      </c>
      <c r="AR20">
        <v>0</v>
      </c>
      <c r="AS20">
        <v>0</v>
      </c>
      <c r="AT20" s="4802"/>
      <c r="BB20" s="4803"/>
      <c r="BG20" s="4804"/>
      <c r="BO20" s="4805"/>
      <c r="BT20" s="4806"/>
      <c r="CB20" s="4807"/>
    </row>
    <row r="21" spans="1:82" x14ac:dyDescent="0.25">
      <c r="A21" s="40" t="s">
        <v>1403</v>
      </c>
      <c r="B21" s="40"/>
      <c r="C21" s="40"/>
      <c r="D21" s="40"/>
      <c r="E21" s="40"/>
      <c r="F21" s="40"/>
      <c r="G21" s="4913"/>
      <c r="O21" s="4914"/>
      <c r="T21" s="4915"/>
      <c r="AB21" s="4916"/>
      <c r="AG21" s="4917"/>
      <c r="AO21" s="4918"/>
      <c r="AT21" s="4919"/>
      <c r="BB21" s="4920"/>
      <c r="BG21" s="4921"/>
      <c r="BO21" s="4922"/>
      <c r="BT21" s="4923"/>
      <c r="CB21" s="4924"/>
    </row>
    <row r="22" spans="1:82" x14ac:dyDescent="0.25">
      <c r="A22" s="4925" t="s">
        <v>1409</v>
      </c>
      <c r="B22">
        <v>0.71</v>
      </c>
      <c r="C22">
        <v>0.85</v>
      </c>
      <c r="D22">
        <v>1.25</v>
      </c>
      <c r="G22" s="4926">
        <v>2</v>
      </c>
      <c r="H22">
        <v>2</v>
      </c>
      <c r="I22">
        <v>0</v>
      </c>
      <c r="J22">
        <v>0</v>
      </c>
      <c r="K22">
        <v>0</v>
      </c>
      <c r="L22">
        <v>1</v>
      </c>
      <c r="M22">
        <v>2</v>
      </c>
      <c r="N22">
        <v>0</v>
      </c>
      <c r="O22" s="4927">
        <v>0</v>
      </c>
      <c r="P22">
        <v>0</v>
      </c>
      <c r="Q22">
        <v>0</v>
      </c>
      <c r="R22">
        <v>0</v>
      </c>
      <c r="S22">
        <v>0</v>
      </c>
      <c r="T22" s="4928">
        <v>2</v>
      </c>
      <c r="U22">
        <v>1</v>
      </c>
      <c r="V22">
        <v>0</v>
      </c>
      <c r="W22">
        <v>0</v>
      </c>
      <c r="X22">
        <v>0</v>
      </c>
      <c r="Y22">
        <v>0</v>
      </c>
      <c r="Z22">
        <v>4</v>
      </c>
      <c r="AA22">
        <v>1</v>
      </c>
      <c r="AB22" s="4929">
        <v>1</v>
      </c>
      <c r="AC22">
        <v>0</v>
      </c>
      <c r="AD22">
        <v>0</v>
      </c>
      <c r="AE22">
        <v>0</v>
      </c>
      <c r="AF22">
        <v>0</v>
      </c>
      <c r="AG22" s="4930">
        <v>0</v>
      </c>
      <c r="AH22">
        <v>1</v>
      </c>
      <c r="AI22">
        <v>1</v>
      </c>
      <c r="AJ22">
        <v>0</v>
      </c>
      <c r="AK22">
        <v>0</v>
      </c>
      <c r="AL22">
        <v>0</v>
      </c>
      <c r="AM22">
        <v>4</v>
      </c>
      <c r="AN22">
        <v>0</v>
      </c>
      <c r="AO22" s="4931">
        <v>0</v>
      </c>
      <c r="AP22">
        <v>0</v>
      </c>
      <c r="AQ22">
        <v>0</v>
      </c>
      <c r="AR22">
        <v>0</v>
      </c>
      <c r="AS22">
        <v>0</v>
      </c>
      <c r="AT22" s="4932"/>
      <c r="BB22" s="4933"/>
      <c r="BG22" s="4934"/>
      <c r="BO22" s="4935"/>
      <c r="BT22" s="4936"/>
      <c r="CB22" s="4937"/>
    </row>
    <row r="23" spans="1:82" x14ac:dyDescent="0.25">
      <c r="A23" s="4938" t="s">
        <v>1410</v>
      </c>
      <c r="B23">
        <v>0.28000000000000003</v>
      </c>
      <c r="C23">
        <v>0.84</v>
      </c>
      <c r="D23">
        <v>0.87</v>
      </c>
      <c r="G23" s="4939">
        <v>0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1</v>
      </c>
      <c r="O23" s="4940">
        <v>1</v>
      </c>
      <c r="P23">
        <v>0</v>
      </c>
      <c r="Q23">
        <v>0</v>
      </c>
      <c r="R23">
        <v>0</v>
      </c>
      <c r="S23">
        <v>0</v>
      </c>
      <c r="T23" s="4941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2</v>
      </c>
      <c r="AA23">
        <v>0</v>
      </c>
      <c r="AB23" s="4942">
        <v>0</v>
      </c>
      <c r="AC23">
        <v>0</v>
      </c>
      <c r="AD23">
        <v>0</v>
      </c>
      <c r="AE23">
        <v>0</v>
      </c>
      <c r="AF23">
        <v>0</v>
      </c>
      <c r="AG23" s="4943">
        <v>0</v>
      </c>
      <c r="AH23">
        <v>3</v>
      </c>
      <c r="AI23">
        <v>1</v>
      </c>
      <c r="AJ23">
        <v>0</v>
      </c>
      <c r="AK23">
        <v>0</v>
      </c>
      <c r="AL23">
        <v>0</v>
      </c>
      <c r="AM23">
        <v>4</v>
      </c>
      <c r="AN23">
        <v>0</v>
      </c>
      <c r="AO23" s="4944">
        <v>1</v>
      </c>
      <c r="AP23">
        <v>0</v>
      </c>
      <c r="AQ23">
        <v>0</v>
      </c>
      <c r="AR23">
        <v>0</v>
      </c>
      <c r="AS23">
        <v>0</v>
      </c>
      <c r="AT23" s="4945"/>
      <c r="BB23" s="4946"/>
      <c r="BG23" s="4947"/>
      <c r="BO23" s="4948"/>
      <c r="BT23" s="4949"/>
      <c r="CB23" s="4950"/>
      <c r="CD23" t="s">
        <v>1419</v>
      </c>
    </row>
    <row r="24" spans="1:82" x14ac:dyDescent="0.25">
      <c r="A24" s="4951" t="s">
        <v>341</v>
      </c>
      <c r="B24">
        <v>0.89</v>
      </c>
      <c r="C24">
        <v>0.64</v>
      </c>
      <c r="D24">
        <v>1.22</v>
      </c>
      <c r="G24" s="4952">
        <v>2</v>
      </c>
      <c r="H24">
        <v>2</v>
      </c>
      <c r="I24">
        <v>1</v>
      </c>
      <c r="J24">
        <v>0</v>
      </c>
      <c r="K24">
        <v>0</v>
      </c>
      <c r="L24">
        <v>1</v>
      </c>
      <c r="M24">
        <v>3</v>
      </c>
      <c r="N24">
        <v>0</v>
      </c>
      <c r="O24" s="4953">
        <v>0</v>
      </c>
      <c r="P24">
        <v>0</v>
      </c>
      <c r="Q24">
        <v>0</v>
      </c>
      <c r="R24">
        <v>0</v>
      </c>
      <c r="S24">
        <v>0</v>
      </c>
      <c r="T24" s="4954">
        <v>1</v>
      </c>
      <c r="U24">
        <v>0</v>
      </c>
      <c r="V24">
        <v>0</v>
      </c>
      <c r="W24">
        <v>0</v>
      </c>
      <c r="X24">
        <v>0</v>
      </c>
      <c r="Y24">
        <v>1</v>
      </c>
      <c r="Z24">
        <v>3</v>
      </c>
      <c r="AA24">
        <v>0</v>
      </c>
      <c r="AB24" s="4955">
        <v>0</v>
      </c>
      <c r="AC24">
        <v>0</v>
      </c>
      <c r="AD24">
        <v>0</v>
      </c>
      <c r="AE24">
        <v>0</v>
      </c>
      <c r="AF24">
        <v>0</v>
      </c>
      <c r="AG24" s="4956">
        <v>0</v>
      </c>
      <c r="AH24">
        <v>2</v>
      </c>
      <c r="AI24">
        <v>0</v>
      </c>
      <c r="AJ24">
        <v>1</v>
      </c>
      <c r="AK24">
        <v>0</v>
      </c>
      <c r="AL24">
        <v>2</v>
      </c>
      <c r="AM24">
        <v>5</v>
      </c>
      <c r="AN24">
        <v>2</v>
      </c>
      <c r="AO24" s="4957">
        <v>0</v>
      </c>
      <c r="AP24">
        <v>0</v>
      </c>
      <c r="AQ24">
        <v>0</v>
      </c>
      <c r="AR24">
        <v>0</v>
      </c>
      <c r="AS24">
        <v>0</v>
      </c>
      <c r="AT24" s="4958"/>
      <c r="BB24" s="4959"/>
      <c r="BG24" s="4960"/>
      <c r="BO24" s="4961"/>
      <c r="BT24" s="4962"/>
      <c r="CB24" s="4963"/>
    </row>
    <row r="25" spans="1:82" x14ac:dyDescent="0.25">
      <c r="A25" s="4964" t="s">
        <v>1033</v>
      </c>
      <c r="B25">
        <v>1.02</v>
      </c>
      <c r="C25">
        <v>0.89</v>
      </c>
      <c r="D25">
        <v>1.35</v>
      </c>
      <c r="G25" s="4965">
        <v>0</v>
      </c>
      <c r="H25">
        <v>0</v>
      </c>
      <c r="I25">
        <v>0</v>
      </c>
      <c r="J25">
        <v>0</v>
      </c>
      <c r="K25">
        <v>0</v>
      </c>
      <c r="L25">
        <v>1</v>
      </c>
      <c r="M25">
        <v>0</v>
      </c>
      <c r="N25">
        <v>0</v>
      </c>
      <c r="O25" s="4966">
        <v>0</v>
      </c>
      <c r="P25">
        <v>0</v>
      </c>
      <c r="Q25">
        <v>0</v>
      </c>
      <c r="R25">
        <v>0</v>
      </c>
      <c r="S25">
        <v>0</v>
      </c>
      <c r="T25" s="4967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 s="4968">
        <v>0</v>
      </c>
      <c r="AC25">
        <v>0</v>
      </c>
      <c r="AD25">
        <v>0</v>
      </c>
      <c r="AE25">
        <v>0</v>
      </c>
      <c r="AF25">
        <v>0</v>
      </c>
      <c r="AG25" s="4969">
        <v>0</v>
      </c>
      <c r="AH25">
        <v>2</v>
      </c>
      <c r="AI25">
        <v>0</v>
      </c>
      <c r="AJ25">
        <v>0</v>
      </c>
      <c r="AK25">
        <v>0</v>
      </c>
      <c r="AL25">
        <v>0</v>
      </c>
      <c r="AM25">
        <v>2</v>
      </c>
      <c r="AN25">
        <v>1</v>
      </c>
      <c r="AO25" s="4970">
        <v>0</v>
      </c>
      <c r="AP25">
        <v>0</v>
      </c>
      <c r="AQ25">
        <v>0</v>
      </c>
      <c r="AR25">
        <v>0</v>
      </c>
      <c r="AS25">
        <v>0</v>
      </c>
      <c r="AT25" s="4971"/>
      <c r="BB25" s="4972"/>
      <c r="BG25" s="4973"/>
      <c r="BO25" s="4974"/>
      <c r="BT25" s="4975"/>
      <c r="CB25" s="4976"/>
    </row>
    <row r="26" spans="1:82" x14ac:dyDescent="0.25">
      <c r="A26" s="4977" t="s">
        <v>1412</v>
      </c>
      <c r="B26">
        <v>0.06</v>
      </c>
      <c r="C26">
        <v>0.73</v>
      </c>
      <c r="D26">
        <v>1.26</v>
      </c>
      <c r="G26" s="4978">
        <v>0</v>
      </c>
      <c r="H26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979">
        <v>0</v>
      </c>
      <c r="P26">
        <v>0</v>
      </c>
      <c r="Q26">
        <v>0</v>
      </c>
      <c r="R26">
        <v>0</v>
      </c>
      <c r="S26">
        <v>0</v>
      </c>
      <c r="T26" s="4980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1</v>
      </c>
      <c r="AA26">
        <v>0</v>
      </c>
      <c r="AB26" s="4981">
        <v>0</v>
      </c>
      <c r="AC26">
        <v>0</v>
      </c>
      <c r="AD26">
        <v>0</v>
      </c>
      <c r="AE26">
        <v>0</v>
      </c>
      <c r="AF26">
        <v>0</v>
      </c>
      <c r="AG26" s="4982">
        <v>1</v>
      </c>
      <c r="AH26">
        <v>1</v>
      </c>
      <c r="AI26">
        <v>1</v>
      </c>
      <c r="AJ26">
        <v>0</v>
      </c>
      <c r="AK26">
        <v>0</v>
      </c>
      <c r="AL26">
        <v>0</v>
      </c>
      <c r="AM26">
        <v>6</v>
      </c>
      <c r="AN26">
        <v>1</v>
      </c>
      <c r="AO26" s="4983">
        <v>0</v>
      </c>
      <c r="AP26">
        <v>0</v>
      </c>
      <c r="AQ26">
        <v>0</v>
      </c>
      <c r="AR26">
        <v>0</v>
      </c>
      <c r="AS26">
        <v>0</v>
      </c>
      <c r="AT26" s="4984"/>
      <c r="BB26" s="4985"/>
      <c r="BG26" s="4986"/>
      <c r="BO26" s="4987"/>
      <c r="BT26" s="4988"/>
      <c r="CB26" s="4989"/>
    </row>
    <row r="27" spans="1:82" x14ac:dyDescent="0.25">
      <c r="A27" s="4990" t="s">
        <v>1034</v>
      </c>
      <c r="B27">
        <v>0.63</v>
      </c>
      <c r="C27">
        <v>1.19</v>
      </c>
      <c r="D27">
        <v>0.46</v>
      </c>
      <c r="G27" s="4991">
        <v>1</v>
      </c>
      <c r="H27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992">
        <v>0</v>
      </c>
      <c r="P27">
        <v>0</v>
      </c>
      <c r="Q27">
        <v>0</v>
      </c>
      <c r="R27">
        <v>0</v>
      </c>
      <c r="S27">
        <v>0</v>
      </c>
      <c r="T27" s="4993">
        <v>1</v>
      </c>
      <c r="U27">
        <v>1</v>
      </c>
      <c r="V27">
        <v>1</v>
      </c>
      <c r="W27">
        <v>0</v>
      </c>
      <c r="X27">
        <v>0</v>
      </c>
      <c r="Y27">
        <v>0</v>
      </c>
      <c r="Z27">
        <v>2</v>
      </c>
      <c r="AA27">
        <v>1</v>
      </c>
      <c r="AB27" s="4994">
        <v>0</v>
      </c>
      <c r="AC27">
        <v>0</v>
      </c>
      <c r="AD27">
        <v>0</v>
      </c>
      <c r="AE27">
        <v>0</v>
      </c>
      <c r="AF27">
        <v>0</v>
      </c>
      <c r="AG27" s="4995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4996">
        <v>0</v>
      </c>
      <c r="AP27">
        <v>0</v>
      </c>
      <c r="AQ27">
        <v>0</v>
      </c>
      <c r="AR27">
        <v>0</v>
      </c>
      <c r="AS27">
        <v>0</v>
      </c>
      <c r="AT27" s="4997"/>
      <c r="BB27" s="4998"/>
      <c r="BG27" s="4999"/>
      <c r="BO27" s="5000"/>
      <c r="BT27" s="5001"/>
      <c r="CB27" s="5002"/>
    </row>
    <row r="28" spans="1:82" x14ac:dyDescent="0.25">
      <c r="A28" s="5003" t="s">
        <v>1413</v>
      </c>
      <c r="B28">
        <v>0.9</v>
      </c>
      <c r="C28">
        <v>1.4</v>
      </c>
      <c r="D28">
        <v>1.44</v>
      </c>
      <c r="G28" s="5004">
        <v>0</v>
      </c>
      <c r="H28">
        <v>1</v>
      </c>
      <c r="I28">
        <v>0</v>
      </c>
      <c r="J28">
        <v>0</v>
      </c>
      <c r="K28">
        <v>0</v>
      </c>
      <c r="L28">
        <v>0</v>
      </c>
      <c r="M28">
        <v>3</v>
      </c>
      <c r="N28">
        <v>0</v>
      </c>
      <c r="O28" s="5005">
        <v>0</v>
      </c>
      <c r="P28">
        <v>0</v>
      </c>
      <c r="Q28">
        <v>0</v>
      </c>
      <c r="R28">
        <v>0</v>
      </c>
      <c r="S28">
        <v>0</v>
      </c>
      <c r="T28" s="5006">
        <v>0</v>
      </c>
      <c r="U28">
        <v>1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 s="5007">
        <v>1</v>
      </c>
      <c r="AC28">
        <v>0</v>
      </c>
      <c r="AD28">
        <v>0</v>
      </c>
      <c r="AE28">
        <v>0</v>
      </c>
      <c r="AF28">
        <v>0</v>
      </c>
      <c r="AG28" s="5008">
        <v>2</v>
      </c>
      <c r="AH28">
        <v>2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 s="5009">
        <v>0</v>
      </c>
      <c r="AP28">
        <v>0</v>
      </c>
      <c r="AQ28">
        <v>0</v>
      </c>
      <c r="AR28">
        <v>0</v>
      </c>
      <c r="AS28">
        <v>0</v>
      </c>
      <c r="AT28" s="5010"/>
      <c r="BB28" s="5011"/>
      <c r="BG28" s="5012"/>
      <c r="BO28" s="5013"/>
      <c r="BT28" s="5014"/>
      <c r="CB28" s="5015"/>
    </row>
    <row r="29" spans="1:82" x14ac:dyDescent="0.25">
      <c r="A29" s="5016" t="s">
        <v>346</v>
      </c>
      <c r="B29">
        <v>0.69</v>
      </c>
      <c r="C29">
        <v>0.49</v>
      </c>
      <c r="D29">
        <v>1.0900000000000001</v>
      </c>
      <c r="G29" s="5017">
        <v>0</v>
      </c>
      <c r="H29">
        <v>1</v>
      </c>
      <c r="I29">
        <v>0</v>
      </c>
      <c r="J29">
        <v>0</v>
      </c>
      <c r="K29">
        <v>0</v>
      </c>
      <c r="L29">
        <v>0</v>
      </c>
      <c r="M29">
        <v>1</v>
      </c>
      <c r="N29">
        <v>0</v>
      </c>
      <c r="O29" s="5018">
        <v>1</v>
      </c>
      <c r="P29">
        <v>0</v>
      </c>
      <c r="Q29">
        <v>0</v>
      </c>
      <c r="R29">
        <v>0</v>
      </c>
      <c r="S29">
        <v>0</v>
      </c>
      <c r="T29" s="501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5020">
        <v>0</v>
      </c>
      <c r="AC29">
        <v>0</v>
      </c>
      <c r="AD29">
        <v>0</v>
      </c>
      <c r="AE29">
        <v>0</v>
      </c>
      <c r="AF29">
        <v>0</v>
      </c>
      <c r="AG29" s="5021">
        <v>0</v>
      </c>
      <c r="AH29">
        <v>1</v>
      </c>
      <c r="AI29">
        <v>1</v>
      </c>
      <c r="AJ29">
        <v>0</v>
      </c>
      <c r="AK29">
        <v>0</v>
      </c>
      <c r="AL29">
        <v>0</v>
      </c>
      <c r="AM29">
        <v>2</v>
      </c>
      <c r="AN29">
        <v>1</v>
      </c>
      <c r="AO29" s="5022">
        <v>0</v>
      </c>
      <c r="AP29">
        <v>0</v>
      </c>
      <c r="AQ29">
        <v>0</v>
      </c>
      <c r="AR29">
        <v>0</v>
      </c>
      <c r="AS29">
        <v>0</v>
      </c>
      <c r="AT29" s="5023"/>
      <c r="BB29" s="5024"/>
      <c r="BG29" s="5025"/>
      <c r="BO29" s="5026"/>
      <c r="BT29" s="5027"/>
      <c r="CB29" s="5028"/>
    </row>
    <row r="30" spans="1:82" x14ac:dyDescent="0.25">
      <c r="A30" s="5029" t="s">
        <v>1416</v>
      </c>
      <c r="B30">
        <v>1.33</v>
      </c>
      <c r="C30">
        <v>0.76</v>
      </c>
      <c r="D30">
        <v>1.22</v>
      </c>
      <c r="G30" s="5030">
        <v>0</v>
      </c>
      <c r="H30">
        <v>2</v>
      </c>
      <c r="I30">
        <v>1</v>
      </c>
      <c r="J30">
        <v>0</v>
      </c>
      <c r="K30">
        <v>0</v>
      </c>
      <c r="L30">
        <v>0</v>
      </c>
      <c r="M30">
        <v>1</v>
      </c>
      <c r="N30">
        <v>1</v>
      </c>
      <c r="O30" s="5031">
        <v>0</v>
      </c>
      <c r="P30">
        <v>0</v>
      </c>
      <c r="Q30">
        <v>0</v>
      </c>
      <c r="R30">
        <v>0</v>
      </c>
      <c r="S30">
        <v>0</v>
      </c>
      <c r="T30" s="5032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 s="5033">
        <v>0</v>
      </c>
      <c r="AC30">
        <v>0</v>
      </c>
      <c r="AD30">
        <v>0</v>
      </c>
      <c r="AE30">
        <v>0</v>
      </c>
      <c r="AF30">
        <v>0</v>
      </c>
      <c r="AG30" s="5034">
        <v>0</v>
      </c>
      <c r="AH30">
        <v>4</v>
      </c>
      <c r="AI30">
        <v>0</v>
      </c>
      <c r="AJ30">
        <v>0</v>
      </c>
      <c r="AK30">
        <v>0</v>
      </c>
      <c r="AL30">
        <v>0</v>
      </c>
      <c r="AM30">
        <v>5</v>
      </c>
      <c r="AN30">
        <v>0</v>
      </c>
      <c r="AO30" s="5035">
        <v>1</v>
      </c>
      <c r="AP30">
        <v>0</v>
      </c>
      <c r="AQ30">
        <v>0</v>
      </c>
      <c r="AR30">
        <v>0</v>
      </c>
      <c r="AS30">
        <v>0</v>
      </c>
      <c r="AT30" s="5036"/>
      <c r="BB30" s="5037"/>
      <c r="BG30" s="5038"/>
      <c r="BO30" s="5039"/>
      <c r="BT30" s="5040"/>
      <c r="CB30" s="5041"/>
    </row>
    <row r="31" spans="1:82" x14ac:dyDescent="0.25">
      <c r="A31" s="5042" t="s">
        <v>1042</v>
      </c>
      <c r="B31">
        <v>0.57999999999999996</v>
      </c>
      <c r="C31">
        <v>0.73</v>
      </c>
      <c r="D31">
        <v>1.27</v>
      </c>
      <c r="G31" s="5043">
        <v>0</v>
      </c>
      <c r="H31">
        <v>4</v>
      </c>
      <c r="I31">
        <v>1</v>
      </c>
      <c r="J31">
        <v>0</v>
      </c>
      <c r="K31">
        <v>0</v>
      </c>
      <c r="L31">
        <v>0</v>
      </c>
      <c r="M31">
        <v>2</v>
      </c>
      <c r="N31">
        <v>0</v>
      </c>
      <c r="O31" s="5044">
        <v>0</v>
      </c>
      <c r="P31">
        <v>0</v>
      </c>
      <c r="Q31">
        <v>0</v>
      </c>
      <c r="R31">
        <v>0</v>
      </c>
      <c r="S31">
        <v>0</v>
      </c>
      <c r="T31" s="5045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v>0</v>
      </c>
      <c r="AB31" s="5046">
        <v>0</v>
      </c>
      <c r="AC31">
        <v>0</v>
      </c>
      <c r="AD31">
        <v>0</v>
      </c>
      <c r="AE31">
        <v>0</v>
      </c>
      <c r="AF31">
        <v>0</v>
      </c>
      <c r="AG31" s="5047">
        <v>1</v>
      </c>
      <c r="AH31">
        <v>2</v>
      </c>
      <c r="AI31">
        <v>0</v>
      </c>
      <c r="AJ31">
        <v>0</v>
      </c>
      <c r="AK31">
        <v>0</v>
      </c>
      <c r="AL31">
        <v>0</v>
      </c>
      <c r="AM31">
        <v>3</v>
      </c>
      <c r="AN31">
        <v>0</v>
      </c>
      <c r="AO31" s="5048">
        <v>1</v>
      </c>
      <c r="AP31">
        <v>0</v>
      </c>
      <c r="AQ31">
        <v>0</v>
      </c>
      <c r="AR31">
        <v>0</v>
      </c>
      <c r="AS31">
        <v>0</v>
      </c>
      <c r="AT31" s="5049"/>
      <c r="BB31" s="5050"/>
      <c r="BG31" s="5051"/>
      <c r="BO31" s="5052"/>
      <c r="BT31" s="5053"/>
      <c r="CB31" s="5054"/>
    </row>
    <row r="32" spans="1:82" x14ac:dyDescent="0.25">
      <c r="A32" s="5055" t="s">
        <v>349</v>
      </c>
      <c r="B32">
        <v>0.56999999999999995</v>
      </c>
      <c r="C32">
        <v>0.68</v>
      </c>
      <c r="D32">
        <v>0.91</v>
      </c>
      <c r="G32" s="5056">
        <v>0</v>
      </c>
      <c r="H32">
        <v>1</v>
      </c>
      <c r="I32">
        <v>0</v>
      </c>
      <c r="J32">
        <v>0</v>
      </c>
      <c r="K32">
        <v>0</v>
      </c>
      <c r="L32">
        <v>0</v>
      </c>
      <c r="M32">
        <v>1</v>
      </c>
      <c r="N32">
        <v>1</v>
      </c>
      <c r="O32" s="5057">
        <v>0</v>
      </c>
      <c r="P32">
        <v>0</v>
      </c>
      <c r="Q32">
        <v>0</v>
      </c>
      <c r="R32">
        <v>0</v>
      </c>
      <c r="S32">
        <v>0</v>
      </c>
      <c r="T32" s="5058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3</v>
      </c>
      <c r="AA32">
        <v>0</v>
      </c>
      <c r="AB32" s="5059">
        <v>0</v>
      </c>
      <c r="AC32">
        <v>0</v>
      </c>
      <c r="AD32">
        <v>0</v>
      </c>
      <c r="AE32">
        <v>0</v>
      </c>
      <c r="AF32">
        <v>0</v>
      </c>
      <c r="AG32" s="5060">
        <v>0</v>
      </c>
      <c r="AH32">
        <v>1</v>
      </c>
      <c r="AI32">
        <v>0</v>
      </c>
      <c r="AJ32">
        <v>0</v>
      </c>
      <c r="AK32">
        <v>0</v>
      </c>
      <c r="AL32">
        <v>1</v>
      </c>
      <c r="AM32">
        <v>3</v>
      </c>
      <c r="AN32">
        <v>0</v>
      </c>
      <c r="AO32" s="5061">
        <v>0</v>
      </c>
      <c r="AP32">
        <v>1</v>
      </c>
      <c r="AQ32">
        <v>0</v>
      </c>
      <c r="AR32">
        <v>0</v>
      </c>
      <c r="AS32">
        <v>0</v>
      </c>
      <c r="AT32" s="5062"/>
      <c r="BB32" s="5063"/>
      <c r="BG32" s="5064"/>
      <c r="BO32" s="5065"/>
      <c r="BT32" s="5066"/>
      <c r="CB32" s="5067"/>
      <c r="CD32" t="s">
        <v>1420</v>
      </c>
    </row>
    <row r="33" spans="1:80" x14ac:dyDescent="0.25">
      <c r="A33" s="5082" t="s">
        <v>1422</v>
      </c>
      <c r="B33" s="5082"/>
      <c r="C33" s="5082"/>
      <c r="D33" s="5082"/>
      <c r="E33" s="5082"/>
      <c r="F33" s="5082"/>
      <c r="G33" s="5069"/>
      <c r="O33" s="5070"/>
      <c r="T33" s="5071"/>
      <c r="AB33" s="5072"/>
      <c r="AG33" s="5073"/>
      <c r="AO33" s="5074"/>
      <c r="AT33" s="5075"/>
      <c r="BB33" s="5076"/>
      <c r="BG33" s="5077"/>
      <c r="BO33" s="5078"/>
      <c r="BT33" s="5079"/>
      <c r="CB33" s="5080"/>
    </row>
    <row r="34" spans="1:80" x14ac:dyDescent="0.25">
      <c r="A34" s="5081" t="s">
        <v>1423</v>
      </c>
      <c r="B34">
        <v>1.04</v>
      </c>
      <c r="C34">
        <v>1.36</v>
      </c>
      <c r="D34">
        <v>0.81</v>
      </c>
      <c r="G34" s="5082">
        <v>2</v>
      </c>
      <c r="H34">
        <v>2</v>
      </c>
      <c r="I34">
        <v>5</v>
      </c>
      <c r="J34">
        <v>1</v>
      </c>
      <c r="K34">
        <v>0</v>
      </c>
      <c r="L34">
        <v>0</v>
      </c>
      <c r="M34">
        <v>0</v>
      </c>
      <c r="N34">
        <v>2</v>
      </c>
      <c r="O34" s="5083">
        <v>1</v>
      </c>
      <c r="P34">
        <v>0</v>
      </c>
      <c r="Q34">
        <v>0</v>
      </c>
      <c r="R34">
        <v>0</v>
      </c>
      <c r="S34">
        <v>0</v>
      </c>
      <c r="T34" s="5084">
        <v>0</v>
      </c>
      <c r="U34">
        <v>0</v>
      </c>
      <c r="V34">
        <v>1</v>
      </c>
      <c r="W34">
        <v>2</v>
      </c>
      <c r="X34">
        <v>1</v>
      </c>
      <c r="Y34">
        <v>0</v>
      </c>
      <c r="Z34">
        <v>1</v>
      </c>
      <c r="AA34">
        <v>6</v>
      </c>
      <c r="AB34" s="5085">
        <v>1</v>
      </c>
      <c r="AC34">
        <v>1</v>
      </c>
      <c r="AD34">
        <v>0</v>
      </c>
      <c r="AE34">
        <v>0</v>
      </c>
      <c r="AF34">
        <v>0</v>
      </c>
      <c r="AG34" s="5086">
        <v>0</v>
      </c>
      <c r="AH34">
        <v>2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4</v>
      </c>
      <c r="AO34" s="5087">
        <v>0</v>
      </c>
      <c r="AP34">
        <v>0</v>
      </c>
      <c r="AQ34">
        <v>0</v>
      </c>
      <c r="AR34">
        <v>0</v>
      </c>
      <c r="AS34">
        <v>0</v>
      </c>
      <c r="AT34" s="5088">
        <v>0</v>
      </c>
      <c r="BB34" s="5089"/>
      <c r="BG34" s="5090"/>
      <c r="BO34" s="5091"/>
      <c r="BT34" s="5092"/>
      <c r="CB34" s="5093"/>
    </row>
    <row r="35" spans="1:80" x14ac:dyDescent="0.25">
      <c r="B35">
        <f>AVERAGE(B3:B34)</f>
        <v>0.90592592592592591</v>
      </c>
      <c r="C35" s="4469">
        <f t="shared" ref="C35:BN35" si="17">AVERAGE(C3:C34)</f>
        <v>0.95185185185185195</v>
      </c>
      <c r="D35" s="4469">
        <f t="shared" si="17"/>
        <v>1.0757692307692308</v>
      </c>
      <c r="E35" s="4653"/>
      <c r="F35" s="4653"/>
      <c r="G35" s="4653">
        <f>AVERAGE(G3:G34)</f>
        <v>1</v>
      </c>
      <c r="H35" s="4653">
        <f t="shared" si="17"/>
        <v>1.6153846153846154</v>
      </c>
      <c r="I35" s="4653">
        <f t="shared" si="17"/>
        <v>0.65384615384615385</v>
      </c>
      <c r="J35" s="4653">
        <f t="shared" si="17"/>
        <v>0</v>
      </c>
      <c r="K35" s="4653">
        <f t="shared" si="17"/>
        <v>7.6923076923076927E-2</v>
      </c>
      <c r="L35" s="4653">
        <f t="shared" si="17"/>
        <v>0.23076923076923078</v>
      </c>
      <c r="M35" s="4653">
        <f t="shared" si="17"/>
        <v>1.9615384615384615</v>
      </c>
      <c r="N35" s="4653">
        <f t="shared" si="17"/>
        <v>0.42307692307692307</v>
      </c>
      <c r="O35" s="4653">
        <f t="shared" si="17"/>
        <v>0.30769230769230771</v>
      </c>
      <c r="P35" s="4653">
        <f t="shared" si="17"/>
        <v>3.8461538461538464E-2</v>
      </c>
      <c r="Q35" s="4653">
        <f t="shared" si="17"/>
        <v>3.8461538461538464E-2</v>
      </c>
      <c r="R35" s="4653">
        <f t="shared" si="17"/>
        <v>0</v>
      </c>
      <c r="S35" s="4653">
        <f t="shared" si="17"/>
        <v>0</v>
      </c>
      <c r="T35" s="4653">
        <f t="shared" si="17"/>
        <v>0.42307692307692307</v>
      </c>
      <c r="U35" s="4653">
        <f t="shared" si="17"/>
        <v>0.73076923076923073</v>
      </c>
      <c r="V35" s="4653">
        <f t="shared" si="17"/>
        <v>0.34615384615384615</v>
      </c>
      <c r="W35" s="4653">
        <f t="shared" si="17"/>
        <v>0.19230769230769232</v>
      </c>
      <c r="X35" s="4653">
        <f t="shared" si="17"/>
        <v>0</v>
      </c>
      <c r="Y35" s="4653">
        <f t="shared" si="17"/>
        <v>7.6923076923076927E-2</v>
      </c>
      <c r="Z35" s="4653">
        <f t="shared" si="17"/>
        <v>2.5</v>
      </c>
      <c r="AA35" s="4653">
        <f t="shared" si="17"/>
        <v>0.42307692307692307</v>
      </c>
      <c r="AB35" s="4653">
        <f t="shared" si="17"/>
        <v>0.15384615384615385</v>
      </c>
      <c r="AC35" s="4653">
        <f t="shared" si="17"/>
        <v>0.15384615384615385</v>
      </c>
      <c r="AD35" s="4653">
        <f t="shared" si="17"/>
        <v>0</v>
      </c>
      <c r="AE35" s="4653">
        <f t="shared" si="17"/>
        <v>0</v>
      </c>
      <c r="AF35" s="4653">
        <f t="shared" si="17"/>
        <v>0</v>
      </c>
      <c r="AG35" s="4653">
        <f t="shared" si="17"/>
        <v>0.6</v>
      </c>
      <c r="AH35" s="4653">
        <f t="shared" si="17"/>
        <v>1.76</v>
      </c>
      <c r="AI35" s="4653">
        <f t="shared" si="17"/>
        <v>0.48</v>
      </c>
      <c r="AJ35" s="4653">
        <f t="shared" si="17"/>
        <v>0.16</v>
      </c>
      <c r="AK35" s="4653">
        <f t="shared" si="17"/>
        <v>0</v>
      </c>
      <c r="AL35" s="4653">
        <f t="shared" si="17"/>
        <v>0.28000000000000003</v>
      </c>
      <c r="AM35" s="4653">
        <f t="shared" si="17"/>
        <v>3.08</v>
      </c>
      <c r="AN35" s="4653">
        <f t="shared" si="17"/>
        <v>0.72</v>
      </c>
      <c r="AO35" s="4653">
        <f t="shared" si="17"/>
        <v>0.24</v>
      </c>
      <c r="AP35" s="4653">
        <f t="shared" si="17"/>
        <v>0.16</v>
      </c>
      <c r="AQ35" s="4653">
        <f t="shared" si="17"/>
        <v>0</v>
      </c>
      <c r="AR35" s="4653">
        <f t="shared" si="17"/>
        <v>0</v>
      </c>
      <c r="AS35" s="4653">
        <f t="shared" si="17"/>
        <v>0</v>
      </c>
      <c r="AT35" s="4653" t="e">
        <f t="shared" si="17"/>
        <v>#DIV/0!</v>
      </c>
      <c r="AU35" s="4653" t="e">
        <f t="shared" si="17"/>
        <v>#DIV/0!</v>
      </c>
      <c r="AV35" s="4653" t="e">
        <f t="shared" si="17"/>
        <v>#DIV/0!</v>
      </c>
      <c r="AW35" s="4653" t="e">
        <f t="shared" si="17"/>
        <v>#DIV/0!</v>
      </c>
      <c r="AX35" s="4653" t="e">
        <f t="shared" si="17"/>
        <v>#DIV/0!</v>
      </c>
      <c r="AY35" s="4653" t="e">
        <f t="shared" si="17"/>
        <v>#DIV/0!</v>
      </c>
      <c r="AZ35" s="4653" t="e">
        <f t="shared" si="17"/>
        <v>#DIV/0!</v>
      </c>
      <c r="BA35" s="4653" t="e">
        <f t="shared" si="17"/>
        <v>#DIV/0!</v>
      </c>
      <c r="BB35" s="4653" t="e">
        <f t="shared" si="17"/>
        <v>#DIV/0!</v>
      </c>
      <c r="BC35" s="4653" t="e">
        <f t="shared" si="17"/>
        <v>#DIV/0!</v>
      </c>
      <c r="BD35" s="4653" t="e">
        <f t="shared" si="17"/>
        <v>#DIV/0!</v>
      </c>
      <c r="BE35" s="4653" t="e">
        <f t="shared" si="17"/>
        <v>#DIV/0!</v>
      </c>
      <c r="BF35" s="4653" t="e">
        <f t="shared" si="17"/>
        <v>#DIV/0!</v>
      </c>
      <c r="BG35" s="4653" t="e">
        <f t="shared" si="17"/>
        <v>#DIV/0!</v>
      </c>
      <c r="BH35" s="4653" t="e">
        <f t="shared" si="17"/>
        <v>#DIV/0!</v>
      </c>
      <c r="BI35" s="4653" t="e">
        <f t="shared" si="17"/>
        <v>#DIV/0!</v>
      </c>
      <c r="BJ35" s="4653" t="e">
        <f t="shared" si="17"/>
        <v>#DIV/0!</v>
      </c>
      <c r="BK35" s="4653" t="e">
        <f t="shared" si="17"/>
        <v>#DIV/0!</v>
      </c>
      <c r="BL35" s="4653" t="e">
        <f t="shared" si="17"/>
        <v>#DIV/0!</v>
      </c>
      <c r="BM35" s="4653" t="e">
        <f t="shared" si="17"/>
        <v>#DIV/0!</v>
      </c>
      <c r="BN35" s="4653" t="e">
        <f t="shared" si="17"/>
        <v>#DIV/0!</v>
      </c>
      <c r="BO35" s="4653" t="e">
        <f t="shared" ref="BO35:CB35" si="18">AVERAGE(BO3:BO34)</f>
        <v>#DIV/0!</v>
      </c>
      <c r="BP35" s="4653" t="e">
        <f t="shared" si="18"/>
        <v>#DIV/0!</v>
      </c>
      <c r="BQ35" s="4653" t="e">
        <f t="shared" si="18"/>
        <v>#DIV/0!</v>
      </c>
      <c r="BR35" s="4653" t="e">
        <f t="shared" si="18"/>
        <v>#DIV/0!</v>
      </c>
      <c r="BS35" s="4653" t="e">
        <f t="shared" si="18"/>
        <v>#DIV/0!</v>
      </c>
      <c r="BT35" s="4653" t="e">
        <f t="shared" si="18"/>
        <v>#DIV/0!</v>
      </c>
      <c r="BU35" s="4653" t="e">
        <f t="shared" si="18"/>
        <v>#DIV/0!</v>
      </c>
      <c r="BV35" s="4653" t="e">
        <f t="shared" si="18"/>
        <v>#DIV/0!</v>
      </c>
      <c r="BW35" s="4653" t="e">
        <f t="shared" si="18"/>
        <v>#DIV/0!</v>
      </c>
      <c r="BX35" s="4653" t="e">
        <f t="shared" si="18"/>
        <v>#DIV/0!</v>
      </c>
      <c r="BY35" s="4653" t="e">
        <f t="shared" si="18"/>
        <v>#DIV/0!</v>
      </c>
      <c r="BZ35" s="4653" t="e">
        <f t="shared" si="18"/>
        <v>#DIV/0!</v>
      </c>
      <c r="CA35" s="4653" t="e">
        <f t="shared" si="18"/>
        <v>#DIV/0!</v>
      </c>
      <c r="CB35" s="4653" t="e">
        <f t="shared" si="18"/>
        <v>#DIV/0!</v>
      </c>
    </row>
  </sheetData>
  <mergeCells count="18">
    <mergeCell ref="CJ6:CO6"/>
    <mergeCell ref="CP6:CU6"/>
    <mergeCell ref="CV6:DA6"/>
    <mergeCell ref="DB6:DG6"/>
    <mergeCell ref="CJ1:CO1"/>
    <mergeCell ref="CP1:CU1"/>
    <mergeCell ref="CV1:DA1"/>
    <mergeCell ref="DB1:DG1"/>
    <mergeCell ref="DH1:DM1"/>
    <mergeCell ref="CP4:CU4"/>
    <mergeCell ref="CJ4:CO4"/>
    <mergeCell ref="CV4:DA4"/>
    <mergeCell ref="DB4:DG4"/>
    <mergeCell ref="DH3:DM3"/>
    <mergeCell ref="CJ3:CO3"/>
    <mergeCell ref="CP3:CU3"/>
    <mergeCell ref="CV3:DA3"/>
    <mergeCell ref="DB3:DG3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BED8-4C09-49AF-97E8-07C5353E85D6}">
  <dimension ref="A1:EA9"/>
  <sheetViews>
    <sheetView workbookViewId="0">
      <selection activeCell="H8" sqref="H8"/>
    </sheetView>
  </sheetViews>
  <sheetFormatPr defaultRowHeight="15" x14ac:dyDescent="0.25"/>
  <cols>
    <col min="5" max="6" width="9.140625" style="4149"/>
  </cols>
  <sheetData>
    <row r="1" spans="1:131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CL1" s="5126" t="s">
        <v>1100</v>
      </c>
      <c r="CM1" s="5126"/>
      <c r="CN1" s="5126"/>
      <c r="CO1" s="5126"/>
      <c r="CP1" s="5126"/>
      <c r="CQ1" s="5126"/>
      <c r="CR1" s="5143" t="s">
        <v>1343</v>
      </c>
      <c r="CS1" s="5124"/>
      <c r="CT1" s="5124"/>
      <c r="CU1" s="5124"/>
      <c r="CV1" s="5124"/>
      <c r="CW1" s="5124"/>
      <c r="CX1" s="5125" t="s">
        <v>1101</v>
      </c>
      <c r="CY1" s="5125"/>
      <c r="CZ1" s="5125"/>
      <c r="DA1" s="5125"/>
      <c r="DB1" s="5125"/>
      <c r="DC1" s="5125"/>
      <c r="DD1" s="5115" t="s">
        <v>1102</v>
      </c>
      <c r="DE1" s="5115"/>
      <c r="DF1" s="5115"/>
      <c r="DG1" s="5115"/>
      <c r="DH1" s="5115"/>
      <c r="DI1" s="5115"/>
      <c r="DJ1" s="5125" t="s">
        <v>1104</v>
      </c>
      <c r="DK1" s="5125"/>
      <c r="DL1" s="5125"/>
      <c r="DM1" s="5125"/>
      <c r="DN1" s="5125"/>
      <c r="DO1" s="5125"/>
      <c r="DP1" s="3999"/>
      <c r="DQ1" s="3999"/>
      <c r="DR1" s="3999"/>
      <c r="DS1" s="3999"/>
      <c r="DT1" s="3999"/>
      <c r="DU1" s="3999"/>
      <c r="DV1" s="3999"/>
      <c r="DW1" s="3999"/>
      <c r="DX1" s="3999"/>
      <c r="DY1" s="3999"/>
      <c r="DZ1" s="3999"/>
      <c r="EA1" s="3999"/>
    </row>
    <row r="2" spans="1:131" x14ac:dyDescent="0.25"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AVERAGE(#REF!)</f>
        <v>#REF!</v>
      </c>
      <c r="CQ2" s="1" t="e">
        <f>AVERAGE(#REF!)</f>
        <v>#REF!</v>
      </c>
      <c r="CR2" s="1" t="e">
        <f>AVERAGE(B3)</f>
        <v>#DIV/0!</v>
      </c>
      <c r="CS2" s="1" t="e">
        <f>AVERAGE(C3)</f>
        <v>#DIV/0!</v>
      </c>
      <c r="CT2" s="1" t="e">
        <f>AVERAGE(D3)</f>
        <v>#DIV/0!</v>
      </c>
      <c r="CU2" s="1" t="e">
        <f t="shared" ref="CU2" si="0">AVERAGE(G3)</f>
        <v>#DIV/0!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3999"/>
      <c r="DQ2" s="3999"/>
      <c r="DR2" s="3999"/>
      <c r="DS2" s="3999"/>
      <c r="DT2" s="3999"/>
      <c r="DU2" s="3999"/>
      <c r="DV2" s="3999"/>
      <c r="DW2" s="3999"/>
      <c r="DX2" s="3999"/>
      <c r="DY2" s="3999"/>
      <c r="DZ2" s="3999"/>
      <c r="EA2" s="3999"/>
    </row>
    <row r="3" spans="1:131" x14ac:dyDescent="0.25">
      <c r="CL3" s="5098" t="e">
        <f>_xlfn.AGGREGATE(1,6,CL2:CQ2)</f>
        <v>#DIV/0!</v>
      </c>
      <c r="CM3" s="5098"/>
      <c r="CN3" s="5098"/>
      <c r="CO3" s="5098"/>
      <c r="CP3" s="5098"/>
      <c r="CQ3" s="5098"/>
      <c r="CR3" s="5098" t="e">
        <f t="shared" ref="CR3" si="1">_xlfn.AGGREGATE(1,6,CR2:CW2)</f>
        <v>#DIV/0!</v>
      </c>
      <c r="CS3" s="5098"/>
      <c r="CT3" s="5098"/>
      <c r="CU3" s="5098"/>
      <c r="CV3" s="5098"/>
      <c r="CW3" s="5098"/>
      <c r="CX3" s="5098" t="e">
        <f t="shared" ref="CX3" si="2">_xlfn.AGGREGATE(1,6,CX2:DC2)</f>
        <v>#DIV/0!</v>
      </c>
      <c r="CY3" s="5098"/>
      <c r="CZ3" s="5098"/>
      <c r="DA3" s="5098"/>
      <c r="DB3" s="5098"/>
      <c r="DC3" s="5098"/>
      <c r="DD3" s="5098" t="e">
        <f t="shared" ref="DD3" si="3">_xlfn.AGGREGATE(1,6,DD2:DI2)</f>
        <v>#DIV/0!</v>
      </c>
      <c r="DE3" s="5098"/>
      <c r="DF3" s="5098"/>
      <c r="DG3" s="5098"/>
      <c r="DH3" s="5098"/>
      <c r="DI3" s="5098"/>
      <c r="DJ3" s="5098" t="e">
        <f t="shared" ref="DJ3" si="4">_xlfn.AGGREGATE(1,6,DJ2:DO2)</f>
        <v>#DIV/0!</v>
      </c>
      <c r="DK3" s="5098"/>
      <c r="DL3" s="5098"/>
      <c r="DM3" s="5098"/>
      <c r="DN3" s="5098"/>
      <c r="DO3" s="5098"/>
      <c r="DP3" s="3999"/>
      <c r="DQ3" s="3999"/>
      <c r="DR3" s="3999"/>
      <c r="DS3" s="3999"/>
      <c r="DT3" s="3999"/>
      <c r="DU3" s="3999"/>
      <c r="DV3" s="3999"/>
      <c r="DW3" s="3999"/>
      <c r="DX3" s="3999"/>
      <c r="DY3" s="3999"/>
      <c r="DZ3" s="3999"/>
      <c r="EA3" s="3999"/>
    </row>
    <row r="4" spans="1:131" x14ac:dyDescent="0.25">
      <c r="CL4" s="5115" t="s">
        <v>1099</v>
      </c>
      <c r="CM4" s="5115"/>
      <c r="CN4" s="5115"/>
      <c r="CO4" s="5115"/>
      <c r="CP4" s="5115"/>
      <c r="CQ4" s="5115"/>
      <c r="CR4" s="5122" t="s">
        <v>994</v>
      </c>
      <c r="CS4" s="5122"/>
      <c r="CT4" s="5122"/>
      <c r="CU4" s="5122"/>
      <c r="CV4" s="5122"/>
      <c r="CW4" s="5122"/>
      <c r="CX4" s="5115" t="s">
        <v>1103</v>
      </c>
      <c r="CY4" s="5115"/>
      <c r="CZ4" s="5115"/>
      <c r="DA4" s="5115"/>
      <c r="DB4" s="5115"/>
      <c r="DC4" s="5115"/>
      <c r="DD4" s="5123" t="s">
        <v>1105</v>
      </c>
      <c r="DE4" s="5122"/>
      <c r="DF4" s="5122"/>
      <c r="DG4" s="5122"/>
      <c r="DH4" s="5122"/>
      <c r="DI4" s="5122"/>
      <c r="DV4" s="3999"/>
      <c r="DW4" s="3999"/>
      <c r="DX4" s="3999"/>
      <c r="DY4" s="3999"/>
      <c r="DZ4" s="3999"/>
      <c r="EA4" s="3999"/>
    </row>
    <row r="5" spans="1:131" x14ac:dyDescent="0.25">
      <c r="CL5" s="3999"/>
      <c r="CM5" s="3999"/>
      <c r="CN5" s="3999"/>
      <c r="CO5" s="3999"/>
      <c r="CP5" s="3999"/>
      <c r="CQ5" s="3999"/>
      <c r="CR5" s="3999"/>
      <c r="CS5" s="3999"/>
      <c r="CT5" s="3999"/>
      <c r="CU5" s="3999"/>
      <c r="CV5" s="3999"/>
      <c r="CW5" s="3999"/>
      <c r="CX5" s="3999"/>
      <c r="CY5" s="3999"/>
      <c r="CZ5" s="3999"/>
      <c r="DA5" s="3999"/>
      <c r="DB5" s="3999"/>
      <c r="DC5" s="3999"/>
      <c r="DD5" s="3999"/>
      <c r="DE5" s="3999"/>
      <c r="DF5" s="3999"/>
      <c r="DG5" s="3999"/>
      <c r="DH5" s="3999"/>
      <c r="DI5" s="3999"/>
      <c r="DJ5" s="3999"/>
      <c r="DK5" s="3999"/>
      <c r="DL5" s="3999"/>
      <c r="DM5" s="3999"/>
      <c r="DN5" s="3999"/>
      <c r="DO5" s="3999"/>
      <c r="DP5" s="3999"/>
      <c r="DQ5" s="3999"/>
      <c r="DR5" s="3999"/>
      <c r="DS5" s="3999"/>
      <c r="DT5" s="3999"/>
      <c r="DU5" s="3999"/>
      <c r="DV5" s="3999"/>
      <c r="DW5" s="3999"/>
      <c r="DX5" s="3999"/>
      <c r="DY5" s="3999"/>
      <c r="DZ5" s="3999"/>
      <c r="EA5" s="3999"/>
    </row>
    <row r="6" spans="1:131" x14ac:dyDescent="0.25">
      <c r="CL6" s="3999"/>
      <c r="CM6" s="3999"/>
      <c r="CN6" s="3999"/>
      <c r="CO6" s="3999"/>
      <c r="CP6" s="3999"/>
      <c r="CQ6" s="3999"/>
      <c r="CR6" s="3999"/>
      <c r="CS6" s="3999"/>
      <c r="CT6" s="3999"/>
      <c r="CU6" s="3999"/>
      <c r="CV6" s="3999"/>
      <c r="CW6" s="3999"/>
      <c r="CX6" s="3999"/>
      <c r="CY6" s="3999"/>
      <c r="CZ6" s="3999"/>
      <c r="DA6" s="3999"/>
      <c r="DB6" s="3999"/>
      <c r="DC6" s="3999"/>
      <c r="DD6" s="3999"/>
      <c r="DE6" s="3999"/>
      <c r="DF6" s="3999"/>
      <c r="DG6" s="3999"/>
      <c r="DH6" s="3999"/>
      <c r="DI6" s="3999"/>
      <c r="DJ6" s="3999"/>
      <c r="DK6" s="3999"/>
      <c r="DL6" s="3999"/>
      <c r="DM6" s="3999"/>
      <c r="DN6" s="3999"/>
      <c r="DO6" s="3999"/>
      <c r="DP6" s="3999"/>
      <c r="DQ6" s="3999"/>
      <c r="DR6" s="3999"/>
      <c r="DS6" s="3999"/>
      <c r="DT6" s="3999"/>
      <c r="DU6" s="3999"/>
      <c r="DV6" s="3999"/>
      <c r="DW6" s="3999"/>
      <c r="DX6" s="3999"/>
      <c r="DY6" s="3999"/>
      <c r="DZ6" s="3999"/>
      <c r="EA6" s="3999"/>
    </row>
    <row r="7" spans="1:131" x14ac:dyDescent="0.25">
      <c r="CL7" s="3999"/>
      <c r="CM7" s="3999"/>
      <c r="CN7" s="3999"/>
      <c r="CO7" s="3999"/>
      <c r="CP7" s="3999"/>
      <c r="CQ7" s="3999"/>
      <c r="CR7" s="3999"/>
      <c r="CS7" s="3999"/>
      <c r="CT7" s="3999"/>
      <c r="CU7" s="3999"/>
      <c r="CV7" s="3999"/>
      <c r="CW7" s="3999"/>
      <c r="CX7" s="3999"/>
      <c r="CY7" s="3999"/>
      <c r="CZ7" s="3999"/>
      <c r="DA7" s="3999"/>
      <c r="DB7" s="3999"/>
      <c r="DC7" s="3999"/>
      <c r="DD7" s="3999"/>
      <c r="DE7" s="3999"/>
      <c r="DF7" s="3999"/>
      <c r="DG7" s="3999"/>
      <c r="DH7" s="3999"/>
      <c r="DI7" s="3999"/>
      <c r="DJ7" s="3999"/>
      <c r="DK7" s="3999"/>
      <c r="DL7" s="3999"/>
      <c r="DM7" s="3999"/>
      <c r="DN7" s="3999"/>
      <c r="DO7" s="3999"/>
      <c r="DP7" s="3999"/>
      <c r="DQ7" s="3999"/>
      <c r="DR7" s="3999"/>
      <c r="DS7" s="3999"/>
      <c r="DT7" s="3999"/>
      <c r="DU7" s="3999"/>
      <c r="DV7" s="3999"/>
      <c r="DW7" s="3999"/>
      <c r="DX7" s="3999"/>
      <c r="DY7" s="3999"/>
      <c r="DZ7" s="3999"/>
      <c r="EA7" s="3999"/>
    </row>
    <row r="8" spans="1:131" x14ac:dyDescent="0.25">
      <c r="CL8" s="3999"/>
      <c r="CM8" s="3999"/>
      <c r="CN8" s="3999"/>
      <c r="CO8" s="3999"/>
      <c r="CP8" s="3999"/>
      <c r="CQ8" s="3999"/>
      <c r="CR8" s="3999"/>
      <c r="CS8" s="3999"/>
      <c r="CT8" s="3999"/>
      <c r="CU8" s="3999"/>
      <c r="CV8" s="3999"/>
      <c r="CW8" s="3999"/>
      <c r="CX8" s="3999"/>
      <c r="CY8" s="3999"/>
      <c r="CZ8" s="3999"/>
      <c r="DA8" s="3999"/>
      <c r="DB8" s="3999"/>
      <c r="DC8" s="3999"/>
      <c r="DD8" s="3999"/>
      <c r="DE8" s="3999"/>
      <c r="DF8" s="3999"/>
      <c r="DG8" s="3999"/>
      <c r="DH8" s="3999"/>
      <c r="DI8" s="3999"/>
      <c r="DJ8" s="3999"/>
      <c r="DK8" s="3999"/>
      <c r="DL8" s="3999"/>
      <c r="DM8" s="3999"/>
      <c r="DN8" s="3999"/>
      <c r="DO8" s="3999"/>
      <c r="DP8" s="3999"/>
      <c r="DQ8" s="3999"/>
      <c r="DR8" s="3999"/>
      <c r="DS8" s="3999"/>
      <c r="DT8" s="3999"/>
      <c r="DU8" s="3999"/>
      <c r="DV8" s="3999"/>
      <c r="DW8" s="3999"/>
      <c r="DX8" s="3999"/>
      <c r="DY8" s="3999"/>
      <c r="DZ8" s="3999"/>
      <c r="EA8" s="3999"/>
    </row>
    <row r="9" spans="1:131" x14ac:dyDescent="0.25">
      <c r="CR9" s="3999"/>
      <c r="CS9" s="3999"/>
      <c r="CT9" s="3999"/>
      <c r="CU9" s="3999"/>
      <c r="CV9" s="3999"/>
      <c r="CW9" s="3999"/>
      <c r="DJ9" s="3999"/>
      <c r="DK9" s="3999"/>
      <c r="DL9" s="3999"/>
      <c r="DM9" s="3999"/>
      <c r="DN9" s="3999"/>
      <c r="DO9" s="3999"/>
    </row>
  </sheetData>
  <mergeCells count="14">
    <mergeCell ref="DJ3:DO3"/>
    <mergeCell ref="CL1:CQ1"/>
    <mergeCell ref="CR1:CW1"/>
    <mergeCell ref="CX1:DC1"/>
    <mergeCell ref="DD1:DI1"/>
    <mergeCell ref="DJ1:DO1"/>
    <mergeCell ref="CL4:CQ4"/>
    <mergeCell ref="CR4:CW4"/>
    <mergeCell ref="CX4:DC4"/>
    <mergeCell ref="DD4:DI4"/>
    <mergeCell ref="CL3:CQ3"/>
    <mergeCell ref="CR3:CW3"/>
    <mergeCell ref="CX3:DC3"/>
    <mergeCell ref="DD3:DI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2A2A-D235-4797-911B-CD413A0E30C7}">
  <dimension ref="A1:CG19"/>
  <sheetViews>
    <sheetView workbookViewId="0">
      <selection activeCell="L19" sqref="L19"/>
    </sheetView>
  </sheetViews>
  <sheetFormatPr defaultRowHeight="15" x14ac:dyDescent="0.25"/>
  <cols>
    <col min="1" max="1" width="12" customWidth="1"/>
    <col min="2" max="2" width="10" customWidth="1"/>
    <col min="3" max="3" width="11.85546875" customWidth="1"/>
    <col min="10" max="10" width="10.28515625" bestFit="1" customWidth="1"/>
  </cols>
  <sheetData>
    <row r="1" spans="1:85" x14ac:dyDescent="0.25">
      <c r="B1" s="1" t="s">
        <v>84</v>
      </c>
      <c r="C1" s="1" t="s">
        <v>1</v>
      </c>
      <c r="D1" s="1" t="s">
        <v>183</v>
      </c>
      <c r="E1" s="4148" t="s">
        <v>1344</v>
      </c>
      <c r="J1" s="3999"/>
    </row>
    <row r="2" spans="1:85" x14ac:dyDescent="0.25">
      <c r="A2" s="619" t="s">
        <v>1345</v>
      </c>
      <c r="B2" s="619"/>
      <c r="C2" s="619"/>
      <c r="D2" s="619"/>
      <c r="E2" s="619"/>
    </row>
    <row r="3" spans="1:85" x14ac:dyDescent="0.25">
      <c r="A3" s="4151" t="s">
        <v>1346</v>
      </c>
      <c r="B3">
        <v>0.86</v>
      </c>
      <c r="C3">
        <v>1.42</v>
      </c>
      <c r="H3" s="5118" t="s">
        <v>1372</v>
      </c>
      <c r="I3" s="5118"/>
      <c r="J3" s="5118"/>
      <c r="K3" s="5118"/>
      <c r="L3" s="5116" t="s">
        <v>1402</v>
      </c>
      <c r="M3" s="5116"/>
      <c r="N3" s="5116"/>
      <c r="O3" s="5116"/>
      <c r="P3" s="5123" t="s">
        <v>1370</v>
      </c>
      <c r="Q3" s="5123"/>
      <c r="R3" s="5123"/>
      <c r="S3" s="5123"/>
      <c r="T3" s="5115" t="s">
        <v>1400</v>
      </c>
      <c r="U3" s="5115"/>
      <c r="V3" s="5115"/>
      <c r="W3" s="5115"/>
      <c r="X3" s="5115" t="s">
        <v>1374</v>
      </c>
      <c r="Y3" s="5115"/>
      <c r="Z3" s="5115"/>
      <c r="AA3" s="5115"/>
      <c r="AB3" s="5117" t="s">
        <v>1367</v>
      </c>
      <c r="AC3" s="5117"/>
      <c r="AD3" s="5117"/>
      <c r="AE3" s="5117"/>
      <c r="AF3" s="5117" t="s">
        <v>1373</v>
      </c>
      <c r="AG3" s="5117"/>
      <c r="AH3" s="5117"/>
      <c r="AI3" s="5117"/>
      <c r="AJ3" s="3999"/>
      <c r="AK3" s="3999"/>
      <c r="AL3" s="3999"/>
      <c r="AM3" s="3999"/>
      <c r="AN3" s="3999"/>
      <c r="AO3" s="3999"/>
      <c r="AP3" s="3999"/>
      <c r="AQ3" s="3999"/>
      <c r="AR3" s="3999"/>
      <c r="AS3" s="3999"/>
    </row>
    <row r="4" spans="1:85" x14ac:dyDescent="0.25">
      <c r="A4" s="44" t="s">
        <v>1347</v>
      </c>
      <c r="B4" s="44"/>
      <c r="C4" s="44"/>
      <c r="D4" s="44"/>
      <c r="E4" s="44"/>
      <c r="H4" s="1">
        <f>AVERAGE(B13)</f>
        <v>0.7</v>
      </c>
      <c r="I4" s="1">
        <f t="shared" ref="I4:K4" si="0">AVERAGE(C13)</f>
        <v>1.1499999999999999</v>
      </c>
      <c r="J4" s="1" t="e">
        <f t="shared" si="0"/>
        <v>#DIV/0!</v>
      </c>
      <c r="K4" s="1" t="e">
        <f t="shared" si="0"/>
        <v>#DIV/0!</v>
      </c>
      <c r="L4" s="1">
        <f>AVERAGE(B11,B12,B18)</f>
        <v>1.1000000000000001</v>
      </c>
      <c r="M4" s="1">
        <f t="shared" ref="M4:O4" si="1">AVERAGE(C11,C12,C18)</f>
        <v>1.0833333333333333</v>
      </c>
      <c r="N4" s="1" t="e">
        <f t="shared" si="1"/>
        <v>#DIV/0!</v>
      </c>
      <c r="O4" s="1" t="e">
        <f t="shared" si="1"/>
        <v>#DIV/0!</v>
      </c>
      <c r="P4" s="1">
        <f>AVERAGE(B3,B10)</f>
        <v>0.86499999999999999</v>
      </c>
      <c r="Q4" s="1">
        <f t="shared" ref="Q4:S4" si="2">AVERAGE(C3,C10)</f>
        <v>1.38</v>
      </c>
      <c r="R4" s="1" t="e">
        <f t="shared" si="2"/>
        <v>#DIV/0!</v>
      </c>
      <c r="S4" s="1" t="e">
        <f t="shared" si="2"/>
        <v>#DIV/0!</v>
      </c>
      <c r="T4" s="1">
        <f>AVERAGE(B9,B15,B17)</f>
        <v>1.04</v>
      </c>
      <c r="U4" s="1">
        <f t="shared" ref="U4:W4" si="3">AVERAGE(C9,C15,C17)</f>
        <v>0.94666666666666666</v>
      </c>
      <c r="V4" s="1" t="e">
        <f t="shared" si="3"/>
        <v>#DIV/0!</v>
      </c>
      <c r="W4" s="1" t="e">
        <f t="shared" si="3"/>
        <v>#DIV/0!</v>
      </c>
      <c r="X4" s="1">
        <f>AVERAGE(B5,B8)</f>
        <v>1.6</v>
      </c>
      <c r="Y4" s="1" t="e">
        <f>AVERAGE(C5,C8)</f>
        <v>#DIV/0!</v>
      </c>
      <c r="Z4" s="1" t="e">
        <f>AVERAGE(D5)</f>
        <v>#DIV/0!</v>
      </c>
      <c r="AA4" s="1">
        <f>AVERAGE(E5)</f>
        <v>1.35</v>
      </c>
      <c r="AB4">
        <f>AVERAGE(B7)</f>
        <v>1.33</v>
      </c>
      <c r="AC4" s="4469">
        <f t="shared" ref="AC4:AE4" si="4">AVERAGE(C7)</f>
        <v>0.65</v>
      </c>
      <c r="AD4" s="4469" t="e">
        <f t="shared" si="4"/>
        <v>#DIV/0!</v>
      </c>
      <c r="AE4" s="4469" t="e">
        <f t="shared" si="4"/>
        <v>#DIV/0!</v>
      </c>
      <c r="AF4" s="4469">
        <f>AVERAGE(B8)</f>
        <v>0.26</v>
      </c>
      <c r="AG4" s="4469">
        <f t="shared" ref="AG4:AI4" si="5">AVERAGE(C8)</f>
        <v>0.65</v>
      </c>
      <c r="AH4" s="4469" t="e">
        <f t="shared" si="5"/>
        <v>#DIV/0!</v>
      </c>
      <c r="AI4" s="4469" t="e">
        <f t="shared" si="5"/>
        <v>#DIV/0!</v>
      </c>
      <c r="AJ4" s="3999"/>
      <c r="AK4" s="3999"/>
      <c r="AL4" s="3999"/>
      <c r="AM4" s="3999"/>
      <c r="AN4" s="3999"/>
      <c r="AO4" s="3999"/>
      <c r="AP4" s="3999"/>
      <c r="AQ4" s="3999"/>
      <c r="AR4" s="3999"/>
      <c r="AS4" s="3999"/>
    </row>
    <row r="5" spans="1:85" x14ac:dyDescent="0.25">
      <c r="A5" s="4152" t="s">
        <v>1348</v>
      </c>
      <c r="B5">
        <v>1.6</v>
      </c>
      <c r="E5">
        <v>1.35</v>
      </c>
      <c r="H5" s="5114" t="e">
        <f>AVERAGE(H4:K4)</f>
        <v>#DIV/0!</v>
      </c>
      <c r="I5" s="5114"/>
      <c r="J5" s="5114"/>
      <c r="K5" s="5114"/>
      <c r="L5" s="5114" t="e">
        <f>AVERAGE(L4:O4)</f>
        <v>#DIV/0!</v>
      </c>
      <c r="M5" s="5114"/>
      <c r="N5" s="5114"/>
      <c r="O5" s="5114"/>
      <c r="P5" s="5114" t="e">
        <f>AVERAGE(P4:S4)</f>
        <v>#DIV/0!</v>
      </c>
      <c r="Q5" s="5114"/>
      <c r="R5" s="5114"/>
      <c r="S5" s="5114"/>
      <c r="T5" s="5114" t="e">
        <f>AVERAGE(T4:W4)</f>
        <v>#DIV/0!</v>
      </c>
      <c r="U5" s="5114"/>
      <c r="V5" s="5114"/>
      <c r="W5" s="5114"/>
      <c r="X5" s="5114" t="e">
        <f>AVERAGE(X4:AA4)</f>
        <v>#DIV/0!</v>
      </c>
      <c r="Y5" s="5114"/>
      <c r="Z5" s="5114"/>
      <c r="AA5" s="5114"/>
      <c r="AB5" s="5114" t="e">
        <f t="shared" ref="AB5" si="6">AVERAGE(AB4:AE4)</f>
        <v>#DIV/0!</v>
      </c>
      <c r="AC5" s="5114"/>
      <c r="AD5" s="5114"/>
      <c r="AE5" s="5114"/>
      <c r="AF5" s="5114" t="e">
        <f>AVERAGE(AF4:AI4)</f>
        <v>#DIV/0!</v>
      </c>
      <c r="AG5" s="5114"/>
      <c r="AH5" s="5114"/>
      <c r="AI5" s="5114"/>
      <c r="AJ5" s="4409"/>
      <c r="AK5" s="4409"/>
      <c r="AL5" s="4409"/>
      <c r="AM5" s="4409"/>
      <c r="AN5" s="4409"/>
      <c r="AO5" s="4409"/>
      <c r="AP5" s="4409"/>
      <c r="AQ5" s="4409"/>
      <c r="AR5" s="4409"/>
      <c r="AS5" s="4409"/>
      <c r="AT5" s="4409"/>
      <c r="AU5" s="4409"/>
      <c r="AV5" s="4409"/>
      <c r="AW5" s="4409"/>
      <c r="AX5" s="4409"/>
      <c r="AY5" s="4409"/>
      <c r="AZ5" s="4409"/>
      <c r="BA5" s="4409"/>
      <c r="BB5" s="4409"/>
      <c r="BC5" s="4409"/>
      <c r="BG5" s="4409"/>
      <c r="BH5" s="4409"/>
      <c r="BI5" s="4409"/>
      <c r="BJ5" s="4409"/>
      <c r="BK5" s="4409"/>
      <c r="BL5" s="4409"/>
      <c r="BM5" s="4409"/>
      <c r="BN5" s="4409"/>
      <c r="BO5" s="4409"/>
      <c r="BP5" s="4409"/>
      <c r="BQ5" s="4409"/>
      <c r="BR5" s="4409"/>
      <c r="BS5" s="4409"/>
      <c r="BT5" s="4409"/>
      <c r="BU5" s="4409"/>
      <c r="BV5" s="4409"/>
      <c r="BW5" s="4409"/>
      <c r="BX5" s="4409"/>
      <c r="BY5" s="4409"/>
      <c r="BZ5" s="4409"/>
      <c r="CA5" s="4409"/>
      <c r="CB5" s="4409"/>
      <c r="CC5" s="4409"/>
    </row>
    <row r="6" spans="1:85" x14ac:dyDescent="0.25">
      <c r="A6" s="4459" t="s">
        <v>1365</v>
      </c>
      <c r="B6" s="4459"/>
      <c r="C6" s="4459"/>
      <c r="D6" s="4459"/>
      <c r="E6" s="4459"/>
      <c r="H6" s="4409"/>
      <c r="I6" s="4409"/>
      <c r="J6" s="4409"/>
      <c r="K6" s="4409"/>
      <c r="L6" s="4409"/>
      <c r="M6" s="4409"/>
      <c r="N6" s="4409"/>
      <c r="O6" s="4409"/>
      <c r="P6" s="4409"/>
      <c r="Q6" s="4409"/>
      <c r="R6" s="4409"/>
      <c r="S6" s="4409"/>
      <c r="T6" s="4409"/>
      <c r="U6" s="4409"/>
      <c r="V6" s="4409"/>
      <c r="W6" s="4409"/>
      <c r="X6" s="4409"/>
      <c r="Y6" s="4409"/>
      <c r="Z6" s="4409"/>
      <c r="AA6" s="4409"/>
      <c r="AB6" s="4409"/>
      <c r="AC6" s="4409"/>
      <c r="AD6" s="4409"/>
      <c r="AE6" s="4409"/>
      <c r="AF6" s="4409"/>
      <c r="AG6" s="4409"/>
      <c r="AH6" s="4409"/>
      <c r="AI6" s="4409"/>
      <c r="AJ6" s="4409"/>
      <c r="AK6" s="4409"/>
      <c r="AL6" s="4409"/>
      <c r="AM6" s="4409"/>
      <c r="AN6" s="4409"/>
      <c r="AO6" s="4409"/>
      <c r="AP6" s="4409"/>
      <c r="AQ6" s="4409"/>
      <c r="AR6" s="4409"/>
      <c r="AS6" s="4409"/>
      <c r="AT6" s="4409"/>
      <c r="AU6" s="4409"/>
      <c r="AV6" s="4409"/>
      <c r="AW6" s="4409"/>
      <c r="AX6" s="4409"/>
      <c r="AY6" s="4409"/>
      <c r="AZ6" s="4409"/>
      <c r="BA6" s="4409"/>
      <c r="BB6" s="4409"/>
      <c r="BC6" s="4409"/>
      <c r="BD6" s="4409"/>
      <c r="BE6" s="4409"/>
      <c r="BG6" s="4409"/>
      <c r="BH6" s="4409"/>
      <c r="BI6" s="4409"/>
      <c r="BJ6" s="4409"/>
      <c r="BK6" s="4409"/>
      <c r="BL6" s="4409"/>
      <c r="BM6" s="4409"/>
      <c r="BN6" s="4409"/>
      <c r="BO6" s="4409"/>
      <c r="BP6" s="4409"/>
      <c r="BQ6" s="4409"/>
      <c r="BR6" s="4409"/>
      <c r="BS6" s="4409"/>
      <c r="BT6" s="4409"/>
      <c r="BU6" s="4409"/>
      <c r="BV6" s="4409"/>
      <c r="BW6" s="4409"/>
      <c r="BX6" s="4409"/>
      <c r="BY6" s="4409"/>
      <c r="BZ6" s="4409"/>
      <c r="CA6" s="4409"/>
      <c r="CB6" s="4409"/>
      <c r="CC6" s="4409"/>
    </row>
    <row r="7" spans="1:85" x14ac:dyDescent="0.25">
      <c r="A7" s="4411" t="s">
        <v>1366</v>
      </c>
      <c r="B7">
        <v>1.33</v>
      </c>
      <c r="C7">
        <v>0.65</v>
      </c>
    </row>
    <row r="8" spans="1:85" x14ac:dyDescent="0.25">
      <c r="A8" s="4412" t="s">
        <v>1368</v>
      </c>
      <c r="B8">
        <v>0.26</v>
      </c>
      <c r="C8">
        <v>0.65</v>
      </c>
    </row>
    <row r="9" spans="1:85" x14ac:dyDescent="0.25">
      <c r="A9" s="4413" t="s">
        <v>1350</v>
      </c>
      <c r="B9">
        <v>0.86</v>
      </c>
      <c r="C9">
        <v>0.95</v>
      </c>
    </row>
    <row r="10" spans="1:85" x14ac:dyDescent="0.25">
      <c r="A10" s="4414" t="s">
        <v>1369</v>
      </c>
      <c r="B10">
        <v>0.87</v>
      </c>
      <c r="C10">
        <v>1.34</v>
      </c>
    </row>
    <row r="11" spans="1:85" x14ac:dyDescent="0.25">
      <c r="A11" s="4415" t="s">
        <v>330</v>
      </c>
      <c r="B11">
        <v>1.1299999999999999</v>
      </c>
      <c r="C11">
        <v>1.2</v>
      </c>
    </row>
    <row r="12" spans="1:85" x14ac:dyDescent="0.25">
      <c r="A12" s="4416" t="s">
        <v>1371</v>
      </c>
      <c r="B12">
        <v>1.61</v>
      </c>
      <c r="C12">
        <v>1.26</v>
      </c>
    </row>
    <row r="13" spans="1:85" x14ac:dyDescent="0.25">
      <c r="A13" s="4417" t="s">
        <v>388</v>
      </c>
      <c r="B13">
        <v>0.7</v>
      </c>
      <c r="C13">
        <v>1.1499999999999999</v>
      </c>
    </row>
    <row r="14" spans="1:85" x14ac:dyDescent="0.25">
      <c r="A14" s="44" t="s">
        <v>1376</v>
      </c>
      <c r="B14" s="44"/>
      <c r="C14" s="44"/>
      <c r="D14" s="44"/>
      <c r="E14" s="44"/>
      <c r="G14" s="4651"/>
      <c r="H14" s="4651"/>
      <c r="I14" s="4651"/>
      <c r="J14" s="4651"/>
      <c r="K14" s="4651"/>
      <c r="L14" s="4651"/>
      <c r="M14" s="4651"/>
      <c r="N14" s="4651"/>
      <c r="O14" s="4651"/>
      <c r="P14" s="4651"/>
      <c r="Q14" s="4651"/>
      <c r="R14" s="4651"/>
      <c r="S14" s="4651"/>
      <c r="T14" s="4651"/>
      <c r="U14" s="4651"/>
      <c r="V14" s="4651"/>
      <c r="W14" s="4651"/>
      <c r="X14" s="4651"/>
      <c r="Y14" s="4651"/>
      <c r="Z14" s="4651"/>
      <c r="AA14" s="4651"/>
      <c r="AB14" s="4651"/>
      <c r="AC14" s="4651"/>
      <c r="AD14" s="4651"/>
      <c r="AE14" s="4651"/>
      <c r="AF14" s="4651"/>
      <c r="AG14" s="4651"/>
      <c r="AH14" s="4651"/>
      <c r="AI14" s="4651"/>
      <c r="AJ14" s="4651"/>
      <c r="AK14" s="4651"/>
      <c r="AL14" s="4651"/>
      <c r="AM14" s="4651"/>
      <c r="AN14" s="4651"/>
      <c r="AO14" s="4651"/>
      <c r="AP14" s="4651"/>
      <c r="AQ14" s="4651"/>
      <c r="AR14" s="4651"/>
      <c r="AS14" s="4651"/>
      <c r="AT14" s="4651"/>
      <c r="AU14" s="4651"/>
      <c r="AV14" s="4651"/>
      <c r="AW14" s="4651"/>
      <c r="AX14" s="4651"/>
      <c r="AY14" s="4651"/>
      <c r="AZ14" s="4651"/>
      <c r="BA14" s="4651"/>
      <c r="BB14" s="4651"/>
      <c r="BC14" s="4651"/>
      <c r="BD14" s="4651"/>
      <c r="BE14" s="4651"/>
      <c r="BF14" s="4651"/>
      <c r="BG14" s="4651"/>
      <c r="BH14" s="4651"/>
      <c r="BI14" s="4651"/>
      <c r="BJ14" s="4651"/>
      <c r="BK14" s="4651"/>
      <c r="BL14" s="4651"/>
      <c r="BM14" s="4651"/>
      <c r="BN14" s="4651"/>
      <c r="BO14" s="4651"/>
      <c r="BP14" s="4651"/>
      <c r="BQ14" s="4651"/>
      <c r="BR14" s="4651"/>
      <c r="BS14" s="4651"/>
      <c r="BT14" s="4651"/>
      <c r="BU14" s="4651"/>
      <c r="BV14" s="4651"/>
      <c r="BW14" s="4651"/>
      <c r="BX14" s="4651"/>
      <c r="BY14" s="4651"/>
      <c r="BZ14" s="4651"/>
      <c r="CA14" s="4651"/>
      <c r="CB14" s="4651"/>
      <c r="CC14" s="4651"/>
      <c r="CD14" s="4651"/>
      <c r="CE14" s="4651"/>
      <c r="CF14" s="4651"/>
      <c r="CG14" s="4651"/>
    </row>
    <row r="15" spans="1:85" x14ac:dyDescent="0.25">
      <c r="A15" s="4652" t="s">
        <v>1385</v>
      </c>
      <c r="B15">
        <v>1.28</v>
      </c>
      <c r="C15">
        <v>0.79</v>
      </c>
    </row>
    <row r="16" spans="1:85" x14ac:dyDescent="0.25">
      <c r="A16" s="619" t="s">
        <v>1398</v>
      </c>
      <c r="B16" s="619"/>
      <c r="C16" s="619"/>
      <c r="D16" s="619"/>
      <c r="E16" s="619"/>
      <c r="G16" s="4808"/>
      <c r="H16" s="4808"/>
      <c r="I16" s="4808"/>
      <c r="J16" s="4808"/>
      <c r="K16" s="4808"/>
      <c r="L16" s="4808"/>
      <c r="M16" s="4808"/>
      <c r="N16" s="4808"/>
      <c r="O16" s="4808"/>
      <c r="P16" s="4808"/>
      <c r="Q16" s="4808"/>
      <c r="R16" s="4808"/>
      <c r="S16" s="4808"/>
      <c r="T16" s="4808"/>
      <c r="U16" s="4808"/>
      <c r="V16" s="4808"/>
      <c r="W16" s="4808"/>
      <c r="X16" s="4808"/>
      <c r="Y16" s="4808"/>
      <c r="Z16" s="4808"/>
      <c r="AA16" s="4808"/>
      <c r="AB16" s="4808"/>
      <c r="AC16" s="4808"/>
      <c r="AD16" s="4808"/>
      <c r="AE16" s="4808"/>
      <c r="AF16" s="4808"/>
      <c r="AG16" s="4808"/>
      <c r="AH16" s="4808"/>
      <c r="AI16" s="4808"/>
      <c r="AJ16" s="4808"/>
      <c r="AK16" s="4808"/>
      <c r="AL16" s="4808"/>
      <c r="AM16" s="4808"/>
      <c r="AN16" s="4808"/>
      <c r="AO16" s="4808"/>
      <c r="AP16" s="4808"/>
      <c r="AQ16" s="4808"/>
      <c r="AR16" s="4808"/>
      <c r="AS16" s="4808"/>
      <c r="AT16" s="4808"/>
      <c r="AU16" s="4808"/>
      <c r="AV16" s="4808"/>
      <c r="AW16" s="4808"/>
      <c r="AX16" s="4808"/>
      <c r="AY16" s="4808"/>
      <c r="AZ16" s="4808"/>
      <c r="BA16" s="4808"/>
      <c r="BB16" s="4808"/>
      <c r="BC16" s="4808"/>
      <c r="BD16" s="4808"/>
      <c r="BE16" s="4808"/>
      <c r="BF16" s="4808"/>
      <c r="BG16" s="4808"/>
      <c r="BH16" s="4808"/>
      <c r="BI16" s="4808"/>
      <c r="BJ16" s="4808"/>
      <c r="BK16" s="4808"/>
      <c r="BL16" s="4808"/>
      <c r="BM16" s="4808"/>
      <c r="BN16" s="4808"/>
      <c r="BO16" s="4808"/>
      <c r="BP16" s="4808"/>
      <c r="BQ16" s="4808"/>
      <c r="BR16" s="4808"/>
      <c r="BS16" s="4808"/>
      <c r="BT16" s="4808"/>
      <c r="BU16" s="4808"/>
      <c r="BV16" s="4808"/>
      <c r="BW16" s="4808"/>
      <c r="BX16" s="4808"/>
      <c r="BY16" s="4808"/>
      <c r="BZ16" s="4808"/>
      <c r="CA16" s="4808"/>
      <c r="CB16" s="4808"/>
      <c r="CC16" s="4808"/>
      <c r="CD16" s="4808"/>
      <c r="CE16" s="4808"/>
      <c r="CF16" s="4808"/>
      <c r="CG16" s="4808"/>
    </row>
    <row r="17" spans="1:5" x14ac:dyDescent="0.25">
      <c r="A17" s="4809" t="s">
        <v>1399</v>
      </c>
      <c r="B17">
        <v>0.98</v>
      </c>
      <c r="C17">
        <v>1.1000000000000001</v>
      </c>
    </row>
    <row r="18" spans="1:5" x14ac:dyDescent="0.25">
      <c r="A18" s="4810" t="s">
        <v>1401</v>
      </c>
      <c r="B18">
        <v>0.56000000000000005</v>
      </c>
      <c r="C18">
        <v>0.79</v>
      </c>
    </row>
    <row r="19" spans="1:5" x14ac:dyDescent="0.25">
      <c r="B19">
        <f>AVERAGE(B3:B18)</f>
        <v>1.0033333333333332</v>
      </c>
      <c r="C19" s="4150">
        <f t="shared" ref="C19:E19" si="7">AVERAGE(C3:C18)</f>
        <v>1.0272727272727273</v>
      </c>
      <c r="D19" s="4150" t="e">
        <f t="shared" si="7"/>
        <v>#DIV/0!</v>
      </c>
      <c r="E19" s="4150">
        <f t="shared" si="7"/>
        <v>1.35</v>
      </c>
    </row>
  </sheetData>
  <mergeCells count="14">
    <mergeCell ref="L5:O5"/>
    <mergeCell ref="H5:K5"/>
    <mergeCell ref="T5:W5"/>
    <mergeCell ref="X5:AA5"/>
    <mergeCell ref="H3:K3"/>
    <mergeCell ref="L3:O3"/>
    <mergeCell ref="P3:S3"/>
    <mergeCell ref="T3:W3"/>
    <mergeCell ref="X3:AA3"/>
    <mergeCell ref="AB3:AE3"/>
    <mergeCell ref="AB5:AE5"/>
    <mergeCell ref="AF5:AI5"/>
    <mergeCell ref="AF3:AI3"/>
    <mergeCell ref="P5:S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  <vt:lpstr>2026 mm</vt:lpstr>
      <vt:lpstr>Premier 2026</vt:lpstr>
      <vt:lpstr>Faceit 2026</vt:lpstr>
      <vt:lpstr>2х2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2026-03-16T13:23:24Z</dcterms:modified>
</cp:coreProperties>
</file>