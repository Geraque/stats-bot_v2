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F16CC5AB-0B72-46A2-9870-3F855ABDB480}" xr6:coauthVersionLast="45" xr6:coauthVersionMax="47" xr10:uidLastSave="{00000000-0000-0000-0000-000000000000}"/>
  <bookViews>
    <workbookView xWindow="-120" yWindow="-120" windowWidth="29040" windowHeight="15720" firstSheet="3" activeTab="11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257" i="12" l="1"/>
  <c r="DJ2" i="13" l="1"/>
  <c r="DI2" i="13"/>
  <c r="DH2" i="13"/>
  <c r="DZ2" i="14" l="1"/>
  <c r="DT5" i="14"/>
  <c r="DO5" i="14"/>
  <c r="DP5" i="14"/>
  <c r="DQ5" i="14"/>
  <c r="DR5" i="14"/>
  <c r="DS5" i="14"/>
  <c r="DN5" i="14"/>
  <c r="DN2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CW2" i="14"/>
  <c r="CX2" i="14"/>
  <c r="CY2" i="14"/>
  <c r="CZ2" i="14"/>
  <c r="DA2" i="14"/>
  <c r="CV2" i="14"/>
  <c r="CQ2" i="14"/>
  <c r="CR2" i="14"/>
  <c r="CS2" i="14"/>
  <c r="CT2" i="14"/>
  <c r="CU2" i="14"/>
  <c r="CP2" i="14"/>
  <c r="CK2" i="14"/>
  <c r="CL2" i="14"/>
  <c r="CM2" i="14"/>
  <c r="CN2" i="14"/>
  <c r="CO2" i="14"/>
  <c r="CJ2" i="14"/>
  <c r="CK5" i="14"/>
  <c r="CL5" i="14"/>
  <c r="CM5" i="14"/>
  <c r="CN5" i="14"/>
  <c r="CO5" i="14"/>
  <c r="CJ5" i="14"/>
  <c r="CQ5" i="14"/>
  <c r="CR5" i="14"/>
  <c r="CS5" i="14"/>
  <c r="CT5" i="14"/>
  <c r="CU5" i="14"/>
  <c r="CP5" i="14"/>
  <c r="DO5" i="13"/>
  <c r="DP5" i="13"/>
  <c r="DQ5" i="13"/>
  <c r="DN5" i="13"/>
  <c r="DB5" i="13"/>
  <c r="DB2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H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O2" i="14"/>
  <c r="DP2" i="14"/>
  <c r="DQ2" i="14"/>
  <c r="DR2" i="14"/>
  <c r="DS2" i="14"/>
  <c r="DI5" i="14"/>
  <c r="DJ5" i="14"/>
  <c r="DK5" i="14"/>
  <c r="DL5" i="14"/>
  <c r="DM5" i="14"/>
  <c r="DH5" i="14"/>
  <c r="DH6" i="14" s="1"/>
  <c r="DH3" i="14"/>
  <c r="CW5" i="14"/>
  <c r="CX5" i="14"/>
  <c r="CY5" i="14"/>
  <c r="CZ5" i="14"/>
  <c r="DA5" i="14"/>
  <c r="CV5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CG329" i="14"/>
  <c r="CF329" i="14"/>
  <c r="CE329" i="14"/>
  <c r="CD329" i="14"/>
  <c r="CC329" i="14"/>
  <c r="CB329" i="14"/>
  <c r="CA329" i="14"/>
  <c r="BZ329" i="14"/>
  <c r="BY329" i="14"/>
  <c r="BX329" i="14"/>
  <c r="BW329" i="14"/>
  <c r="BV329" i="14"/>
  <c r="BU329" i="14"/>
  <c r="BT329" i="14"/>
  <c r="BS329" i="14"/>
  <c r="BR329" i="14"/>
  <c r="BQ329" i="14"/>
  <c r="BP329" i="14"/>
  <c r="BO329" i="14"/>
  <c r="BN329" i="14"/>
  <c r="BM329" i="14"/>
  <c r="BL329" i="14"/>
  <c r="BK329" i="14"/>
  <c r="BJ329" i="14"/>
  <c r="BI329" i="14"/>
  <c r="BH329" i="14"/>
  <c r="BG329" i="14"/>
  <c r="BF329" i="14"/>
  <c r="BE329" i="14"/>
  <c r="BD329" i="14"/>
  <c r="BC329" i="14"/>
  <c r="BB329" i="14"/>
  <c r="BA329" i="14"/>
  <c r="AZ329" i="14"/>
  <c r="AY329" i="14"/>
  <c r="AX329" i="14"/>
  <c r="AW329" i="14"/>
  <c r="AV329" i="14"/>
  <c r="AU329" i="14"/>
  <c r="AT329" i="14"/>
  <c r="AS329" i="14"/>
  <c r="AR329" i="14"/>
  <c r="AQ329" i="14"/>
  <c r="AP329" i="14"/>
  <c r="AO329" i="14"/>
  <c r="AN329" i="14"/>
  <c r="AM329" i="14"/>
  <c r="AL329" i="14"/>
  <c r="AK329" i="14"/>
  <c r="AJ329" i="14"/>
  <c r="AI329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B329" i="14"/>
  <c r="AR124" i="13"/>
  <c r="AQ124" i="13"/>
  <c r="AP124" i="13"/>
  <c r="AO124" i="13"/>
  <c r="AN124" i="13"/>
  <c r="AM124" i="13"/>
  <c r="AL124" i="13"/>
  <c r="AK124" i="13"/>
  <c r="AJ124" i="13"/>
  <c r="AI124" i="13"/>
  <c r="AH124" i="13"/>
  <c r="AG124" i="13"/>
  <c r="AF124" i="13"/>
  <c r="AE124" i="13"/>
  <c r="AD124" i="13"/>
  <c r="AC124" i="13"/>
  <c r="AB124" i="13"/>
  <c r="AA124" i="13"/>
  <c r="Z124" i="13"/>
  <c r="Y124" i="13"/>
  <c r="X124" i="13"/>
  <c r="W124" i="13"/>
  <c r="V124" i="13"/>
  <c r="U124" i="13"/>
  <c r="T124" i="13"/>
  <c r="S124" i="13"/>
  <c r="R124" i="13"/>
  <c r="Q124" i="13"/>
  <c r="P124" i="13"/>
  <c r="O124" i="13"/>
  <c r="N124" i="13"/>
  <c r="M124" i="13"/>
  <c r="L124" i="13"/>
  <c r="K124" i="13"/>
  <c r="J124" i="13"/>
  <c r="I124" i="13"/>
  <c r="H124" i="13"/>
  <c r="G124" i="13"/>
  <c r="F124" i="13"/>
  <c r="E124" i="13"/>
  <c r="D124" i="13"/>
  <c r="C124" i="13"/>
  <c r="B124" i="13"/>
  <c r="E257" i="12"/>
  <c r="D257" i="12"/>
  <c r="C257" i="12"/>
</calcChain>
</file>

<file path=xl/sharedStrings.xml><?xml version="1.0" encoding="utf-8"?>
<sst xmlns="http://schemas.openxmlformats.org/spreadsheetml/2006/main" count="2509" uniqueCount="1337">
  <si>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</si>
  <si>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</si>
  <si>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</si>
  <si>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</si>
  <si>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</si>
  <si>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</si>
  <si>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</si>
  <si>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</si>
  <si>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</si>
  <si>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</si>
  <si>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</si>
  <si>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</si>
  <si>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</si>
  <si>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</si>
  <si>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</si>
  <si>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</si>
  <si>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</si>
  <si>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</si>
  <si>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</si>
  <si>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</si>
  <si>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</si>
  <si>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</si>
  <si>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</si>
  <si>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</si>
  <si>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</si>
  <si>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</si>
  <si>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</si>
  <si>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</si>
  <si>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</si>
  <si>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</si>
  <si>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</si>
  <si>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</si>
  <si>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</si>
  <si>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</si>
  <si>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</si>
  <si>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</si>
  <si>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</si>
  <si>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</si>
  <si>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</si>
  <si>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</si>
  <si>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</si>
  <si>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</si>
  <si>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</si>
  <si>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</si>
  <si>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</si>
  <si>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</si>
  <si>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</si>
  <si>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</si>
  <si>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</si>
  <si>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</si>
  <si>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</si>
  <si>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</si>
  <si>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</si>
  <si>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</si>
  <si>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</si>
  <si>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</si>
  <si>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</si>
  <si>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</si>
  <si>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</si>
  <si>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</si>
  <si>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</si>
  <si>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</si>
  <si>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</si>
  <si>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</si>
  <si>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</si>
  <si>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</si>
  <si>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</si>
  <si>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</si>
  <si>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</si>
  <si>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</si>
  <si>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</si>
  <si>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</si>
  <si>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</si>
  <si>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</si>
  <si>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</si>
  <si>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</si>
  <si>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</si>
  <si>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</si>
  <si>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</si>
  <si>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</si>
  <si>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</si>
  <si>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</si>
  <si>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</si>
  <si>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</si>
  <si>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</si>
  <si>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</si>
  <si>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</si>
  <si>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</si>
  <si>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</si>
  <si>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</si>
  <si>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</si>
  <si>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</si>
  <si>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</si>
  <si>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</si>
  <si>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</si>
  <si>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</si>
  <si>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</si>
  <si>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</si>
  <si>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</si>
  <si>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</si>
  <si>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</si>
  <si>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</si>
  <si>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</si>
  <si>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</si>
  <si>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</si>
  <si>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</si>
  <si>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</si>
  <si>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</si>
  <si>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</si>
  <si>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</si>
  <si>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</si>
  <si>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</si>
  <si>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</si>
  <si>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</si>
  <si>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</si>
  <si>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</si>
  <si>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</si>
  <si>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</si>
  <si>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</si>
  <si>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</si>
  <si>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</si>
  <si>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</si>
  <si>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</si>
  <si>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</si>
  <si>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</si>
  <si>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</si>
  <si>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</si>
  <si>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</si>
  <si>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</si>
  <si>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</si>
  <si>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</si>
  <si>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</si>
  <si>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</si>
  <si>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</si>
  <si>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</si>
  <si>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</si>
  <si>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</si>
  <si>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</si>
  <si>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</si>
  <si>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</si>
  <si>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</si>
  <si>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</si>
  <si>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</si>
  <si>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</si>
  <si>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</si>
  <si>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</si>
  <si>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</si>
  <si>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</si>
  <si>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</si>
  <si>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</si>
  <si>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</si>
  <si>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</si>
  <si>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</si>
  <si>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</si>
  <si>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</si>
  <si>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</si>
  <si>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</si>
  <si>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</si>
  <si>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</si>
  <si>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</si>
  <si>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</si>
  <si>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</si>
  <si>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</si>
  <si>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</si>
  <si>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</si>
  <si>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</si>
  <si>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</si>
  <si>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</si>
  <si>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</si>
  <si>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</si>
  <si>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</si>
  <si>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</si>
  <si>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</si>
  <si>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</si>
  <si>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</si>
  <si>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</si>
  <si>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</si>
  <si>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</si>
  <si>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</si>
  <si>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</si>
  <si>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</si>
  <si>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</si>
  <si>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</si>
  <si>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</si>
  <si>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</si>
  <si>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</si>
  <si>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</si>
  <si>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</si>
  <si>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</si>
  <si>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</si>
  <si>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</si>
  <si>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</si>
  <si>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</si>
  <si>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</si>
  <si>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</si>
  <si>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</si>
  <si>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</si>
  <si>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</si>
  <si>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</si>
  <si>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</si>
  <si>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</si>
  <si>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</si>
  <si>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</si>
  <si>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</si>
  <si>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</si>
  <si>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</si>
  <si>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</si>
  <si>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</si>
  <si>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</si>
  <si>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</si>
  <si>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</si>
  <si>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</si>
  <si>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</si>
  <si>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</si>
  <si>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</si>
  <si>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</si>
  <si>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</si>
  <si>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</si>
  <si>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</si>
  <si>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</si>
  <si>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</si>
  <si>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</si>
  <si>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</si>
  <si>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</si>
  <si>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</si>
  <si>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</si>
  <si>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</si>
  <si>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</si>
  <si>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</si>
  <si>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</si>
  <si>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</si>
  <si>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</si>
  <si>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</si>
  <si>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</si>
  <si>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</si>
  <si>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</si>
  <si>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</si>
  <si>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</si>
  <si>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</si>
  <si>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</si>
  <si>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</si>
  <si>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</si>
  <si>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</si>
  <si>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</si>
  <si>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</si>
  <si>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</si>
  <si>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</si>
  <si>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</si>
  <si>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</si>
  <si>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</si>
  <si>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</si>
  <si>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</si>
  <si>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</si>
  <si>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</si>
  <si>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</si>
  <si>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</si>
  <si>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</si>
  <si>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</si>
  <si>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</si>
  <si>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</si>
  <si>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</si>
  <si>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</si>
  <si>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</si>
  <si>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</si>
  <si>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</si>
  <si>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</si>
  <si>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</si>
  <si>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</si>
  <si>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</si>
  <si>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</si>
  <si>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</si>
  <si>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</si>
  <si>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</si>
  <si>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</si>
  <si>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</si>
  <si>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</si>
  <si>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</si>
  <si>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</si>
  <si>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</si>
  <si>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</si>
  <si>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</si>
  <si>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</si>
  <si>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</si>
  <si>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</si>
  <si>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</si>
  <si>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</si>
  <si>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</si>
  <si>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</si>
  <si>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</si>
  <si>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</si>
  <si>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</si>
  <si>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</si>
  <si>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</si>
  <si>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</si>
  <si>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</si>
  <si>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</si>
  <si>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</si>
  <si>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</si>
  <si>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</si>
  <si>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</si>
  <si>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</si>
  <si>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</si>
  <si>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</si>
  <si>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</si>
  <si>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</si>
  <si>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</si>
  <si>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</si>
  <si>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</si>
  <si>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</si>
  <si>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</si>
  <si>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</si>
  <si>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</si>
  <si>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</si>
  <si>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</si>
  <si>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</si>
  <si>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</si>
  <si>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</si>
  <si>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</si>
  <si>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</si>
  <si>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</si>
  <si>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</si>
  <si>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</si>
  <si>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</si>
  <si>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</si>
  <si>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</si>
  <si>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</si>
  <si>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</si>
  <si>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</si>
  <si>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</si>
  <si>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</si>
  <si>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</si>
  <si>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</si>
  <si>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</si>
  <si>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</si>
  <si>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</si>
  <si>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</si>
  <si>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</si>
  <si>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</si>
  <si>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</si>
  <si>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</si>
  <si>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</si>
  <si>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</si>
  <si>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</si>
  <si>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</si>
  <si>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</si>
  <si>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</si>
  <si>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</si>
  <si>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</si>
  <si>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</si>
  <si>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</si>
  <si>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</si>
  <si>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</si>
  <si>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</si>
  <si>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</si>
  <si>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</si>
  <si>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</si>
  <si>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</si>
  <si>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</si>
  <si>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</si>
  <si>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</si>
  <si>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</si>
  <si>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</si>
  <si>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</si>
  <si>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</si>
  <si>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</si>
  <si>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</si>
  <si>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</si>
  <si>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</si>
  <si>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</si>
  <si>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</si>
  <si>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</si>
  <si>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</si>
  <si>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</si>
  <si>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</si>
  <si>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</si>
  <si>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</si>
  <si>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</si>
  <si>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</si>
  <si>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</si>
  <si>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</si>
  <si>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</si>
  <si>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</si>
  <si>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</si>
  <si>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</si>
  <si>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</si>
  <si>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</si>
  <si>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</si>
  <si>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</si>
  <si>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</si>
  <si>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</si>
  <si>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</si>
  <si>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</si>
  <si>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</si>
  <si>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</si>
  <si>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</si>
  <si>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</si>
  <si>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</si>
  <si>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</si>
  <si>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</si>
  <si>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</si>
  <si>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</si>
  <si>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</si>
  <si>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</si>
  <si>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</si>
  <si>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</si>
  <si>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</si>
  <si>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</si>
  <si>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</si>
  <si>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</si>
  <si>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</si>
  <si>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</si>
  <si>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</si>
  <si>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</si>
  <si>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</si>
  <si>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</si>
  <si>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</si>
  <si>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</si>
  <si>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</si>
  <si>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</si>
  <si>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</si>
  <si>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</si>
  <si>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</si>
  <si>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</si>
  <si>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</si>
  <si>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</si>
  <si>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</si>
  <si>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</si>
  <si>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</si>
  <si>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</si>
  <si>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</si>
  <si>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</si>
  <si>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</si>
  <si>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</si>
  <si>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</si>
  <si>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</si>
  <si>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</si>
  <si>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</si>
  <si>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</si>
  <si>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</si>
  <si>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</si>
  <si>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</si>
  <si>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</si>
  <si>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</si>
  <si>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</si>
  <si>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</si>
  <si>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</si>
  <si>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</si>
  <si>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</si>
  <si>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</si>
  <si>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</si>
  <si>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</si>
  <si>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</si>
  <si>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</si>
  <si>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</si>
  <si>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</si>
  <si>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</si>
  <si>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</si>
  <si>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</si>
  <si>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</si>
  <si>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</si>
  <si>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</si>
  <si>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</si>
  <si>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</si>
  <si>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</si>
  <si>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</si>
  <si>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</si>
  <si>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</si>
  <si>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</si>
  <si>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</si>
  <si>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</si>
  <si>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</si>
  <si>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</si>
  <si>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</si>
  <si>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</si>
  <si>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</si>
  <si>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</si>
  <si>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</si>
  <si>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</si>
  <si>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</si>
  <si>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</si>
  <si>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</si>
  <si>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</si>
  <si>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</si>
  <si>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</si>
  <si>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</si>
  <si>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</si>
  <si>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</si>
  <si>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</si>
  <si>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</si>
  <si>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</si>
  <si>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</si>
  <si>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</si>
  <si>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</si>
  <si>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</si>
  <si>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</si>
  <si>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</si>
  <si>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</si>
  <si>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</si>
  <si>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</si>
  <si>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</si>
  <si>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</si>
  <si>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</si>
  <si>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</si>
  <si>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</si>
  <si>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</si>
  <si>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</si>
  <si>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</si>
  <si>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</si>
  <si>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</si>
  <si>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</si>
  <si>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</si>
  <si>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</si>
  <si>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</si>
  <si>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</si>
  <si>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</si>
  <si>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</si>
  <si>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</si>
  <si>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</si>
  <si>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</si>
  <si>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</si>
  <si>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</si>
  <si>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</si>
  <si>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</si>
  <si>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</si>
  <si>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</si>
  <si>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</si>
  <si>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</si>
  <si>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</si>
  <si>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</si>
  <si>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</si>
  <si>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</si>
  <si>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</si>
  <si>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</si>
  <si>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</si>
  <si>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</si>
  <si>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</si>
  <si>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</si>
  <si>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</si>
  <si>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</si>
  <si>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</si>
  <si>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</si>
  <si>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</si>
  <si>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</si>
  <si>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</si>
  <si>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</si>
  <si>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</si>
  <si>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</si>
  <si>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</si>
  <si>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</si>
  <si>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</si>
  <si>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</si>
  <si>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</si>
  <si>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</si>
  <si>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</si>
  <si>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</si>
  <si>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</si>
  <si>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</si>
  <si>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</si>
  <si>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</si>
  <si>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</si>
  <si>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</si>
  <si>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</si>
  <si>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</si>
  <si>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</si>
  <si>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</si>
  <si>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</si>
  <si>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</si>
  <si>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</si>
  <si>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</si>
  <si>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</si>
  <si>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</si>
  <si>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</si>
  <si>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</si>
  <si>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</si>
  <si>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</si>
  <si>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</si>
  <si>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</si>
  <si>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</si>
  <si>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</si>
  <si>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</si>
  <si>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</si>
  <si>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</si>
  <si>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</si>
  <si>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</si>
  <si>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</si>
  <si>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</si>
  <si>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</si>
  <si>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</si>
  <si>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</si>
  <si>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</si>
  <si>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</si>
  <si>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</si>
  <si>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</si>
  <si>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</si>
  <si>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</si>
  <si>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</si>
  <si>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</si>
  <si>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</si>
  <si>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</si>
  <si>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</si>
  <si>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</si>
  <si>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</si>
  <si>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</si>
  <si>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</si>
  <si>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</si>
  <si>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</si>
  <si>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</si>
  <si>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</si>
  <si>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</si>
  <si>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</si>
  <si>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</si>
  <si>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</si>
  <si>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</si>
  <si>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</si>
  <si>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</si>
  <si>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</si>
  <si>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</si>
  <si>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</si>
  <si>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</si>
  <si>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</si>
  <si>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</si>
  <si>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</si>
  <si>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</si>
  <si>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</si>
  <si>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</si>
  <si>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</si>
  <si>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</si>
  <si>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</si>
  <si>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</si>
  <si>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</si>
  <si>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</si>
  <si>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</si>
  <si>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</si>
  <si>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</si>
  <si>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</si>
  <si>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</si>
  <si>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</si>
  <si>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</si>
  <si>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</si>
  <si>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</si>
  <si>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</si>
  <si>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</si>
  <si>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</si>
  <si>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</si>
  <si>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</si>
  <si>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</si>
  <si>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</si>
  <si>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</si>
  <si>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</si>
  <si>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</si>
  <si>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</si>
  <si>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</si>
  <si>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</si>
  <si>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</si>
  <si>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</si>
  <si>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</si>
  <si>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</si>
  <si>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</si>
  <si>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</si>
  <si>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</si>
  <si>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</si>
  <si>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</si>
  <si>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</si>
  <si>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</si>
  <si>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</si>
  <si>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</si>
  <si>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</si>
  <si>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</si>
  <si>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</si>
  <si>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</si>
  <si>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</si>
  <si>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</si>
  <si>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</si>
  <si>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</si>
  <si>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</si>
  <si>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</si>
  <si>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</si>
  <si>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</si>
  <si>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</si>
  <si>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</si>
  <si>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</si>
  <si>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</si>
  <si>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</si>
  <si>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</si>
  <si>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</si>
  <si>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</si>
  <si>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</si>
  <si>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</si>
  <si>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</si>
  <si>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</si>
  <si>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</si>
  <si>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</si>
  <si>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</si>
  <si>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</si>
  <si>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</si>
  <si>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</si>
  <si>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</si>
  <si>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</si>
  <si>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</si>
  <si>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</si>
  <si>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</si>
  <si>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</si>
  <si>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</si>
  <si>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</si>
  <si>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</si>
  <si>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</si>
  <si>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</si>
  <si>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</si>
  <si>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</si>
  <si>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</si>
  <si>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</si>
  <si>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</si>
  <si>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</si>
  <si>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</si>
  <si>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</si>
  <si>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</si>
  <si>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</si>
  <si>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</si>
  <si>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</si>
  <si>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</si>
  <si>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</si>
  <si>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</si>
  <si>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</si>
  <si>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</si>
  <si>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</si>
  <si>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</si>
  <si>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</si>
  <si>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</si>
  <si>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</si>
  <si>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</si>
  <si>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</si>
  <si>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</si>
  <si>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</si>
  <si>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</si>
  <si>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</si>
  <si>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</si>
  <si>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</si>
  <si>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</si>
  <si>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</si>
  <si>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</si>
  <si>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</si>
  <si>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</si>
  <si>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</si>
  <si>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</si>
  <si>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</si>
  <si>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</si>
  <si>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</si>
  <si>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</si>
  <si>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</si>
  <si>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</si>
  <si>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</si>
  <si>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</si>
  <si>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</si>
  <si>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</si>
  <si>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</si>
  <si>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</si>
  <si>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</si>
  <si>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</si>
  <si>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</si>
  <si>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</si>
  <si>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</si>
  <si>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</si>
  <si>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</si>
  <si>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</si>
  <si>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</si>
  <si>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</si>
  <si>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</si>
  <si>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</si>
  <si>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</si>
  <si>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</si>
  <si>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</si>
  <si>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</si>
  <si>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</si>
  <si>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</si>
  <si>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</si>
  <si>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</si>
  <si>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</si>
  <si>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</si>
  <si>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</si>
  <si>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</si>
  <si>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</si>
  <si>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</si>
  <si>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</si>
  <si>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</si>
  <si>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</si>
  <si>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</si>
  <si>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</si>
  <si>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</si>
  <si>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</si>
  <si>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</si>
  <si>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</si>
  <si>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</si>
  <si>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</si>
  <si>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</si>
  <si>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</si>
  <si>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</si>
  <si>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</si>
  <si>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</si>
  <si>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</si>
  <si>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</si>
  <si>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</si>
  <si>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</si>
  <si>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</si>
  <si>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</si>
  <si>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</si>
  <si>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</si>
  <si>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</si>
  <si>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</si>
  <si>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</si>
  <si>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</si>
  <si>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</si>
  <si>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</si>
  <si>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</si>
  <si>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</si>
  <si>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</si>
  <si>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</si>
  <si>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</si>
  <si>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</si>
  <si>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</si>
  <si>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</si>
  <si>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</si>
  <si>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</si>
  <si>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</si>
  <si>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</si>
  <si>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</si>
  <si>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</si>
  <si>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</si>
  <si>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</si>
  <si>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</si>
  <si>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</si>
  <si>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</si>
  <si>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</si>
  <si>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</si>
  <si>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</si>
  <si>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</si>
  <si>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</si>
  <si>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</si>
  <si>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</si>
  <si>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</si>
  <si>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</si>
  <si>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</si>
  <si>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</si>
  <si>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</si>
  <si>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</si>
  <si>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</si>
  <si>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</si>
  <si>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</si>
  <si>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</si>
  <si>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</si>
  <si>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</si>
  <si>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</si>
  <si>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</si>
  <si>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</si>
  <si>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</si>
  <si>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</si>
  <si>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</si>
  <si>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</si>
  <si>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</si>
  <si>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</si>
  <si>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</si>
  <si>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</si>
  <si>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</si>
  <si>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</si>
  <si>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</si>
  <si>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</si>
  <si>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</si>
  <si>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</si>
  <si>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</si>
  <si>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</si>
  <si>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</si>
  <si>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</si>
  <si>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</si>
  <si>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</si>
  <si>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</si>
  <si>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</si>
  <si>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</si>
  <si>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</si>
  <si>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</si>
  <si>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</si>
  <si>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</si>
  <si>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</si>
  <si>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</si>
  <si>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</si>
  <si>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</si>
  <si>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</si>
  <si>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</si>
  <si>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</si>
  <si>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</si>
  <si>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</si>
  <si>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</si>
  <si>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</si>
  <si>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</si>
  <si>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</si>
  <si>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</si>
  <si>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</si>
  <si>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</si>
  <si>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</si>
  <si>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</si>
  <si>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</si>
  <si>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</si>
  <si>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</si>
  <si>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</si>
  <si>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</si>
  <si>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</si>
  <si>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</si>
  <si>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</si>
  <si>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</si>
  <si>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</si>
  <si>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</si>
  <si>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</si>
  <si>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</si>
  <si>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</si>
  <si>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</si>
  <si>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</si>
  <si>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</si>
  <si>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</si>
  <si>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</si>
  <si>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</si>
  <si>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</si>
  <si>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</si>
  <si>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</si>
  <si>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</si>
  <si>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</si>
  <si>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</si>
  <si>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</si>
  <si>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</si>
  <si>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</si>
  <si>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</si>
  <si>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</si>
  <si>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</si>
  <si>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</si>
  <si>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</si>
  <si>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</si>
  <si>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</si>
  <si>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</si>
  <si>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</si>
  <si>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</si>
  <si>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</si>
  <si>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</si>
  <si>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</si>
  <si>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</si>
  <si>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</si>
  <si>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</si>
  <si>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</si>
  <si>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</si>
  <si>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</si>
  <si>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</si>
  <si>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</si>
  <si>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</si>
  <si>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</si>
  <si>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</si>
  <si>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</si>
  <si>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</si>
  <si>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</si>
  <si>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</si>
  <si>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</si>
  <si>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</si>
  <si>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</si>
  <si>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</si>
  <si>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</si>
  <si>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</si>
  <si>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</si>
  <si>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</si>
  <si>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</si>
  <si>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</si>
  <si>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</si>
  <si>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</si>
  <si>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</si>
  <si>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</si>
  <si>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</si>
  <si>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</si>
  <si>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</si>
  <si>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</si>
  <si>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</si>
  <si>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</si>
  <si>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</si>
  <si>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</si>
  <si>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</si>
  <si>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</si>
  <si>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</si>
  <si>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</si>
  <si>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</si>
  <si>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</si>
  <si>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</si>
  <si>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</si>
  <si>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</si>
  <si>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</si>
  <si>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</si>
  <si>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</si>
  <si>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</si>
  <si>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</si>
  <si>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</si>
  <si>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</si>
  <si>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</si>
  <si>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</si>
  <si>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</si>
  <si>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</si>
  <si>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</si>
  <si>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</si>
  <si>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</si>
  <si>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</si>
  <si>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</si>
  <si>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</si>
  <si>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</si>
  <si>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</si>
  <si>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</si>
  <si>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</si>
  <si>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</si>
  <si>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</si>
  <si>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</si>
  <si>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</si>
  <si>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</si>
  <si>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</si>
  <si>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</si>
  <si>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</si>
  <si>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</si>
  <si>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</si>
  <si>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</si>
  <si>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</si>
  <si>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</si>
  <si>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</si>
  <si>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</si>
  <si>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</si>
  <si>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</si>
  <si>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</si>
  <si>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</si>
  <si>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</si>
  <si>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</si>
  <si>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</si>
  <si>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</si>
  <si>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</si>
  <si>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</si>
  <si>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</si>
  <si>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</si>
  <si>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</si>
  <si>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</si>
  <si>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</si>
  <si>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</si>
  <si>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</si>
  <si>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</si>
  <si>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</si>
  <si>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</si>
  <si>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</si>
  <si>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</si>
  <si>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</si>
  <si>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</si>
  <si>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</si>
  <si>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</si>
  <si>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</si>
  <si>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</si>
  <si>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</si>
  <si>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</si>
  <si>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</si>
  <si>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</si>
  <si>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</si>
  <si>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</si>
  <si>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</si>
  <si>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</si>
  <si>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</si>
  <si>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</si>
  <si>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</si>
  <si>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</si>
  <si>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</si>
  <si>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</si>
  <si>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</si>
  <si>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</si>
  <si>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</si>
  <si>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</si>
  <si>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</si>
  <si>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</si>
  <si>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</si>
  <si>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</si>
  <si>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</si>
  <si>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</si>
  <si>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</si>
  <si>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</si>
  <si>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</si>
  <si>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</si>
  <si>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</si>
  <si>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</si>
  <si>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</si>
  <si>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</si>
  <si>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</si>
  <si>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</si>
  <si>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</si>
  <si>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</si>
  <si>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</si>
  <si>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</si>
  <si>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</si>
  <si>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</si>
  <si>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</si>
  <si>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</si>
  <si>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</si>
  <si>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</si>
  <si>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</si>
  <si>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</si>
  <si>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</si>
  <si>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</si>
  <si>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</si>
  <si>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</si>
  <si>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</si>
  <si>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</si>
  <si>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</si>
  <si>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</si>
  <si>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</si>
  <si>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</si>
  <si>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</si>
  <si>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</si>
  <si>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</si>
  <si>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</si>
  <si>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</si>
  <si>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</si>
  <si>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</si>
  <si>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</si>
  <si>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</si>
  <si>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</si>
  <si>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</si>
  <si>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</si>
  <si>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</si>
  <si>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</si>
  <si>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</si>
  <si>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</si>
  <si>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</si>
  <si>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</si>
  <si>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</si>
  <si>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</si>
  <si>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</si>
  <si>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</si>
  <si>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</si>
  <si>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</si>
  <si>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</si>
  <si>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</si>
  <si>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</si>
  <si>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</si>
  <si>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</si>
  <si>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</si>
  <si>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</si>
  <si>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</si>
  <si>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</si>
  <si>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</si>
  <si>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</si>
  <si>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</si>
  <si>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</si>
  <si>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</si>
  <si>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</si>
  <si>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</si>
  <si>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</si>
  <si>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</si>
  <si>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</si>
  <si>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</si>
  <si>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</si>
  <si>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</si>
  <si>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</si>
  <si>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</si>
  <si>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</si>
  <si>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</si>
  <si>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</si>
  <si>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</si>
  <si>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</si>
  <si>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</si>
  <si>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</si>
  <si>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</si>
  <si>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</si>
  <si>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</si>
  <si>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</si>
  <si>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</si>
  <si>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</si>
  <si>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</si>
  <si>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</si>
  <si>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</si>
  <si>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</si>
  <si>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</si>
  <si>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</si>
  <si>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</si>
  <si>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</si>
  <si>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</si>
  <si>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</si>
  <si>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</si>
  <si>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</si>
  <si>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</si>
  <si>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</si>
  <si>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</si>
  <si>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</si>
  <si>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</si>
  <si>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</si>
  <si>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</si>
  <si>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</si>
  <si>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</si>
  <si>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</si>
  <si>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</si>
  <si>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</si>
  <si>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</si>
  <si>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</si>
  <si>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</si>
  <si>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</si>
  <si>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</si>
  <si>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</si>
  <si>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</si>
  <si>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</si>
  <si>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</si>
  <si>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</si>
  <si>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</si>
  <si>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</si>
  <si>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</si>
  <si>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</si>
  <si>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</si>
  <si>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</si>
  <si>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</si>
  <si>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</si>
  <si>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</si>
  <si>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</si>
  <si>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</si>
  <si>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</si>
  <si>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</si>
  <si>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</si>
  <si>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</si>
  <si>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</si>
  <si>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</si>
  <si>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</si>
  <si>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</si>
  <si>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</si>
  <si>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</si>
  <si>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</si>
  <si>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</si>
  <si>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</si>
  <si>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</si>
  <si>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</si>
  <si>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</si>
  <si>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</si>
  <si>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</si>
  <si>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</si>
  <si>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</si>
  <si>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</si>
  <si>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</si>
  <si>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</si>
  <si>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</si>
  <si>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</si>
  <si>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</si>
  <si>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</si>
  <si>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</si>
  <si>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</si>
  <si>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</si>
  <si>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</si>
  <si>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</si>
  <si>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</si>
  <si>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</si>
  <si>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</si>
  <si>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</si>
  <si>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</si>
  <si>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</si>
  <si>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</si>
  <si>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</si>
  <si>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</si>
  <si>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</si>
  <si>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</si>
  <si>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</si>
  <si>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</si>
  <si>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</si>
  <si>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</si>
  <si>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</si>
  <si>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</si>
  <si>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</si>
  <si>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</si>
  <si>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</si>
  <si>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</si>
  <si>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</si>
  <si>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</si>
  <si>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</si>
  <si>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</si>
  <si>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</si>
  <si>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</si>
  <si>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</si>
  <si>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</si>
  <si>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</si>
  <si>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</si>
  <si>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</si>
  <si>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</si>
  <si>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</si>
  <si>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</si>
  <si>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</si>
  <si>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</si>
  <si>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</si>
  <si>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</si>
  <si>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</si>
  <si>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</si>
  <si>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</si>
  <si>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</si>
  <si>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</si>
  <si>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</si>
  <si>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</si>
  <si>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</si>
  <si>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</si>
  <si>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</si>
  <si>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</si>
  <si>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</si>
  <si>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</si>
  <si>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TRAIN (10/6/2)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</si>
  <si>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</si>
  <si>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</si>
  <si>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</si>
  <si>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</si>
  <si>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</si>
  <si>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</si>
  <si>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</si>
  <si>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</si>
  <si>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</si>
  <si>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</si>
  <si>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</si>
  <si>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</si>
  <si>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</si>
  <si>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</si>
  <si>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</si>
  <si>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</si>
  <si>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</si>
  <si>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</si>
  <si>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</si>
  <si>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MIRAGE (17/14/2)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</si>
  <si>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</si>
  <si>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</si>
  <si>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</si>
  <si>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</si>
  <si>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</si>
  <si>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</si>
  <si>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</si>
  <si>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</si>
  <si>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</si>
  <si>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</si>
  <si>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</si>
  <si>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</si>
  <si>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</si>
  <si>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</si>
  <si>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</si>
  <si>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</si>
  <si>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DUST (14/9/0)</t>
  </si>
  <si>
    <t>89 map (mir)</t>
  </si>
  <si>
    <t>MIRAGE (18/13/0)</t>
  </si>
  <si>
    <t>NUKE (0/2/1)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</si>
</sst>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2" fillId="14" borderId="0" applyNumberFormat="0" applyBorder="0" applyAlignment="0" applyProtection="0"/>
    <xf numFmtId="0" fontId="8" fillId="17" borderId="2" applyNumberFormat="0" applyFont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</cellStyleXfs>
  <cellXfs count="4049">
    <xf numFmtId="0" fontId="0" fillId="0" borderId="0" xfId="0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10" fillId="3" borderId="1" xfId="0" applyFont="1" applyFill="1" applyBorder="1"/>
    <xf numFmtId="0" fontId="10" fillId="3" borderId="2" xfId="0" applyFont="1" applyFill="1" applyBorder="1"/>
    <xf numFmtId="0" fontId="11" fillId="4" borderId="1" xfId="0" applyFont="1" applyFill="1" applyBorder="1"/>
    <xf numFmtId="0" fontId="11" fillId="4" borderId="2" xfId="0" applyFont="1" applyFill="1" applyBorder="1"/>
    <xf numFmtId="0" fontId="12" fillId="5" borderId="1" xfId="0" applyFont="1" applyFill="1" applyBorder="1"/>
    <xf numFmtId="0" fontId="12" fillId="5" borderId="2" xfId="0" applyFont="1" applyFill="1" applyBorder="1"/>
    <xf numFmtId="0" fontId="13" fillId="6" borderId="1" xfId="0" applyFont="1" applyFill="1" applyBorder="1"/>
    <xf numFmtId="0" fontId="13" fillId="6" borderId="2" xfId="0" applyFont="1" applyFill="1" applyBorder="1"/>
    <xf numFmtId="14" fontId="9" fillId="2" borderId="1" xfId="0" applyNumberFormat="1" applyFont="1" applyFill="1" applyBorder="1"/>
    <xf numFmtId="0" fontId="13" fillId="7" borderId="2" xfId="0" applyFont="1" applyFill="1" applyBorder="1"/>
    <xf numFmtId="14" fontId="11" fillId="4" borderId="1" xfId="0" applyNumberFormat="1" applyFont="1" applyFill="1" applyBorder="1"/>
    <xf numFmtId="14" fontId="10" fillId="3" borderId="1" xfId="0" applyNumberFormat="1" applyFont="1" applyFill="1" applyBorder="1"/>
    <xf numFmtId="2" fontId="13" fillId="0" borderId="0" xfId="0" applyNumberFormat="1" applyFont="1"/>
    <xf numFmtId="14" fontId="13" fillId="0" borderId="0" xfId="0" applyNumberFormat="1" applyFont="1"/>
    <xf numFmtId="14" fontId="12" fillId="8" borderId="1" xfId="0" applyNumberFormat="1" applyFont="1" applyFill="1" applyBorder="1"/>
    <xf numFmtId="0" fontId="12" fillId="8" borderId="1" xfId="0" applyFont="1" applyFill="1" applyBorder="1"/>
    <xf numFmtId="49" fontId="13" fillId="0" borderId="0" xfId="0" applyNumberFormat="1" applyFont="1"/>
    <xf numFmtId="49" fontId="10" fillId="3" borderId="1" xfId="0" applyNumberFormat="1" applyFont="1" applyFill="1" applyBorder="1"/>
    <xf numFmtId="49" fontId="9" fillId="2" borderId="1" xfId="0" applyNumberFormat="1" applyFont="1" applyFill="1" applyBorder="1"/>
    <xf numFmtId="49" fontId="11" fillId="4" borderId="1" xfId="0" applyNumberFormat="1" applyFont="1" applyFill="1" applyBorder="1"/>
    <xf numFmtId="0" fontId="13" fillId="0" borderId="0" xfId="0" applyFont="1"/>
    <xf numFmtId="2" fontId="9" fillId="2" borderId="1" xfId="0" applyNumberFormat="1" applyFont="1" applyFill="1" applyBorder="1"/>
    <xf numFmtId="2" fontId="10" fillId="3" borderId="1" xfId="0" applyNumberFormat="1" applyFont="1" applyFill="1" applyBorder="1"/>
    <xf numFmtId="2" fontId="11" fillId="4" borderId="1" xfId="0" applyNumberFormat="1" applyFont="1" applyFill="1" applyBorder="1"/>
    <xf numFmtId="2" fontId="12" fillId="5" borderId="1" xfId="0" applyNumberFormat="1" applyFont="1" applyFill="1" applyBorder="1"/>
    <xf numFmtId="2" fontId="13" fillId="9" borderId="1" xfId="0" applyNumberFormat="1" applyFont="1" applyFill="1" applyBorder="1"/>
    <xf numFmtId="0" fontId="15" fillId="10" borderId="16" xfId="0" applyFont="1" applyFill="1" applyBorder="1"/>
    <xf numFmtId="0" fontId="13" fillId="11" borderId="1" xfId="0" applyFont="1" applyFill="1" applyBorder="1"/>
    <xf numFmtId="0" fontId="16" fillId="0" borderId="17" xfId="0" applyFont="1" applyBorder="1"/>
    <xf numFmtId="0" fontId="17" fillId="10" borderId="18" xfId="0" applyFont="1" applyFill="1" applyBorder="1"/>
    <xf numFmtId="164" fontId="10" fillId="3" borderId="1" xfId="0" applyNumberFormat="1" applyFont="1" applyFill="1" applyBorder="1"/>
    <xf numFmtId="0" fontId="18" fillId="0" borderId="0" xfId="0" applyFont="1"/>
    <xf numFmtId="0" fontId="18" fillId="0" borderId="0" xfId="0" applyFont="1" applyAlignment="1">
      <alignment horizontal="right"/>
    </xf>
    <xf numFmtId="0" fontId="18" fillId="4" borderId="0" xfId="0" applyFont="1" applyFill="1"/>
    <xf numFmtId="0" fontId="18" fillId="2" borderId="0" xfId="0" applyFont="1" applyFill="1"/>
    <xf numFmtId="164" fontId="18" fillId="4" borderId="0" xfId="0" applyNumberFormat="1" applyFont="1" applyFill="1"/>
    <xf numFmtId="164" fontId="19" fillId="3" borderId="0" xfId="0" applyNumberFormat="1" applyFont="1" applyFill="1"/>
    <xf numFmtId="0" fontId="19" fillId="3" borderId="0" xfId="0" applyFont="1" applyFill="1"/>
    <xf numFmtId="0" fontId="18" fillId="3" borderId="0" xfId="0" applyFont="1" applyFill="1"/>
    <xf numFmtId="0" fontId="12" fillId="5" borderId="0" xfId="0" applyFont="1" applyFill="1"/>
    <xf numFmtId="164" fontId="18" fillId="2" borderId="0" xfId="0" applyNumberFormat="1" applyFont="1" applyFill="1"/>
    <xf numFmtId="0" fontId="10" fillId="2" borderId="1" xfId="0" applyFont="1" applyFill="1" applyBorder="1"/>
    <xf numFmtId="0" fontId="20" fillId="5" borderId="1" xfId="0" applyFont="1" applyFill="1" applyBorder="1"/>
    <xf numFmtId="0" fontId="9" fillId="2" borderId="0" xfId="0" applyFont="1" applyFill="1"/>
    <xf numFmtId="0" fontId="18" fillId="12" borderId="0" xfId="0" applyFont="1" applyFill="1"/>
    <xf numFmtId="0" fontId="18" fillId="12" borderId="2" xfId="0" applyFont="1" applyFill="1" applyBorder="1"/>
    <xf numFmtId="164" fontId="18" fillId="3" borderId="0" xfId="0" applyNumberFormat="1" applyFont="1" applyFill="1"/>
    <xf numFmtId="0" fontId="10" fillId="3" borderId="16" xfId="0" applyFont="1" applyFill="1" applyBorder="1"/>
    <xf numFmtId="0" fontId="18" fillId="7" borderId="2" xfId="0" applyFont="1" applyFill="1" applyBorder="1"/>
    <xf numFmtId="0" fontId="10" fillId="3" borderId="0" xfId="0" applyFont="1" applyFill="1"/>
    <xf numFmtId="0" fontId="9" fillId="2" borderId="0" xfId="0" applyFont="1" applyFill="1" applyAlignment="1">
      <alignment horizontal="right"/>
    </xf>
    <xf numFmtId="0" fontId="18" fillId="7" borderId="22" xfId="0" applyFont="1" applyFill="1" applyBorder="1" applyAlignment="1">
      <alignment horizontal="right"/>
    </xf>
    <xf numFmtId="0" fontId="10" fillId="3" borderId="0" xfId="0" applyFont="1" applyFill="1" applyAlignment="1">
      <alignment horizontal="right"/>
    </xf>
    <xf numFmtId="0" fontId="20" fillId="13" borderId="0" xfId="0" applyFont="1" applyFill="1"/>
    <xf numFmtId="0" fontId="11" fillId="4" borderId="0" xfId="0" applyFont="1" applyFill="1"/>
    <xf numFmtId="0" fontId="18" fillId="6" borderId="0" xfId="0" applyFont="1" applyFill="1"/>
    <xf numFmtId="0" fontId="18" fillId="7" borderId="22" xfId="0" applyFont="1" applyFill="1" applyBorder="1"/>
    <xf numFmtId="0" fontId="11" fillId="4" borderId="0" xfId="0" applyFont="1" applyFill="1" applyAlignment="1">
      <alignment horizontal="right"/>
    </xf>
    <xf numFmtId="0" fontId="18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2" fillId="14" borderId="0" xfId="1" applyAlignment="1"/>
    <xf numFmtId="0" fontId="18" fillId="17" borderId="2" xfId="2" applyFont="1" applyAlignment="1"/>
    <xf numFmtId="0" fontId="23" fillId="15" borderId="0" xfId="3" applyAlignment="1"/>
    <xf numFmtId="0" fontId="7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6" fillId="21" borderId="24" xfId="0" applyFont="1" applyFill="1" applyBorder="1" applyAlignment="1">
      <alignment wrapText="1"/>
    </xf>
    <xf numFmtId="0" fontId="6" fillId="22" borderId="24" xfId="0" applyFont="1" applyFill="1" applyBorder="1" applyAlignment="1">
      <alignment wrapText="1"/>
    </xf>
    <xf numFmtId="0" fontId="6" fillId="23" borderId="24" xfId="0" applyFont="1" applyFill="1" applyBorder="1" applyAlignment="1">
      <alignment wrapText="1"/>
    </xf>
    <xf numFmtId="14" fontId="6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4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4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6" borderId="0" xfId="0" applyFont="1" applyFill="1"/>
    <xf numFmtId="0" fontId="4" fillId="15" borderId="0" xfId="0" applyFont="1" applyFill="1"/>
    <xf numFmtId="0" fontId="4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9" fillId="2" borderId="3" xfId="0" applyFont="1" applyFill="1" applyBorder="1" applyAlignment="1">
      <alignment horizontal="center"/>
    </xf>
    <xf numFmtId="0" fontId="14" fillId="0" borderId="4" xfId="0" applyFont="1" applyBorder="1"/>
    <xf numFmtId="0" fontId="10" fillId="3" borderId="3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17" fillId="10" borderId="19" xfId="0" applyFont="1" applyFill="1" applyBorder="1" applyAlignment="1">
      <alignment horizontal="center"/>
    </xf>
    <xf numFmtId="0" fontId="14" fillId="0" borderId="20" xfId="0" applyFont="1" applyBorder="1"/>
    <xf numFmtId="0" fontId="14" fillId="0" borderId="21" xfId="0" applyFont="1" applyBorder="1"/>
    <xf numFmtId="0" fontId="14" fillId="0" borderId="5" xfId="0" applyFont="1" applyBorder="1"/>
    <xf numFmtId="0" fontId="13" fillId="7" borderId="6" xfId="0" applyFont="1" applyFill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5" fillId="10" borderId="9" xfId="0" applyFont="1" applyFill="1" applyBorder="1" applyAlignment="1">
      <alignment horizontal="center"/>
    </xf>
    <xf numFmtId="0" fontId="14" fillId="0" borderId="10" xfId="0" applyFont="1" applyBorder="1"/>
    <xf numFmtId="0" fontId="14" fillId="0" borderId="11" xfId="0" applyFont="1" applyBorder="1"/>
    <xf numFmtId="0" fontId="13" fillId="11" borderId="12" xfId="0" applyFont="1" applyFill="1" applyBorder="1" applyAlignment="1">
      <alignment horizontal="center"/>
    </xf>
    <xf numFmtId="0" fontId="14" fillId="0" borderId="13" xfId="0" applyFont="1" applyBorder="1"/>
    <xf numFmtId="0" fontId="14" fillId="0" borderId="14" xfId="0" applyFont="1" applyBorder="1"/>
    <xf numFmtId="0" fontId="9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3" fillId="7" borderId="0" xfId="0" applyFont="1" applyFill="1" applyAlignment="1">
      <alignment horizontal="center"/>
    </xf>
    <xf numFmtId="0" fontId="22" fillId="14" borderId="0" xfId="1" applyAlignment="1">
      <alignment horizontal="center"/>
    </xf>
    <xf numFmtId="0" fontId="24" fillId="16" borderId="0" xfId="4" applyAlignment="1">
      <alignment horizontal="center"/>
    </xf>
    <xf numFmtId="0" fontId="23" fillId="15" borderId="0" xfId="3" applyAlignment="1">
      <alignment horizontal="center"/>
    </xf>
    <xf numFmtId="0" fontId="23" fillId="15" borderId="0" xfId="3"/>
    <xf numFmtId="0" fontId="22" fillId="14" borderId="0" xfId="1"/>
    <xf numFmtId="0" fontId="24" fillId="16" borderId="0" xfId="4"/>
    <xf numFmtId="0" fontId="13" fillId="6" borderId="0" xfId="0" applyFont="1" applyFill="1" applyAlignment="1">
      <alignment horizontal="center"/>
    </xf>
    <xf numFmtId="0" fontId="21" fillId="6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24" fillId="23" borderId="25" xfId="0" applyFont="1" applyFill="1" applyBorder="1" applyAlignment="1">
      <alignment horizontal="center" wrapText="1"/>
    </xf>
    <xf numFmtId="0" fontId="24" fillId="23" borderId="26" xfId="0" applyFont="1" applyFill="1" applyBorder="1" applyAlignment="1">
      <alignment horizontal="center" wrapText="1"/>
    </xf>
    <xf numFmtId="0" fontId="24" fillId="23" borderId="27" xfId="0" applyFont="1" applyFill="1" applyBorder="1" applyAlignment="1">
      <alignment horizontal="center" wrapText="1"/>
    </xf>
    <xf numFmtId="0" fontId="1" fillId="24" borderId="25" xfId="0" applyFont="1" applyFill="1" applyBorder="1" applyAlignment="1">
      <alignment horizontal="center" wrapText="1"/>
    </xf>
    <xf numFmtId="0" fontId="4" fillId="24" borderId="26" xfId="0" applyFont="1" applyFill="1" applyBorder="1" applyAlignment="1">
      <alignment horizontal="center" wrapText="1"/>
    </xf>
    <xf numFmtId="0" fontId="4" fillId="24" borderId="27" xfId="0" applyFont="1" applyFill="1" applyBorder="1" applyAlignment="1">
      <alignment horizontal="center" wrapText="1"/>
    </xf>
    <xf numFmtId="0" fontId="4" fillId="22" borderId="25" xfId="0" applyFont="1" applyFill="1" applyBorder="1" applyAlignment="1">
      <alignment horizontal="center" wrapText="1"/>
    </xf>
    <xf numFmtId="0" fontId="4" fillId="22" borderId="26" xfId="0" applyFont="1" applyFill="1" applyBorder="1" applyAlignment="1">
      <alignment horizontal="center" wrapText="1"/>
    </xf>
    <xf numFmtId="0" fontId="4" fillId="22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2" borderId="25" xfId="0" applyFont="1" applyFill="1" applyBorder="1" applyAlignment="1">
      <alignment horizontal="center" wrapText="1"/>
    </xf>
    <xf numFmtId="0" fontId="3" fillId="23" borderId="25" xfId="0" applyFont="1" applyFill="1" applyBorder="1" applyAlignment="1">
      <alignment horizontal="center" wrapText="1"/>
    </xf>
    <xf numFmtId="0" fontId="4" fillId="23" borderId="26" xfId="0" applyFont="1" applyFill="1" applyBorder="1" applyAlignment="1">
      <alignment horizontal="center" wrapText="1"/>
    </xf>
    <xf numFmtId="0" fontId="4" fillId="23" borderId="27" xfId="0" applyFont="1" applyFill="1" applyBorder="1" applyAlignment="1">
      <alignment horizontal="center" wrapText="1"/>
    </xf>
    <xf numFmtId="0" fontId="21" fillId="3" borderId="0" xfId="0" applyFont="1" applyFill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999" t="s">
        <v>0</v>
      </c>
      <c r="C1" s="4000"/>
      <c r="D1" s="4001" t="s">
        <v>1</v>
      </c>
      <c r="E1" s="4000"/>
      <c r="F1" s="4002" t="s">
        <v>177</v>
      </c>
      <c r="G1" s="4000"/>
      <c r="H1" s="3999" t="s">
        <v>174</v>
      </c>
      <c r="I1" s="4000"/>
      <c r="J1" s="4001" t="s">
        <v>175</v>
      </c>
      <c r="K1" s="4000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4003" t="str">
        <f>"Mirage"&amp;" "&amp;H5/SUM(H5:I5)*100</f>
        <v>Mirage 25</v>
      </c>
      <c r="I3" s="4004"/>
      <c r="J3" s="4003" t="str">
        <f>"Inferno"&amp;" "&amp;ROUND(J5/SUM(J5:K5)*100,0)</f>
        <v>Inferno 40</v>
      </c>
      <c r="K3" s="4004"/>
      <c r="L3" s="4003" t="str">
        <f>"Overpass"&amp;" "&amp;ROUND(L5/SUM(L5:M5)*100,0)</f>
        <v>Overpass 67</v>
      </c>
      <c r="M3" s="4004"/>
      <c r="N3" s="4003" t="str">
        <f>"Vertigo"&amp;" "&amp;ROUND(N5/SUM(N5:O5)*100,0)</f>
        <v>Vertigo 80</v>
      </c>
      <c r="O3" s="4004"/>
      <c r="P3" s="4003" t="str">
        <f>"Ancient"&amp;" "&amp;ROUND(P5/SUM(P5:Q5)*100,0)</f>
        <v>Ancient 50</v>
      </c>
      <c r="Q3" s="4004"/>
      <c r="R3" s="4003" t="str">
        <f>"Anubis"&amp;" "&amp;ROUND(R5/SUM(R5:S5)*100,0)</f>
        <v>Anubis 67</v>
      </c>
      <c r="S3" s="4004"/>
      <c r="T3" s="4003" t="str">
        <f>"Dust II"&amp;" "&amp;ROUND(T5/SUM(T5:U5)*100,0)</f>
        <v>Dust II 100</v>
      </c>
      <c r="U3" s="4004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4003" t="s">
        <v>206</v>
      </c>
      <c r="I7" s="4004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4003" t="s">
        <v>373</v>
      </c>
      <c r="G3" s="4004"/>
      <c r="H3" s="4004"/>
      <c r="I3" s="4003" t="s">
        <v>374</v>
      </c>
      <c r="J3" s="4004"/>
      <c r="K3" s="4004"/>
      <c r="L3" s="4003" t="s">
        <v>375</v>
      </c>
      <c r="M3" s="4004"/>
      <c r="N3" s="4004"/>
      <c r="O3" s="4003" t="s">
        <v>376</v>
      </c>
      <c r="P3" s="4004"/>
      <c r="Q3" s="4004"/>
      <c r="R3" s="4003" t="s">
        <v>377</v>
      </c>
      <c r="S3" s="4004"/>
      <c r="T3" s="4003" t="s">
        <v>378</v>
      </c>
      <c r="U3" s="4004"/>
      <c r="V3" s="4003" t="s">
        <v>379</v>
      </c>
      <c r="W3" s="4004"/>
      <c r="X3" s="4004"/>
      <c r="Y3" s="4003" t="s">
        <v>380</v>
      </c>
      <c r="Z3" s="4004"/>
      <c r="AA3" s="4004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999" t="s">
        <v>641</v>
      </c>
      <c r="B1" s="4008"/>
      <c r="C1" s="4008"/>
      <c r="D1" s="4000"/>
      <c r="E1" s="4001" t="s">
        <v>642</v>
      </c>
      <c r="F1" s="4008"/>
      <c r="G1" s="4008"/>
      <c r="H1" s="4008"/>
      <c r="I1" s="4008"/>
      <c r="J1" s="4000"/>
      <c r="K1" s="4002" t="s">
        <v>643</v>
      </c>
      <c r="L1" s="4008"/>
      <c r="M1" s="4008"/>
      <c r="N1" s="4000"/>
      <c r="O1" s="4009" t="s">
        <v>644</v>
      </c>
      <c r="P1" s="4010"/>
      <c r="Q1" s="4010"/>
      <c r="R1" s="4010"/>
      <c r="S1" s="4011"/>
      <c r="T1" s="4012" t="s">
        <v>645</v>
      </c>
      <c r="U1" s="4013"/>
      <c r="V1" s="4013"/>
      <c r="W1" s="4013"/>
      <c r="X1" s="4014"/>
      <c r="Y1" s="4015" t="s">
        <v>646</v>
      </c>
      <c r="Z1" s="4016"/>
      <c r="AA1" s="4016"/>
      <c r="AB1" s="4017"/>
      <c r="AC1" s="4018" t="s">
        <v>647</v>
      </c>
      <c r="AD1" s="4008"/>
      <c r="AE1" s="4008"/>
      <c r="AF1" s="4008"/>
      <c r="AG1" s="4000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4003" t="s">
        <v>651</v>
      </c>
      <c r="B8" s="4004"/>
      <c r="C8" s="4004"/>
      <c r="D8" s="4004"/>
      <c r="E8" s="4004"/>
      <c r="F8" s="4004"/>
      <c r="G8" s="4004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4005" t="s">
        <v>710</v>
      </c>
      <c r="C20" s="4006"/>
      <c r="D20" s="4006"/>
      <c r="E20" s="4006"/>
      <c r="F20" s="4006"/>
      <c r="G20" s="4006"/>
      <c r="H20" s="4007"/>
    </row>
    <row r="21" spans="1:13" ht="15.75" customHeight="1" x14ac:dyDescent="0.25"/>
    <row r="22" spans="1:13" ht="15.75" customHeight="1" x14ac:dyDescent="0.25">
      <c r="A22" s="4005" t="s">
        <v>711</v>
      </c>
      <c r="B22" s="4006"/>
      <c r="C22" s="4007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tabSelected="1" topLeftCell="T1" workbookViewId="0">
      <pane ySplit="1" topLeftCell="A2" activePane="bottomLeft" state="frozen"/>
      <selection pane="bottomLeft" activeCell="H3" sqref="H3:AQ5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4023" t="s">
        <v>1293</v>
      </c>
      <c r="I3" s="4024"/>
      <c r="J3" s="4024"/>
      <c r="K3" s="4024"/>
      <c r="L3" s="4021" t="s">
        <v>1324</v>
      </c>
      <c r="M3" s="4025"/>
      <c r="N3" s="4025"/>
      <c r="O3" s="4025"/>
      <c r="P3" s="4022" t="s">
        <v>944</v>
      </c>
      <c r="Q3" s="4026"/>
      <c r="R3" s="4026"/>
      <c r="S3" s="4026"/>
      <c r="T3" s="4027" t="s">
        <v>941</v>
      </c>
      <c r="U3" s="4004"/>
      <c r="V3" s="4004"/>
      <c r="W3" s="4004"/>
      <c r="X3" s="4028" t="s">
        <v>1326</v>
      </c>
      <c r="Y3" s="4004"/>
      <c r="Z3" s="4004"/>
      <c r="AA3" s="4004"/>
      <c r="AB3" s="4020" t="s">
        <v>1289</v>
      </c>
      <c r="AC3" s="4004"/>
      <c r="AD3" s="4004"/>
      <c r="AE3" s="4004"/>
      <c r="AF3" s="4022" t="s">
        <v>1029</v>
      </c>
      <c r="AG3" s="4022"/>
      <c r="AH3" s="4022"/>
      <c r="AI3" s="4022"/>
      <c r="AJ3" s="4022" t="s">
        <v>1030</v>
      </c>
      <c r="AK3" s="4022"/>
      <c r="AL3" s="4022"/>
      <c r="AM3" s="4022"/>
      <c r="AN3" s="4021" t="s">
        <v>1231</v>
      </c>
      <c r="AO3" s="4021"/>
      <c r="AP3" s="4021"/>
      <c r="AQ3" s="402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4019">
        <f>AVERAGE(H4:I4)</f>
        <v>1.0193362533692722</v>
      </c>
      <c r="I5" s="4019"/>
      <c r="J5" s="4019"/>
      <c r="K5" s="4019"/>
      <c r="L5" s="4019">
        <f>AVERAGE(L4:M4)</f>
        <v>1.0659129143988122</v>
      </c>
      <c r="M5" s="4019"/>
      <c r="N5" s="4019"/>
      <c r="O5" s="4019"/>
      <c r="P5" s="4019">
        <f>AVERAGE(P4:Q4)</f>
        <v>0.92159926470588238</v>
      </c>
      <c r="Q5" s="4019"/>
      <c r="R5" s="4019"/>
      <c r="S5" s="4019"/>
      <c r="T5" s="4019">
        <f>AVERAGE(T4:U4)</f>
        <v>1.1372058823529412</v>
      </c>
      <c r="U5" s="4019"/>
      <c r="V5" s="4019"/>
      <c r="W5" s="4019"/>
      <c r="X5" s="4019">
        <f>AVERAGE(X4:Y4)</f>
        <v>1.1944506048387096</v>
      </c>
      <c r="Y5" s="4019"/>
      <c r="Z5" s="4019"/>
      <c r="AA5" s="4019"/>
      <c r="AB5" s="4019">
        <f>AVERAGE(AB4:AC4)</f>
        <v>1.0036596218020022</v>
      </c>
      <c r="AC5" s="4019"/>
      <c r="AD5" s="4019"/>
      <c r="AE5" s="4019"/>
      <c r="AF5" s="4019">
        <f>AVERAGE(AF4:AG4)</f>
        <v>0.74166666666666659</v>
      </c>
      <c r="AG5" s="4019"/>
      <c r="AH5" s="4019"/>
      <c r="AI5" s="4019"/>
      <c r="AJ5" s="4019">
        <f>AVERAGE(AJ4:AK4)</f>
        <v>0.75</v>
      </c>
      <c r="AK5" s="4019"/>
      <c r="AL5" s="4019"/>
      <c r="AM5" s="4019"/>
      <c r="AN5" s="4019">
        <f>AVERAGE(AN4:AO4)</f>
        <v>1.4249999999999998</v>
      </c>
      <c r="AO5" s="4019"/>
      <c r="AP5" s="4019"/>
      <c r="AQ5" s="4019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1322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1323</v>
      </c>
      <c r="B254">
        <v>1.57</v>
      </c>
      <c r="C254">
        <v>1.29</v>
      </c>
    </row>
    <row r="255" spans="1:91" x14ac:dyDescent="0.25">
      <c r="A255" s="44" t="s">
        <v>1325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4"/>
  <sheetViews>
    <sheetView topLeftCell="CQ1" zoomScale="80" workbookViewId="0">
      <pane ySplit="1" topLeftCell="A2" activePane="bottomLeft" state="frozen"/>
      <selection pane="bottomLeft" activeCell="DD19" sqref="DD19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031" t="s">
        <v>1333</v>
      </c>
      <c r="CK1" s="4031"/>
      <c r="CL1" s="4031"/>
      <c r="CM1" s="4031"/>
      <c r="CN1" s="4031"/>
      <c r="CO1" s="4031"/>
      <c r="CP1" s="4027" t="s">
        <v>1335</v>
      </c>
      <c r="CQ1" s="4027"/>
      <c r="CR1" s="4027"/>
      <c r="CS1" s="4027"/>
      <c r="CT1" s="4027"/>
      <c r="CU1" s="4027"/>
      <c r="CV1" s="4020" t="s">
        <v>1307</v>
      </c>
      <c r="CW1" s="4020"/>
      <c r="CX1" s="4020"/>
      <c r="CY1" s="4020"/>
      <c r="CZ1" s="4020"/>
      <c r="DA1" s="4020"/>
      <c r="DB1" s="4030" t="s">
        <v>1272</v>
      </c>
      <c r="DC1" s="4030"/>
      <c r="DD1" s="4030"/>
      <c r="DE1" s="4030"/>
      <c r="DF1" s="4030"/>
      <c r="DG1" s="4030"/>
      <c r="DH1" s="4020" t="s">
        <v>1336</v>
      </c>
      <c r="DI1" s="4020"/>
      <c r="DJ1" s="4020"/>
      <c r="DK1" s="4020"/>
      <c r="DL1" s="4020"/>
      <c r="DM1" s="4020"/>
      <c r="DN1" s="4027" t="s">
        <v>997</v>
      </c>
      <c r="DO1" s="4027"/>
      <c r="DP1" s="4027"/>
      <c r="DQ1" s="4027"/>
      <c r="DR1" s="4027"/>
      <c r="DS1" s="4027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AVERAGE(B14,B18,B22,B29,B32,B34,B38,B39,B45,B51,B64,B70,B74,B82,B88,B92,B96,B100,B101,B103,B113,B118,B120)</f>
        <v>1.0927272727272725</v>
      </c>
      <c r="CK2" s="1">
        <f t="shared" ref="CK2:CM2" si="0">AVERAGE(C14,C18,C22,C29,C32,C34,C38,C39,C45,C51,C64,C70,C74,C82,C88,C92,C96,C100,C101,C103,C113,C118,C120)</f>
        <v>1.0250000000000001</v>
      </c>
      <c r="CL2" s="1">
        <f t="shared" si="0"/>
        <v>1.05375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1.2426666666666664</v>
      </c>
      <c r="CQ2" s="1">
        <f t="shared" ref="CQ2:CS2" si="1">AVERAGE(C3,C7,C8,C12,C15,C19,C20,C24,C26,C28,C30,C37,C40,C46,C48,C50,C69,C72,C73,C75,C79,C81,C84,C90,C91,C94,C97,C102,C104,C117,C121)</f>
        <v>1.056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4003">
        <f>_xlfn.AGGREGATE(1,6,CJ2:CO2)</f>
        <v>1.0571590909090909</v>
      </c>
      <c r="CK3" s="4003"/>
      <c r="CL3" s="4003"/>
      <c r="CM3" s="4003"/>
      <c r="CN3" s="4003"/>
      <c r="CO3" s="4003"/>
      <c r="CP3" s="4003">
        <f t="shared" ref="CP3" si="6">_xlfn.AGGREGATE(1,6,CP2:CU2)</f>
        <v>1.0954814814814815</v>
      </c>
      <c r="CQ3" s="4003"/>
      <c r="CR3" s="4003"/>
      <c r="CS3" s="4003"/>
      <c r="CT3" s="4003"/>
      <c r="CU3" s="4003"/>
      <c r="CV3" s="4003">
        <f t="shared" ref="CV3" si="7">_xlfn.AGGREGATE(1,6,CV2:DA2)</f>
        <v>1.0716666666666665</v>
      </c>
      <c r="CW3" s="4003"/>
      <c r="CX3" s="4003"/>
      <c r="CY3" s="4003"/>
      <c r="CZ3" s="4003"/>
      <c r="DA3" s="4003"/>
      <c r="DB3" s="4003">
        <f t="shared" ref="DB3" si="8">_xlfn.AGGREGATE(1,6,DB2:DG2)</f>
        <v>1.1828888888888889</v>
      </c>
      <c r="DC3" s="4003"/>
      <c r="DD3" s="4003"/>
      <c r="DE3" s="4003"/>
      <c r="DF3" s="4003"/>
      <c r="DG3" s="4003"/>
      <c r="DH3" s="4003">
        <f t="shared" ref="DH3" si="9">_xlfn.AGGREGATE(1,6,DH2:DM2)</f>
        <v>1.1250000000000002</v>
      </c>
      <c r="DI3" s="4003"/>
      <c r="DJ3" s="4003"/>
      <c r="DK3" s="4003"/>
      <c r="DL3" s="4003"/>
      <c r="DM3" s="4003"/>
      <c r="DN3" s="4003" t="e">
        <f t="shared" ref="DN3" si="10">_xlfn.AGGREGATE(1,6,DN2:DS2)</f>
        <v>#DIV/0!</v>
      </c>
      <c r="DO3" s="4003"/>
      <c r="DP3" s="4003"/>
      <c r="DQ3" s="4003"/>
      <c r="DR3" s="4003"/>
      <c r="DS3" s="4003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4020" t="s">
        <v>1304</v>
      </c>
      <c r="CK4" s="4020"/>
      <c r="CL4" s="4020"/>
      <c r="CM4" s="4020"/>
      <c r="CN4" s="4020"/>
      <c r="CO4" s="4020"/>
      <c r="CP4" s="4029" t="s">
        <v>993</v>
      </c>
      <c r="CQ4" s="4029"/>
      <c r="CR4" s="4029"/>
      <c r="CS4" s="4029"/>
      <c r="CT4" s="4029"/>
      <c r="CU4" s="4029"/>
      <c r="CV4" s="4027" t="s">
        <v>994</v>
      </c>
      <c r="CW4" s="4027"/>
      <c r="CX4" s="4027"/>
      <c r="CY4" s="4027"/>
      <c r="CZ4" s="4027"/>
      <c r="DA4" s="4027"/>
      <c r="DB4" s="4020" t="s">
        <v>995</v>
      </c>
      <c r="DC4" s="4020"/>
      <c r="DD4" s="4020"/>
      <c r="DE4" s="4020"/>
      <c r="DF4" s="4020"/>
      <c r="DG4" s="4020"/>
      <c r="DH4" s="4027" t="s">
        <v>996</v>
      </c>
      <c r="DI4" s="4027"/>
      <c r="DJ4" s="4027"/>
      <c r="DK4" s="4027"/>
      <c r="DL4" s="4027"/>
      <c r="DM4" s="4027"/>
      <c r="DN4" s="4030" t="s">
        <v>1309</v>
      </c>
      <c r="DO4" s="4030"/>
      <c r="DP4" s="4030"/>
      <c r="DQ4" s="4030"/>
      <c r="DR4" s="4030"/>
      <c r="DS4" s="4030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4003">
        <f>_xlfn.AGGREGATE(1,6,CJ5:CO5)</f>
        <v>1.098888888888889</v>
      </c>
      <c r="CK6" s="4003"/>
      <c r="CL6" s="4003"/>
      <c r="CM6" s="4003"/>
      <c r="CN6" s="4003"/>
      <c r="CO6" s="4003"/>
      <c r="CP6" s="4003" t="e">
        <f t="shared" ref="CP6" si="17">_xlfn.AGGREGATE(1,6,CP5:CU5)</f>
        <v>#DIV/0!</v>
      </c>
      <c r="CQ6" s="4003"/>
      <c r="CR6" s="4003"/>
      <c r="CS6" s="4003"/>
      <c r="CT6" s="4003"/>
      <c r="CU6" s="4003"/>
      <c r="CV6" s="4003" t="e">
        <f t="shared" ref="CV6" si="18">_xlfn.AGGREGATE(1,6,CV5:DA5)</f>
        <v>#DIV/0!</v>
      </c>
      <c r="CW6" s="4003"/>
      <c r="CX6" s="4003"/>
      <c r="CY6" s="4003"/>
      <c r="CZ6" s="4003"/>
      <c r="DA6" s="4003"/>
      <c r="DB6" s="4003">
        <f t="shared" ref="DB6" si="19">_xlfn.AGGREGATE(1,6,DB5:DG5)</f>
        <v>1.0416666666666667</v>
      </c>
      <c r="DC6" s="4003"/>
      <c r="DD6" s="4003"/>
      <c r="DE6" s="4003"/>
      <c r="DF6" s="4003"/>
      <c r="DG6" s="4003"/>
      <c r="DH6" s="4003" t="e">
        <f t="shared" ref="DH6" si="20">_xlfn.AGGREGATE(1,6,DH5:DM5)</f>
        <v>#DIV/0!</v>
      </c>
      <c r="DI6" s="4003"/>
      <c r="DJ6" s="4003"/>
      <c r="DK6" s="4003"/>
      <c r="DL6" s="4003"/>
      <c r="DM6" s="4003"/>
      <c r="DN6" s="4003">
        <f t="shared" ref="DN6" si="21">_xlfn.AGGREGATE(1,6,DN5:DS5)</f>
        <v>1.0967878787878786</v>
      </c>
      <c r="DO6" s="4003"/>
      <c r="DP6" s="4003"/>
      <c r="DQ6" s="4003"/>
      <c r="DR6" s="4003"/>
      <c r="DS6" s="4003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1301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1303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1305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1306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1308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1310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1319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1321</v>
      </c>
    </row>
    <row r="118" spans="1:105" x14ac:dyDescent="0.25">
      <c r="A118" s="3867" t="s">
        <v>1320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1325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1334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B124" s="1">
        <f t="shared" ref="B124:E124" si="22">AVERAGE(B3:B123)</f>
        <v>1.157142857142857</v>
      </c>
      <c r="C124" s="1">
        <f t="shared" si="22"/>
        <v>1.0610989010989014</v>
      </c>
      <c r="D124" s="1">
        <f t="shared" si="22"/>
        <v>1.0506249999999999</v>
      </c>
      <c r="E124" s="1" t="e">
        <f t="shared" si="22"/>
        <v>#DIV/0!</v>
      </c>
      <c r="F124" s="2">
        <f>AVERAGE(F3:F123)</f>
        <v>0.65934065934065933</v>
      </c>
      <c r="G124" s="3880">
        <f>AVERAGE(G3:G123)</f>
        <v>2.6153846153846154</v>
      </c>
      <c r="H124" s="3880">
        <f t="shared" ref="H124:AR124" si="23">AVERAGE(H3:H123)</f>
        <v>0.94505494505494503</v>
      </c>
      <c r="I124" s="3880">
        <f t="shared" si="23"/>
        <v>0.12087912087912088</v>
      </c>
      <c r="J124" s="3880">
        <f>AVERAGE(J3:J123)</f>
        <v>2.197802197802198E-2</v>
      </c>
      <c r="K124" s="3880">
        <f>AVERAGE(K3:K123)</f>
        <v>0.13186813186813187</v>
      </c>
      <c r="L124" s="3880">
        <f t="shared" si="23"/>
        <v>2.2857142857142856</v>
      </c>
      <c r="M124" s="3880">
        <f t="shared" si="23"/>
        <v>0.5494505494505495</v>
      </c>
      <c r="N124" s="3880">
        <f t="shared" si="23"/>
        <v>0.24175824175824176</v>
      </c>
      <c r="O124" s="3880">
        <f t="shared" si="23"/>
        <v>6.5934065934065936E-2</v>
      </c>
      <c r="P124" s="3880">
        <f t="shared" si="23"/>
        <v>2.197802197802198E-2</v>
      </c>
      <c r="Q124" s="3880">
        <f t="shared" si="23"/>
        <v>0</v>
      </c>
      <c r="R124" s="3880">
        <f t="shared" si="23"/>
        <v>0</v>
      </c>
      <c r="S124" s="3880">
        <f t="shared" si="23"/>
        <v>0.38461538461538464</v>
      </c>
      <c r="T124" s="3880">
        <f t="shared" si="23"/>
        <v>1.0109890109890109</v>
      </c>
      <c r="U124" s="3880">
        <f t="shared" si="23"/>
        <v>0.62637362637362637</v>
      </c>
      <c r="V124" s="3880">
        <f t="shared" si="23"/>
        <v>0.13186813186813187</v>
      </c>
      <c r="W124" s="3880">
        <f t="shared" si="23"/>
        <v>4.3956043956043959E-2</v>
      </c>
      <c r="X124" s="3880">
        <f t="shared" si="23"/>
        <v>0.25274725274725274</v>
      </c>
      <c r="Y124" s="3880">
        <f t="shared" si="23"/>
        <v>3.0769230769230771</v>
      </c>
      <c r="Z124" s="3880">
        <f t="shared" si="23"/>
        <v>0.45054945054945056</v>
      </c>
      <c r="AA124" s="3880">
        <f t="shared" si="23"/>
        <v>0.27472527472527475</v>
      </c>
      <c r="AB124" s="3880">
        <f t="shared" si="23"/>
        <v>0.17582417582417584</v>
      </c>
      <c r="AC124" s="3880">
        <f t="shared" si="23"/>
        <v>6.5934065934065936E-2</v>
      </c>
      <c r="AD124" s="3880">
        <f t="shared" si="23"/>
        <v>1.098901098901099E-2</v>
      </c>
      <c r="AE124" s="3880">
        <f t="shared" si="23"/>
        <v>0</v>
      </c>
      <c r="AF124" s="3880">
        <f t="shared" si="23"/>
        <v>1.078125</v>
      </c>
      <c r="AG124" s="3880">
        <f t="shared" si="23"/>
        <v>1.53125</v>
      </c>
      <c r="AH124" s="3880">
        <f t="shared" si="23"/>
        <v>0.640625</v>
      </c>
      <c r="AI124" s="3880">
        <f t="shared" si="23"/>
        <v>0.1875</v>
      </c>
      <c r="AJ124" s="3880">
        <f t="shared" si="23"/>
        <v>1.5625E-2</v>
      </c>
      <c r="AK124" s="3880">
        <f t="shared" si="23"/>
        <v>0.265625</v>
      </c>
      <c r="AL124" s="3880">
        <f t="shared" si="23"/>
        <v>2.765625</v>
      </c>
      <c r="AM124" s="3880">
        <f t="shared" si="23"/>
        <v>0.453125</v>
      </c>
      <c r="AN124" s="3880">
        <f t="shared" si="23"/>
        <v>0.453125</v>
      </c>
      <c r="AO124" s="3880">
        <f t="shared" si="23"/>
        <v>0.140625</v>
      </c>
      <c r="AP124" s="3880">
        <f t="shared" si="23"/>
        <v>4.6875E-2</v>
      </c>
      <c r="AQ124" s="3880">
        <f t="shared" si="23"/>
        <v>1.5625E-2</v>
      </c>
      <c r="AR124" s="3880">
        <f t="shared" si="23"/>
        <v>0</v>
      </c>
      <c r="AS124" s="3880"/>
      <c r="AT124" s="3880"/>
      <c r="AU124" s="3880"/>
      <c r="AV124" s="3880"/>
      <c r="AW124" s="3880"/>
      <c r="AX124" s="3880"/>
      <c r="AY124" s="3880"/>
      <c r="AZ124" s="3880"/>
      <c r="BA124" s="3880"/>
      <c r="BB124" s="3880"/>
      <c r="BC124" s="3880"/>
      <c r="BD124" s="3880"/>
      <c r="BE124" s="3880"/>
      <c r="BF124" s="3880"/>
      <c r="BG124" s="3880"/>
      <c r="BH124" s="3880"/>
      <c r="BI124" s="3880"/>
      <c r="BJ124" s="3880"/>
      <c r="BK124" s="3880"/>
      <c r="BL124" s="3880"/>
      <c r="BM124" s="3880"/>
      <c r="BN124" s="3880"/>
      <c r="BO124" s="3880"/>
      <c r="BP124" s="3880"/>
      <c r="BQ124" s="3880"/>
      <c r="BR124" s="3880"/>
      <c r="BS124" s="3880"/>
      <c r="BT124" s="3880"/>
      <c r="BU124" s="3880"/>
      <c r="BV124" s="3880"/>
      <c r="BW124" s="3880"/>
      <c r="BX124" s="3880"/>
      <c r="BY124" s="3880"/>
      <c r="BZ124" s="3880"/>
      <c r="CA124" s="3880"/>
      <c r="CB124" s="3880"/>
      <c r="CC124" s="3880"/>
      <c r="CF124" s="344"/>
      <c r="CG124" s="344"/>
      <c r="CH124" s="344"/>
      <c r="CI124" s="344"/>
      <c r="CJ124" s="344"/>
      <c r="CK124" s="344"/>
      <c r="CL124" s="344"/>
      <c r="CM124" s="344"/>
      <c r="CN124" s="344"/>
      <c r="CO124" s="344"/>
      <c r="CP124" s="344"/>
      <c r="CQ124" s="344"/>
      <c r="CR124" s="344"/>
      <c r="CS124" s="344"/>
      <c r="CT124" s="344"/>
      <c r="CU124" s="344"/>
      <c r="CV124" s="344"/>
      <c r="CW124" s="344"/>
      <c r="CX124" s="344"/>
      <c r="CY124" s="344"/>
      <c r="CZ124" s="344"/>
      <c r="DA124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29"/>
  <sheetViews>
    <sheetView topLeftCell="DH1" zoomScale="85" zoomScaleNormal="85" workbookViewId="0">
      <pane ySplit="1" topLeftCell="A2" activePane="bottomLeft" state="frozen"/>
      <selection pane="bottomLeft" activeCell="DS33" sqref="DS33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4043" t="s">
        <v>1328</v>
      </c>
      <c r="CK1" s="4039"/>
      <c r="CL1" s="4039"/>
      <c r="CM1" s="4039"/>
      <c r="CN1" s="4039"/>
      <c r="CO1" s="4040"/>
      <c r="CP1" s="4042" t="s">
        <v>1316</v>
      </c>
      <c r="CQ1" s="4036"/>
      <c r="CR1" s="4036"/>
      <c r="CS1" s="4036"/>
      <c r="CT1" s="4036"/>
      <c r="CU1" s="4037"/>
      <c r="CV1" s="4038" t="s">
        <v>1314</v>
      </c>
      <c r="CW1" s="4039"/>
      <c r="CX1" s="4039"/>
      <c r="CY1" s="4039"/>
      <c r="CZ1" s="4039"/>
      <c r="DA1" s="4040"/>
      <c r="DB1" s="4044" t="s">
        <v>1296</v>
      </c>
      <c r="DC1" s="4039"/>
      <c r="DD1" s="4039"/>
      <c r="DE1" s="4039"/>
      <c r="DF1" s="4039"/>
      <c r="DG1" s="4040"/>
      <c r="DH1" s="4045" t="s">
        <v>1282</v>
      </c>
      <c r="DI1" s="4046"/>
      <c r="DJ1" s="4046"/>
      <c r="DK1" s="4046"/>
      <c r="DL1" s="4046"/>
      <c r="DM1" s="4047"/>
      <c r="DN1" s="4042" t="s">
        <v>991</v>
      </c>
      <c r="DO1" s="4036"/>
      <c r="DP1" s="4036"/>
      <c r="DQ1" s="4036"/>
      <c r="DR1" s="4036"/>
      <c r="DS1" s="4037"/>
      <c r="DT1" s="4042" t="s">
        <v>992</v>
      </c>
      <c r="DU1" s="4036"/>
      <c r="DV1" s="4036"/>
      <c r="DW1" s="4036"/>
      <c r="DX1" s="4036"/>
      <c r="DY1" s="4037"/>
      <c r="DZ1" s="4032" t="s">
        <v>1121</v>
      </c>
      <c r="EA1" s="4033"/>
      <c r="EB1" s="4033"/>
      <c r="EC1" s="4033"/>
      <c r="ED1" s="4033"/>
      <c r="EE1" s="4034"/>
      <c r="EF1" s="4032" t="s">
        <v>1178</v>
      </c>
      <c r="EG1" s="4033"/>
      <c r="EH1" s="4033"/>
      <c r="EI1" s="4033"/>
      <c r="EJ1" s="4033"/>
      <c r="EK1" s="4034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1.1470731707317074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1.2094736842105265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AVERAGE(B10,B17,B28,B33,B40,B50,B53,B64,B70,B77,B86,B90,B96,B102,B105,B111,B115,B123,B130,B140,B148,B167,B184,B192,B199,B217,B232,B274,B279,B287,B296,B309,B323)</f>
        <v>1.1478787878787882</v>
      </c>
      <c r="CQ2" s="1">
        <f t="shared" ref="CQ2:CU2" si="1">AVERAGE(C10,C17,C28,C33,C40,C50,C53,C64,C70,C77,C86,C90,C96,C102,C105,C111,C115,C123,C130,C140,C148,C167,C184,C192,C199,C217,C232,C274,C279,C287,C296,C309,C323)</f>
        <v>1.06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AVERAGE(B12,B16,B62,B81,B120,B137,B155,B170,B180,B190,B191,B194,B196,B271,B285,B289,B306,B314)</f>
        <v>1.1155555555555556</v>
      </c>
      <c r="DC2" s="1">
        <f t="shared" ref="DC2:DG2" si="3">AVERAGE(C12,C16,C62,C81,C120,C137,C155,C170,C180,C190,C191,C194,C196,C271,C285,C289,C306,C314)</f>
        <v>1.2558823529411764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4003">
        <f>_xlfn.AGGREGATE(1,3,CJ2:CL2)</f>
        <v>1.1999600627585225</v>
      </c>
      <c r="CK3" s="4004"/>
      <c r="CL3" s="4004"/>
      <c r="CM3" s="4004"/>
      <c r="CN3" s="4004"/>
      <c r="CO3" s="4004"/>
      <c r="CP3" s="4003">
        <f>_xlfn.AGGREGATE(1,3,CP2:CR2)</f>
        <v>1.1556262626262626</v>
      </c>
      <c r="CQ3" s="4004"/>
      <c r="CR3" s="4004"/>
      <c r="CS3" s="4004"/>
      <c r="CT3" s="4004"/>
      <c r="CU3" s="4004"/>
      <c r="CV3" s="4003">
        <f>_xlfn.AGGREGATE(1,3,CV2:CX2)</f>
        <v>1.0901058201058202</v>
      </c>
      <c r="CW3" s="4004"/>
      <c r="CX3" s="4004"/>
      <c r="CY3" s="4004"/>
      <c r="CZ3" s="4004"/>
      <c r="DA3" s="4004"/>
      <c r="DB3" s="4003">
        <f>_xlfn.AGGREGATE(1,3,DB2:DD2)</f>
        <v>1.2265399088928504</v>
      </c>
      <c r="DC3" s="4004"/>
      <c r="DD3" s="4004"/>
      <c r="DE3" s="4004"/>
      <c r="DF3" s="4004"/>
      <c r="DG3" s="4004"/>
      <c r="DH3" s="4003">
        <f>_xlfn.AGGREGATE(1,3,DH2:DJ2)</f>
        <v>1.0894419306184009</v>
      </c>
      <c r="DI3" s="4004"/>
      <c r="DJ3" s="4004"/>
      <c r="DK3" s="4004"/>
      <c r="DL3" s="4004"/>
      <c r="DM3" s="4004"/>
      <c r="DN3" s="4003">
        <f t="shared" ref="DN3" si="9">_xlfn.AGGREGATE(1,6,DN2:DS2)</f>
        <v>1.2135555555555557</v>
      </c>
      <c r="DO3" s="4004"/>
      <c r="DP3" s="4004"/>
      <c r="DQ3" s="4004"/>
      <c r="DR3" s="4004"/>
      <c r="DS3" s="4004"/>
      <c r="DT3" s="4003">
        <f>_xlfn.AGGREGATE(1,3,DT2:DV2)</f>
        <v>1.355</v>
      </c>
      <c r="DU3" s="4004"/>
      <c r="DV3" s="4004"/>
      <c r="DW3" s="4004"/>
      <c r="DX3" s="4004"/>
      <c r="DY3" s="4004"/>
      <c r="DZ3" s="4003">
        <f>_xlfn.AGGREGATE(1,3,DZ2:EB2)</f>
        <v>1.0728333333333335</v>
      </c>
      <c r="EA3" s="4004"/>
      <c r="EB3" s="4004"/>
      <c r="EC3" s="4004"/>
      <c r="ED3" s="4004"/>
      <c r="EE3" s="4004"/>
      <c r="EF3" s="4003">
        <f>_xlfn.AGGREGATE(1,3,EF2:EH2)</f>
        <v>0.94666666666666666</v>
      </c>
      <c r="EG3" s="4004"/>
      <c r="EH3" s="4004"/>
      <c r="EI3" s="4004"/>
      <c r="EJ3" s="4004"/>
      <c r="EK3" s="4004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4035" t="s">
        <v>1332</v>
      </c>
      <c r="CK4" s="4036"/>
      <c r="CL4" s="4036"/>
      <c r="CM4" s="4036"/>
      <c r="CN4" s="4036"/>
      <c r="CO4" s="4037"/>
      <c r="CP4" s="4038" t="s">
        <v>1312</v>
      </c>
      <c r="CQ4" s="4039"/>
      <c r="CR4" s="4039"/>
      <c r="CS4" s="4039"/>
      <c r="CT4" s="4039"/>
      <c r="CU4" s="4040"/>
      <c r="CV4" s="4041" t="s">
        <v>1318</v>
      </c>
      <c r="CW4" s="4036"/>
      <c r="CX4" s="4036"/>
      <c r="CY4" s="4036"/>
      <c r="CZ4" s="4036"/>
      <c r="DA4" s="4037"/>
      <c r="DB4" s="4038" t="s">
        <v>1280</v>
      </c>
      <c r="DC4" s="4039"/>
      <c r="DD4" s="4039"/>
      <c r="DE4" s="4039"/>
      <c r="DF4" s="4039"/>
      <c r="DG4" s="4040"/>
      <c r="DH4" s="4042" t="s">
        <v>946</v>
      </c>
      <c r="DI4" s="4036"/>
      <c r="DJ4" s="4036"/>
      <c r="DK4" s="4036"/>
      <c r="DL4" s="4036"/>
      <c r="DM4" s="4037"/>
      <c r="DN4" s="4032" t="s">
        <v>1191</v>
      </c>
      <c r="DO4" s="4033"/>
      <c r="DP4" s="4033"/>
      <c r="DQ4" s="4033"/>
      <c r="DR4" s="4033"/>
      <c r="DS4" s="4034"/>
      <c r="DT4" s="4042" t="s">
        <v>1330</v>
      </c>
      <c r="DU4" s="4036"/>
      <c r="DV4" s="4036"/>
      <c r="DW4" s="4036"/>
      <c r="DX4" s="4036"/>
      <c r="DY4" s="4037"/>
      <c r="DZ4" s="4032" t="s">
        <v>1205</v>
      </c>
      <c r="EA4" s="4033"/>
      <c r="EB4" s="4033"/>
      <c r="EC4" s="4033"/>
      <c r="ED4" s="4033"/>
      <c r="EE4" s="4034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1.2031578947368422</v>
      </c>
      <c r="CK5" s="1">
        <f t="shared" ref="CK5:CO5" si="10">AVERAGE(C4,C13,C21,C38,C58,C72,C78,C134,C138,C153,C164,C169,C181,C270,C277,C291,C297,C305,C317,C328)</f>
        <v>1.0938888888888891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1.2682352941176467</v>
      </c>
      <c r="CW5" s="1">
        <f t="shared" ref="CW5:DA5" si="12">AVERAGE(C6,C9,C37,C82,C92,C97,C124,C128,C139,C152,C183,C226,C231,C257,C266,C284,C292,C312,C324)</f>
        <v>1.1593749999999998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1.2483333333333333</v>
      </c>
      <c r="DU5" s="1">
        <f t="shared" ref="DU5:DY5" si="16">AVERAGE(C158,C159,C161,C162,C200,C235,C327)</f>
        <v>1.1433333333333335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4003">
        <f>_xlfn.AGGREGATE(1,3,CJ5:CL5)</f>
        <v>1.1312378167641326</v>
      </c>
      <c r="CK6" s="4004"/>
      <c r="CL6" s="4004"/>
      <c r="CM6" s="4004"/>
      <c r="CN6" s="4004"/>
      <c r="CO6" s="4004"/>
      <c r="CP6" s="4003">
        <f>_xlfn.AGGREGATE(1,3,CP5:CR5)</f>
        <v>1.2262257187257186</v>
      </c>
      <c r="CQ6" s="4004"/>
      <c r="CR6" s="4004"/>
      <c r="CS6" s="4004"/>
      <c r="CT6" s="4004"/>
      <c r="CU6" s="4004"/>
      <c r="CV6" s="4003">
        <f>_xlfn.AGGREGATE(1,3,CV5:CX5)</f>
        <v>1.1851008672699848</v>
      </c>
      <c r="CW6" s="4004"/>
      <c r="CX6" s="4004"/>
      <c r="CY6" s="4004"/>
      <c r="CZ6" s="4004"/>
      <c r="DA6" s="4004"/>
      <c r="DB6" s="4003">
        <f>_xlfn.AGGREGATE(1,3,DB5:DD5)</f>
        <v>1.2373106060606061</v>
      </c>
      <c r="DC6" s="4004"/>
      <c r="DD6" s="4004"/>
      <c r="DE6" s="4004"/>
      <c r="DF6" s="4004"/>
      <c r="DG6" s="4004"/>
      <c r="DH6" s="4003">
        <f>_xlfn.AGGREGATE(1,3,DH5:DJ5)</f>
        <v>1.1100000000000001</v>
      </c>
      <c r="DI6" s="4004"/>
      <c r="DJ6" s="4004"/>
      <c r="DK6" s="4004"/>
      <c r="DL6" s="4004"/>
      <c r="DM6" s="4004"/>
      <c r="DN6" s="4003">
        <f>_xlfn.AGGREGATE(1,3,DN5:DP5)</f>
        <v>1.0518518518518516</v>
      </c>
      <c r="DO6" s="4004"/>
      <c r="DP6" s="4004"/>
      <c r="DQ6" s="4004"/>
      <c r="DR6" s="4004"/>
      <c r="DS6" s="4004"/>
      <c r="DT6" s="4003">
        <f>_xlfn.AGGREGATE(1,3,DT5:DV5)</f>
        <v>1.2055555555555555</v>
      </c>
      <c r="DU6" s="4004"/>
      <c r="DV6" s="4004"/>
      <c r="DW6" s="4004"/>
      <c r="DX6" s="4004"/>
      <c r="DY6" s="4004"/>
      <c r="DZ6" s="4003">
        <f>_xlfn.AGGREGATE(1,3,DZ5:EB5)</f>
        <v>0.91333333333333344</v>
      </c>
      <c r="EA6" s="4004"/>
      <c r="EB6" s="4004"/>
      <c r="EC6" s="4004"/>
      <c r="ED6" s="4004"/>
      <c r="EE6" s="4004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1300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1297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1298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1299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1301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1302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1310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1311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1313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1315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1317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1322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1327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1329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1331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ht="15.75" customHeight="1" x14ac:dyDescent="0.25">
      <c r="A329" s="35"/>
      <c r="B329" s="36">
        <f>AVERAGE(B3:B328)</f>
        <v>1.1950185873605945</v>
      </c>
      <c r="C329" s="36">
        <f>AVERAGE(C3:C328)</f>
        <v>1.175637065637066</v>
      </c>
      <c r="D329" s="36">
        <f>AVERAGE(D3:D328)</f>
        <v>1.1566292134831457</v>
      </c>
      <c r="E329" s="36">
        <f t="shared" ref="E329:G329" si="18">AVERAGE(E3:E328)</f>
        <v>0.66500000000000004</v>
      </c>
      <c r="F329" s="36">
        <f t="shared" si="18"/>
        <v>1.3018181818181818</v>
      </c>
      <c r="G329" s="36">
        <f t="shared" si="18"/>
        <v>0.90166666666666673</v>
      </c>
      <c r="H329" s="47">
        <f>AVERAGE(H3:H328)</f>
        <v>0.67669172932330823</v>
      </c>
      <c r="I329" s="3880">
        <f t="shared" ref="I329:Q329" si="19">AVERAGE(I3:I328)</f>
        <v>2.5413533834586466</v>
      </c>
      <c r="J329" s="3880">
        <f t="shared" si="19"/>
        <v>0.92481203007518797</v>
      </c>
      <c r="K329" s="3880">
        <f t="shared" si="19"/>
        <v>0.13909774436090225</v>
      </c>
      <c r="L329" s="3880">
        <f t="shared" si="19"/>
        <v>2.6315789473684209E-2</v>
      </c>
      <c r="M329" s="3880">
        <f t="shared" si="19"/>
        <v>0.12030075187969924</v>
      </c>
      <c r="N329" s="3880">
        <f t="shared" si="19"/>
        <v>1.9962406015037595</v>
      </c>
      <c r="O329" s="3880">
        <f t="shared" si="19"/>
        <v>0.47368421052631576</v>
      </c>
      <c r="P329" s="3880">
        <f t="shared" si="19"/>
        <v>0.21428571428571427</v>
      </c>
      <c r="Q329" s="3880">
        <f t="shared" si="19"/>
        <v>0.11278195488721804</v>
      </c>
      <c r="R329" s="3880">
        <f t="shared" ref="R329" si="20">AVERAGE(R3:R328)</f>
        <v>4.8872180451127817E-2</v>
      </c>
      <c r="S329" s="3880">
        <f t="shared" ref="S329" si="21">AVERAGE(S3:S328)</f>
        <v>0</v>
      </c>
      <c r="T329" s="3880">
        <f t="shared" ref="T329" si="22">AVERAGE(T3:T328)</f>
        <v>3.7593984962406013E-3</v>
      </c>
      <c r="U329" s="3880">
        <f t="shared" ref="U329" si="23">AVERAGE(U3:U328)</f>
        <v>0.453125</v>
      </c>
      <c r="V329" s="3880">
        <f t="shared" ref="V329" si="24">AVERAGE(V3:V328)</f>
        <v>0.88671875</v>
      </c>
      <c r="W329" s="3880">
        <f t="shared" ref="W329" si="25">AVERAGE(W3:W328)</f>
        <v>0.79607843137254897</v>
      </c>
      <c r="X329" s="3880">
        <f t="shared" ref="X329" si="26">AVERAGE(X3:X328)</f>
        <v>0.17578125</v>
      </c>
      <c r="Y329" s="3880">
        <f t="shared" ref="Y329:Z329" si="27">AVERAGE(Y3:Y328)</f>
        <v>7.8125E-3</v>
      </c>
      <c r="Z329" s="3880">
        <f t="shared" si="27"/>
        <v>0.17578125</v>
      </c>
      <c r="AA329" s="3880">
        <f t="shared" ref="AA329" si="28">AVERAGE(AA3:AA328)</f>
        <v>3.25</v>
      </c>
      <c r="AB329" s="3880">
        <f t="shared" ref="AB329" si="29">AVERAGE(AB3:AB328)</f>
        <v>0.421875</v>
      </c>
      <c r="AC329" s="3880">
        <f t="shared" ref="AC329" si="30">AVERAGE(AC3:AC328)</f>
        <v>0.328125</v>
      </c>
      <c r="AD329" s="3880">
        <f t="shared" ref="AD329" si="31">AVERAGE(AD3:AD328)</f>
        <v>0.21875</v>
      </c>
      <c r="AE329" s="3880">
        <f t="shared" ref="AE329" si="32">AVERAGE(AE3:AE328)</f>
        <v>9.765625E-2</v>
      </c>
      <c r="AF329" s="3880">
        <f t="shared" ref="AF329" si="33">AVERAGE(AF3:AF328)</f>
        <v>3.90625E-3</v>
      </c>
      <c r="AG329" s="3880">
        <f t="shared" ref="AG329" si="34">AVERAGE(AG3:AG328)</f>
        <v>0</v>
      </c>
      <c r="AH329" s="3880">
        <f t="shared" ref="AH329:AI329" si="35">AVERAGE(AH3:AH328)</f>
        <v>1.0112359550561798</v>
      </c>
      <c r="AI329" s="3880">
        <f t="shared" si="35"/>
        <v>1.9213483146067416</v>
      </c>
      <c r="AJ329" s="3880">
        <f t="shared" ref="AJ329" si="36">AVERAGE(AJ3:AJ328)</f>
        <v>0.9382022471910112</v>
      </c>
      <c r="AK329" s="3880">
        <f t="shared" ref="AK329" si="37">AVERAGE(AK3:AK328)</f>
        <v>0.15730337078651685</v>
      </c>
      <c r="AL329" s="3880">
        <f t="shared" ref="AL329" si="38">AVERAGE(AL3:AL328)</f>
        <v>2.247191011235955E-2</v>
      </c>
      <c r="AM329" s="3880">
        <f t="shared" ref="AM329" si="39">AVERAGE(AM3:AM328)</f>
        <v>0.24157303370786518</v>
      </c>
      <c r="AN329" s="3880">
        <f t="shared" ref="AN329" si="40">AVERAGE(AN3:AN328)</f>
        <v>2.702247191011236</v>
      </c>
      <c r="AO329" s="3880">
        <f t="shared" ref="AO329" si="41">AVERAGE(AO3:AO328)</f>
        <v>0.5112359550561798</v>
      </c>
      <c r="AP329" s="3880">
        <f t="shared" ref="AP329" si="42">AVERAGE(AP3:AP328)</f>
        <v>0.29213483146067415</v>
      </c>
      <c r="AQ329" s="3880">
        <f t="shared" ref="AQ329:AR329" si="43">AVERAGE(AQ3:AQ328)</f>
        <v>0.10674157303370786</v>
      </c>
      <c r="AR329" s="3880">
        <f t="shared" si="43"/>
        <v>6.741573033707865E-2</v>
      </c>
      <c r="AS329" s="3880">
        <f t="shared" ref="AS329" si="44">AVERAGE(AS3:AS328)</f>
        <v>5.6179775280898875E-3</v>
      </c>
      <c r="AT329" s="3880">
        <f t="shared" ref="AT329" si="45">AVERAGE(AT3:AT328)</f>
        <v>0</v>
      </c>
      <c r="AU329" s="3880">
        <f t="shared" ref="AU329" si="46">AVERAGE(AU3:AU328)</f>
        <v>0</v>
      </c>
      <c r="AV329" s="3880">
        <f t="shared" ref="AV329" si="47">AVERAGE(AV3:AV328)</f>
        <v>0.75</v>
      </c>
      <c r="AW329" s="3880">
        <f t="shared" ref="AW329" si="48">AVERAGE(AW3:AW328)</f>
        <v>0.25</v>
      </c>
      <c r="AX329" s="3880">
        <f t="shared" ref="AX329" si="49">AVERAGE(AX3:AX328)</f>
        <v>0.25</v>
      </c>
      <c r="AY329" s="3880">
        <f t="shared" ref="AY329" si="50">AVERAGE(AY3:AY328)</f>
        <v>0</v>
      </c>
      <c r="AZ329" s="3880">
        <f t="shared" ref="AZ329:BA329" si="51">AVERAGE(AZ3:AZ328)</f>
        <v>0</v>
      </c>
      <c r="BA329" s="3880">
        <f t="shared" si="51"/>
        <v>1</v>
      </c>
      <c r="BB329" s="3880">
        <f t="shared" ref="BB329" si="52">AVERAGE(BB3:BB328)</f>
        <v>0</v>
      </c>
      <c r="BC329" s="3880">
        <f t="shared" ref="BC329" si="53">AVERAGE(BC3:BC328)</f>
        <v>0</v>
      </c>
      <c r="BD329" s="3880">
        <f t="shared" ref="BD329" si="54">AVERAGE(BD3:BD328)</f>
        <v>0</v>
      </c>
      <c r="BE329" s="3880">
        <f t="shared" ref="BE329" si="55">AVERAGE(BE3:BE328)</f>
        <v>0</v>
      </c>
      <c r="BF329" s="3880">
        <f t="shared" ref="BF329" si="56">AVERAGE(BF3:BF328)</f>
        <v>0</v>
      </c>
      <c r="BG329" s="3880">
        <f t="shared" ref="BG329" si="57">AVERAGE(BG3:BG328)</f>
        <v>0</v>
      </c>
      <c r="BH329" s="3880">
        <f t="shared" ref="BH329" si="58">AVERAGE(BH3:BH328)</f>
        <v>0.81818181818181823</v>
      </c>
      <c r="BI329" s="3880">
        <f t="shared" ref="BI329:BJ329" si="59">AVERAGE(BI3:BI328)</f>
        <v>2.1818181818181817</v>
      </c>
      <c r="BJ329" s="3880">
        <f t="shared" si="59"/>
        <v>1.2727272727272727</v>
      </c>
      <c r="BK329" s="3880">
        <f t="shared" ref="BK329" si="60">AVERAGE(BK3:BK328)</f>
        <v>0.27272727272727271</v>
      </c>
      <c r="BL329" s="3880">
        <f t="shared" ref="BL329" si="61">AVERAGE(BL3:BL328)</f>
        <v>0</v>
      </c>
      <c r="BM329" s="3880">
        <f t="shared" ref="BM329" si="62">AVERAGE(BM3:BM328)</f>
        <v>0.81818181818181823</v>
      </c>
      <c r="BN329" s="3880">
        <f t="shared" ref="BN329" si="63">AVERAGE(BN3:BN328)</f>
        <v>2.3636363636363638</v>
      </c>
      <c r="BO329" s="3880">
        <f t="shared" ref="BO329" si="64">AVERAGE(BO3:BO328)</f>
        <v>0.36363636363636365</v>
      </c>
      <c r="BP329" s="3880">
        <f t="shared" ref="BP329" si="65">AVERAGE(BP3:BP328)</f>
        <v>9.0909090909090912E-2</v>
      </c>
      <c r="BQ329" s="3880">
        <f t="shared" ref="BQ329" si="66">AVERAGE(BQ3:BQ328)</f>
        <v>0.18181818181818182</v>
      </c>
      <c r="BR329" s="3880">
        <f t="shared" ref="BR329:BS329" si="67">AVERAGE(BR3:BR328)</f>
        <v>0</v>
      </c>
      <c r="BS329" s="3880">
        <f t="shared" si="67"/>
        <v>0</v>
      </c>
      <c r="BT329" s="3880">
        <f t="shared" ref="BT329" si="68">AVERAGE(BT3:BT328)</f>
        <v>0</v>
      </c>
      <c r="BU329" s="3880">
        <f t="shared" ref="BU329" si="69">AVERAGE(BU3:BU328)</f>
        <v>0.16666666666666666</v>
      </c>
      <c r="BV329" s="3880">
        <f t="shared" ref="BV329" si="70">AVERAGE(BV3:BV328)</f>
        <v>1.6666666666666667</v>
      </c>
      <c r="BW329" s="3880">
        <f t="shared" ref="BW329" si="71">AVERAGE(BW3:BW328)</f>
        <v>0.66666666666666663</v>
      </c>
      <c r="BX329" s="3880">
        <f t="shared" ref="BX329" si="72">AVERAGE(BX3:BX328)</f>
        <v>0</v>
      </c>
      <c r="BY329" s="3880">
        <f t="shared" ref="BY329" si="73">AVERAGE(BY3:BY328)</f>
        <v>0</v>
      </c>
      <c r="BZ329" s="3880">
        <f t="shared" ref="BZ329" si="74">AVERAGE(BZ3:BZ328)</f>
        <v>0</v>
      </c>
      <c r="CA329" s="3880">
        <f t="shared" ref="CA329:CB329" si="75">AVERAGE(CA3:CA328)</f>
        <v>2</v>
      </c>
      <c r="CB329" s="3880">
        <f t="shared" si="75"/>
        <v>0.16666666666666666</v>
      </c>
      <c r="CC329" s="3880">
        <f t="shared" ref="CC329" si="76">AVERAGE(CC3:CC328)</f>
        <v>0.33333333333333331</v>
      </c>
      <c r="CD329" s="3880">
        <f t="shared" ref="CD329" si="77">AVERAGE(CD3:CD328)</f>
        <v>0</v>
      </c>
      <c r="CE329" s="3880">
        <f t="shared" ref="CE329" si="78">AVERAGE(CE3:CE328)</f>
        <v>0</v>
      </c>
      <c r="CF329" s="3880">
        <f t="shared" ref="CF329" si="79">AVERAGE(CF3:CF328)</f>
        <v>0</v>
      </c>
      <c r="CG329" s="3880">
        <f t="shared" ref="CG329" si="80">AVERAGE(CG3:CG328)</f>
        <v>0</v>
      </c>
      <c r="CH329" s="35"/>
      <c r="CI329" s="35"/>
      <c r="CJ329" s="35"/>
      <c r="CK329" s="35"/>
      <c r="CL329" s="35"/>
      <c r="CM329" s="35"/>
      <c r="CN329" s="35"/>
      <c r="CO329" s="35"/>
      <c r="CP329" s="35"/>
      <c r="CQ329" s="35"/>
      <c r="CR329" s="35"/>
      <c r="CS329" s="35"/>
      <c r="CT329" s="35"/>
      <c r="CU329" s="35"/>
      <c r="CV329" s="35"/>
      <c r="CW329" s="35"/>
      <c r="CX329" s="35"/>
      <c r="CY329" s="35"/>
      <c r="CZ329" s="35"/>
      <c r="DA329" s="35"/>
      <c r="DB329" s="35"/>
      <c r="DC329" s="35"/>
      <c r="DD329" s="35"/>
      <c r="DE329" s="35"/>
      <c r="DF329" s="35"/>
      <c r="DG329" s="35"/>
      <c r="DH329" s="35"/>
      <c r="DI329" s="35"/>
      <c r="DJ329" s="35"/>
      <c r="DK329" s="35"/>
      <c r="DL329" s="35"/>
      <c r="DM329" s="35"/>
      <c r="DN329" s="35"/>
      <c r="DO329" s="35"/>
      <c r="DP329" s="35"/>
      <c r="DQ329" s="35"/>
      <c r="DR329" s="35"/>
      <c r="DS329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031" t="s">
        <v>1100</v>
      </c>
      <c r="CK1" s="4031"/>
      <c r="CL1" s="4031"/>
      <c r="CM1" s="4031"/>
      <c r="CN1" s="4031"/>
      <c r="CO1" s="4031"/>
      <c r="CP1" s="4048" t="s">
        <v>1111</v>
      </c>
      <c r="CQ1" s="4029"/>
      <c r="CR1" s="4029"/>
      <c r="CS1" s="4029"/>
      <c r="CT1" s="4029"/>
      <c r="CU1" s="4029"/>
      <c r="CV1" s="4030" t="s">
        <v>1101</v>
      </c>
      <c r="CW1" s="4030"/>
      <c r="CX1" s="4030"/>
      <c r="CY1" s="4030"/>
      <c r="CZ1" s="4030"/>
      <c r="DA1" s="4030"/>
      <c r="DB1" s="4020" t="s">
        <v>1102</v>
      </c>
      <c r="DC1" s="4020"/>
      <c r="DD1" s="4020"/>
      <c r="DE1" s="4020"/>
      <c r="DF1" s="4020"/>
      <c r="DG1" s="4020"/>
      <c r="DH1" s="4030" t="s">
        <v>1104</v>
      </c>
      <c r="DI1" s="4030"/>
      <c r="DJ1" s="4030"/>
      <c r="DK1" s="4030"/>
      <c r="DL1" s="4030"/>
      <c r="DM1" s="4030"/>
      <c r="DN1" s="4027" t="s">
        <v>997</v>
      </c>
      <c r="DO1" s="4027"/>
      <c r="DP1" s="4027"/>
      <c r="DQ1" s="4027"/>
      <c r="DR1" s="4027"/>
      <c r="DS1" s="4027"/>
      <c r="DT1" s="4027" t="s">
        <v>998</v>
      </c>
      <c r="DU1" s="4027"/>
      <c r="DV1" s="4027"/>
      <c r="DW1" s="4027"/>
      <c r="DX1" s="4027"/>
      <c r="DY1" s="4027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4003" t="e">
        <f>_xlfn.AGGREGATE(1,6,CJ2:CO2)</f>
        <v>#DIV/0!</v>
      </c>
      <c r="CK3" s="4003"/>
      <c r="CL3" s="4003"/>
      <c r="CM3" s="4003"/>
      <c r="CN3" s="4003"/>
      <c r="CO3" s="4003"/>
      <c r="CP3" s="4003">
        <f t="shared" ref="CP3" si="1">_xlfn.AGGREGATE(1,6,CP2:CU2)</f>
        <v>1.4500000000000002</v>
      </c>
      <c r="CQ3" s="4003"/>
      <c r="CR3" s="4003"/>
      <c r="CS3" s="4003"/>
      <c r="CT3" s="4003"/>
      <c r="CU3" s="4003"/>
      <c r="CV3" s="4003" t="e">
        <f t="shared" ref="CV3" si="2">_xlfn.AGGREGATE(1,6,CV2:DA2)</f>
        <v>#DIV/0!</v>
      </c>
      <c r="CW3" s="4003"/>
      <c r="CX3" s="4003"/>
      <c r="CY3" s="4003"/>
      <c r="CZ3" s="4003"/>
      <c r="DA3" s="4003"/>
      <c r="DB3" s="4003" t="e">
        <f t="shared" ref="DB3" si="3">_xlfn.AGGREGATE(1,6,DB2:DG2)</f>
        <v>#DIV/0!</v>
      </c>
      <c r="DC3" s="4003"/>
      <c r="DD3" s="4003"/>
      <c r="DE3" s="4003"/>
      <c r="DF3" s="4003"/>
      <c r="DG3" s="4003"/>
      <c r="DH3" s="4003" t="e">
        <f t="shared" ref="DH3" si="4">_xlfn.AGGREGATE(1,6,DH2:DM2)</f>
        <v>#DIV/0!</v>
      </c>
      <c r="DI3" s="4003"/>
      <c r="DJ3" s="4003"/>
      <c r="DK3" s="4003"/>
      <c r="DL3" s="4003"/>
      <c r="DM3" s="4003"/>
      <c r="DN3" s="4003" t="e">
        <f t="shared" ref="DN3" si="5">_xlfn.AGGREGATE(1,6,DN2:DS2)</f>
        <v>#DIV/0!</v>
      </c>
      <c r="DO3" s="4003"/>
      <c r="DP3" s="4003"/>
      <c r="DQ3" s="4003"/>
      <c r="DR3" s="4003"/>
      <c r="DS3" s="4003"/>
      <c r="DT3" s="4003" t="e">
        <f t="shared" ref="DT3" si="6">_xlfn.AGGREGATE(1,6,DT2:DY2)</f>
        <v>#DIV/0!</v>
      </c>
      <c r="DU3" s="4003"/>
      <c r="DV3" s="4003"/>
      <c r="DW3" s="4003"/>
      <c r="DX3" s="4003"/>
      <c r="DY3" s="4003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4020" t="s">
        <v>1099</v>
      </c>
      <c r="CK4" s="4020"/>
      <c r="CL4" s="4020"/>
      <c r="CM4" s="4020"/>
      <c r="CN4" s="4020"/>
      <c r="CO4" s="4020"/>
      <c r="CP4" s="4029" t="s">
        <v>993</v>
      </c>
      <c r="CQ4" s="4029"/>
      <c r="CR4" s="4029"/>
      <c r="CS4" s="4029"/>
      <c r="CT4" s="4029"/>
      <c r="CU4" s="4029"/>
      <c r="CV4" s="4027" t="s">
        <v>994</v>
      </c>
      <c r="CW4" s="4027"/>
      <c r="CX4" s="4027"/>
      <c r="CY4" s="4027"/>
      <c r="CZ4" s="4027"/>
      <c r="DA4" s="4027"/>
      <c r="DB4" s="4020" t="s">
        <v>1103</v>
      </c>
      <c r="DC4" s="4020"/>
      <c r="DD4" s="4020"/>
      <c r="DE4" s="4020"/>
      <c r="DF4" s="4020"/>
      <c r="DG4" s="4020"/>
      <c r="DH4" s="4027" t="s">
        <v>996</v>
      </c>
      <c r="DI4" s="4027"/>
      <c r="DJ4" s="4027"/>
      <c r="DK4" s="4027"/>
      <c r="DL4" s="4027"/>
      <c r="DM4" s="4027"/>
      <c r="DN4" s="4028" t="s">
        <v>1105</v>
      </c>
      <c r="DO4" s="4027"/>
      <c r="DP4" s="4027"/>
      <c r="DQ4" s="4027"/>
      <c r="DR4" s="4027"/>
      <c r="DS4" s="4027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2025-12-26T08:59:19Z</dcterms:modified>
</cp:coreProperties>
</file>