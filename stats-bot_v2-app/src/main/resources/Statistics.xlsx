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9B1D06D9-ED22-4A50-BFB3-22FBA4CF1DB2}" xr6:coauthVersionLast="45" xr6:coauthVersionMax="47" xr10:uidLastSave="{00000000-0000-0000-0000-000000000000}"/>
  <bookViews>
    <workbookView xWindow="-120" yWindow="-120" windowWidth="29040" windowHeight="15720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H304" i="14" l="1"/>
  <c r="AW304" i="14"/>
  <c r="AX304" i="14"/>
  <c r="AY304" i="14"/>
  <c r="AZ304" i="14"/>
  <c r="BA304" i="14"/>
  <c r="BB304" i="14"/>
  <c r="AV304" i="14"/>
  <c r="AU304" i="14"/>
  <c r="AR304" i="14"/>
  <c r="AS304" i="14"/>
  <c r="AT304" i="14"/>
  <c r="AQ304" i="14"/>
  <c r="AP304" i="14"/>
  <c r="AI304" i="14"/>
  <c r="AJ304" i="14"/>
  <c r="AK304" i="14"/>
  <c r="AL304" i="14"/>
  <c r="AM304" i="14"/>
  <c r="AN304" i="14"/>
  <c r="AO304" i="14"/>
  <c r="AH304" i="14"/>
  <c r="AD304" i="14"/>
  <c r="AE304" i="14"/>
  <c r="AF304" i="14"/>
  <c r="AG304" i="14"/>
  <c r="AC304" i="14"/>
  <c r="V304" i="14"/>
  <c r="W304" i="14"/>
  <c r="X304" i="14"/>
  <c r="Y304" i="14"/>
  <c r="Z304" i="14"/>
  <c r="AA304" i="14"/>
  <c r="AB304" i="14"/>
  <c r="U304" i="14"/>
  <c r="R304" i="14"/>
  <c r="S304" i="14"/>
  <c r="T304" i="14"/>
  <c r="Q304" i="14"/>
  <c r="P304" i="14"/>
  <c r="J304" i="14"/>
  <c r="K304" i="14"/>
  <c r="L304" i="14"/>
  <c r="M304" i="14"/>
  <c r="N304" i="14"/>
  <c r="O304" i="14"/>
  <c r="I304" i="14"/>
  <c r="H304" i="14"/>
  <c r="DB2" i="14" l="1"/>
  <c r="DC2" i="14"/>
  <c r="DD2" i="14"/>
  <c r="DE2" i="14"/>
  <c r="DF2" i="14"/>
  <c r="DG2" i="14"/>
  <c r="AN5" i="12" l="1"/>
  <c r="AJ5" i="12"/>
  <c r="AF5" i="12"/>
  <c r="AB5" i="12"/>
  <c r="X5" i="12"/>
  <c r="T5" i="12"/>
  <c r="P5" i="12"/>
  <c r="L5" i="12"/>
  <c r="H5" i="12"/>
  <c r="CJ5" i="14"/>
  <c r="L4" i="12"/>
  <c r="H4" i="12"/>
  <c r="I4" i="12"/>
  <c r="J4" i="12"/>
  <c r="K4" i="12"/>
  <c r="B107" i="13" l="1"/>
  <c r="DB3" i="14"/>
  <c r="DN5" i="13" l="1"/>
  <c r="DB2" i="13"/>
  <c r="DI2" i="13"/>
  <c r="DJ2" i="13"/>
  <c r="DK2" i="13"/>
  <c r="DH2" i="13"/>
  <c r="CV2" i="13"/>
  <c r="CP2" i="13"/>
  <c r="CJ5" i="13"/>
  <c r="CJ2" i="13"/>
  <c r="DO5" i="13"/>
  <c r="DP5" i="13"/>
  <c r="DQ5" i="13"/>
  <c r="DC2" i="13"/>
  <c r="DD2" i="13"/>
  <c r="DE2" i="13"/>
  <c r="CW2" i="13"/>
  <c r="CX2" i="13"/>
  <c r="CY2" i="13"/>
  <c r="CQ2" i="13"/>
  <c r="CR2" i="13"/>
  <c r="CS2" i="13"/>
  <c r="CK2" i="13"/>
  <c r="CL2" i="13"/>
  <c r="CM2" i="13"/>
  <c r="DI2" i="14" l="1"/>
  <c r="DJ2" i="14"/>
  <c r="DK2" i="14"/>
  <c r="DL2" i="14"/>
  <c r="DM2" i="14"/>
  <c r="CK5" i="13" l="1"/>
  <c r="CL5" i="13"/>
  <c r="CM5" i="13"/>
  <c r="EG2" i="14"/>
  <c r="EH2" i="14"/>
  <c r="EI2" i="14"/>
  <c r="EJ2" i="14"/>
  <c r="EK2" i="14"/>
  <c r="EF2" i="14"/>
  <c r="EA5" i="14"/>
  <c r="EB5" i="14"/>
  <c r="EC5" i="14"/>
  <c r="ED5" i="14"/>
  <c r="EE5" i="14"/>
  <c r="DZ5" i="14"/>
  <c r="DZ6" i="14" s="1"/>
  <c r="CP5" i="13"/>
  <c r="AO4" i="12"/>
  <c r="AP4" i="12"/>
  <c r="AQ4" i="12"/>
  <c r="AN4" i="12"/>
  <c r="AC4" i="12"/>
  <c r="AD4" i="12"/>
  <c r="AE4" i="12"/>
  <c r="AB4" i="12"/>
  <c r="EF3" i="14" l="1"/>
  <c r="DC5" i="14"/>
  <c r="DD5" i="14"/>
  <c r="DE5" i="14"/>
  <c r="DF5" i="14"/>
  <c r="DG5" i="14"/>
  <c r="DB5" i="14"/>
  <c r="DB6" i="14" s="1"/>
  <c r="DO5" i="14"/>
  <c r="DP5" i="14"/>
  <c r="DQ5" i="14"/>
  <c r="DR5" i="14"/>
  <c r="DS5" i="14"/>
  <c r="DN5" i="14"/>
  <c r="CK5" i="14"/>
  <c r="CL5" i="14"/>
  <c r="CM5" i="14"/>
  <c r="CN5" i="14"/>
  <c r="CO5" i="14"/>
  <c r="CK2" i="14"/>
  <c r="CL2" i="14"/>
  <c r="CM2" i="14"/>
  <c r="CN2" i="14"/>
  <c r="CO2" i="14"/>
  <c r="CJ2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2" i="14"/>
  <c r="DZ3" i="14" s="1"/>
  <c r="DU2" i="14"/>
  <c r="DV2" i="14"/>
  <c r="DW2" i="14"/>
  <c r="DX2" i="14"/>
  <c r="DY2" i="14"/>
  <c r="DT2" i="14"/>
  <c r="DT3" i="14" s="1"/>
  <c r="DU5" i="14"/>
  <c r="DV5" i="14"/>
  <c r="DW5" i="14"/>
  <c r="DX5" i="14"/>
  <c r="DY5" i="14"/>
  <c r="DT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H6" i="14" s="1"/>
  <c r="DH2" i="14"/>
  <c r="DH3" i="14" s="1"/>
  <c r="CW5" i="14"/>
  <c r="CX5" i="14"/>
  <c r="CY5" i="14"/>
  <c r="CZ5" i="14"/>
  <c r="DA5" i="14"/>
  <c r="CV5" i="14"/>
  <c r="CW2" i="14"/>
  <c r="CX2" i="14"/>
  <c r="CY2" i="14"/>
  <c r="CZ2" i="14"/>
  <c r="DA2" i="14"/>
  <c r="CV2" i="14"/>
  <c r="CV3" i="14" s="1"/>
  <c r="CQ2" i="14"/>
  <c r="CR2" i="14"/>
  <c r="CS2" i="14"/>
  <c r="CT2" i="14"/>
  <c r="CU2" i="14"/>
  <c r="CP2" i="14"/>
  <c r="CP3" i="14" s="1"/>
  <c r="CQ5" i="14"/>
  <c r="CR5" i="14"/>
  <c r="CS5" i="14"/>
  <c r="CT5" i="14"/>
  <c r="CU5" i="14"/>
  <c r="CP5" i="14"/>
  <c r="M4" i="12"/>
  <c r="DT6" i="14" l="1"/>
  <c r="CV6" i="14"/>
  <c r="CP6" i="14"/>
  <c r="DC5" i="13"/>
  <c r="DD5" i="13"/>
  <c r="DE5" i="13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5" i="13"/>
  <c r="DB6" i="13"/>
  <c r="DH5" i="13"/>
  <c r="DI5" i="13"/>
  <c r="DJ5" i="13"/>
  <c r="DK5" i="13"/>
  <c r="DH6" i="13"/>
  <c r="N4" i="12"/>
  <c r="O4" i="12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AG4" i="12"/>
  <c r="AH4" i="12"/>
  <c r="AI4" i="12"/>
  <c r="AF4" i="12"/>
  <c r="S4" i="12"/>
  <c r="R4" i="12"/>
  <c r="Q4" i="12"/>
  <c r="P4" i="12"/>
  <c r="X4" i="12"/>
  <c r="W4" i="12"/>
  <c r="V4" i="12"/>
  <c r="U4" i="12"/>
  <c r="T4" i="12"/>
  <c r="Y4" i="12" l="1"/>
  <c r="Z4" i="12"/>
  <c r="AA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E240" i="12"/>
  <c r="D240" i="12"/>
  <c r="C240" i="12"/>
  <c r="B240" i="12"/>
  <c r="CG304" i="14"/>
  <c r="CF304" i="14"/>
  <c r="CE304" i="14"/>
  <c r="CD304" i="14"/>
  <c r="CC304" i="14"/>
  <c r="CB304" i="14"/>
  <c r="CA304" i="14"/>
  <c r="BZ304" i="14"/>
  <c r="BY304" i="14"/>
  <c r="BX304" i="14"/>
  <c r="BW304" i="14"/>
  <c r="BV304" i="14"/>
  <c r="BU304" i="14"/>
  <c r="BT304" i="14"/>
  <c r="BS304" i="14"/>
  <c r="BR304" i="14"/>
  <c r="BQ304" i="14"/>
  <c r="BP304" i="14"/>
  <c r="BO304" i="14"/>
  <c r="BN304" i="14"/>
  <c r="BM304" i="14"/>
  <c r="BL304" i="14"/>
  <c r="BK304" i="14"/>
  <c r="BJ304" i="14"/>
  <c r="BI304" i="14"/>
  <c r="BG304" i="14"/>
  <c r="BF304" i="14"/>
  <c r="BE304" i="14"/>
  <c r="BD304" i="14"/>
  <c r="BC304" i="14"/>
  <c r="G304" i="14"/>
  <c r="F304" i="14"/>
  <c r="E304" i="14"/>
  <c r="D304" i="14"/>
  <c r="C304" i="14"/>
  <c r="B304" i="14"/>
</calcChain>
</file>

<file path=xl/sharedStrings.xml><?xml version="1.0" encoding="utf-8"?>
<sst xmlns="http://schemas.openxmlformats.org/spreadsheetml/2006/main" count="2448" uniqueCount="1291">
  <si>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</si>
  <si>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</si>
  <si>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</si>
  <si>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</si>
  <si>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</si>
  <si>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</si>
  <si>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</si>
  <si>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</si>
  <si>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</si>
  <si>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</si>
  <si>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</si>
  <si>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</si>
  <si>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</si>
  <si>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</si>
  <si>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</si>
  <si>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</si>
  <si>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</si>
  <si>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</si>
  <si>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</si>
  <si>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</si>
  <si>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</si>
  <si>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</si>
  <si>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</si>
  <si>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</si>
  <si>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</si>
  <si>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</si>
  <si>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</si>
  <si>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</si>
  <si>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</si>
  <si>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</si>
  <si>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</si>
  <si>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</si>
  <si>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</si>
  <si>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</si>
  <si>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</si>
  <si>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</si>
  <si>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</si>
  <si>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</si>
  <si>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</si>
  <si>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</si>
  <si>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</si>
  <si>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</si>
  <si>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</si>
  <si>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</si>
  <si>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</si>
  <si>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</si>
  <si>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</si>
  <si>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</si>
  <si>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</si>
  <si>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</si>
  <si>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</si>
  <si>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</si>
  <si>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</si>
  <si>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</si>
  <si>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</si>
  <si>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</si>
  <si>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</si>
  <si>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</si>
  <si>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</si>
  <si>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</si>
  <si>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</si>
  <si>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</si>
  <si>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</si>
  <si>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</si>
  <si>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</si>
  <si>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</si>
  <si>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</si>
  <si>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</si>
  <si>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</si>
  <si>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</si>
  <si>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</si>
  <si>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</si>
  <si>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</si>
  <si>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</si>
  <si>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</si>
  <si>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</si>
  <si>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</si>
  <si>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</si>
  <si>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</si>
  <si>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</si>
  <si>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</si>
  <si>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</si>
  <si>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</si>
  <si>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</si>
  <si>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</si>
  <si>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</si>
  <si>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</si>
  <si>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</si>
  <si>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</si>
  <si>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</si>
  <si>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</si>
  <si>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</si>
  <si>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</si>
  <si>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</si>
  <si>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</si>
  <si>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</si>
  <si>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</si>
  <si>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</si>
  <si>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</si>
  <si>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</si>
  <si>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</si>
  <si>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</si>
  <si>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</si>
  <si>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</si>
  <si>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</si>
  <si>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</si>
  <si>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</si>
  <si>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</si>
  <si>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</si>
  <si>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</si>
  <si>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</si>
  <si>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</si>
  <si>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</si>
  <si>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</si>
  <si>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</si>
  <si>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</si>
  <si>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</si>
  <si>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</si>
  <si>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</si>
  <si>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</si>
  <si>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</si>
  <si>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</si>
  <si>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</si>
  <si>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</si>
  <si>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</si>
  <si>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</si>
  <si>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</si>
  <si>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</si>
  <si>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</si>
  <si>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</si>
  <si>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</si>
  <si>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</si>
  <si>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</si>
  <si>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</si>
  <si>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</si>
  <si>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</si>
  <si>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</si>
  <si>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</si>
  <si>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</si>
  <si>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</si>
  <si>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</si>
  <si>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</si>
  <si>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</si>
  <si>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</si>
  <si>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</si>
  <si>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</si>
  <si>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</si>
  <si>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</si>
  <si>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</si>
  <si>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</si>
  <si>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</si>
  <si>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</si>
  <si>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</si>
  <si>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</si>
  <si>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</si>
  <si>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</si>
  <si>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</si>
  <si>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</si>
  <si>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</si>
  <si>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</si>
  <si>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</si>
  <si>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</si>
  <si>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</si>
  <si>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</si>
  <si>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</si>
  <si>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</si>
  <si>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</si>
  <si>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</si>
  <si>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</si>
  <si>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</si>
  <si>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</si>
  <si>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</si>
  <si>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</si>
  <si>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</si>
  <si>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</si>
  <si>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</si>
  <si>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</si>
  <si>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</si>
  <si>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</si>
  <si>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</si>
  <si>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</si>
  <si>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</si>
  <si>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</si>
  <si>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</si>
  <si>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</si>
  <si>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</si>
  <si>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</si>
  <si>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</si>
  <si>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</si>
  <si>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</si>
  <si>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</si>
  <si>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</si>
  <si>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</si>
  <si>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</si>
  <si>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</si>
  <si>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</si>
  <si>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</si>
  <si>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</si>
  <si>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</si>
  <si>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</si>
  <si>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</si>
  <si>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</si>
  <si>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</si>
  <si>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</si>
  <si>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</si>
  <si>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</si>
  <si>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</si>
  <si>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</si>
  <si>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</si>
  <si>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</si>
  <si>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</si>
  <si>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</si>
  <si>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</si>
  <si>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</si>
  <si>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</si>
  <si>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</si>
  <si>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</si>
  <si>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</si>
  <si>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</si>
  <si>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</si>
  <si>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</si>
  <si>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</si>
  <si>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</si>
  <si>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</si>
  <si>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</si>
  <si>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</si>
  <si>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</si>
  <si>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</si>
  <si>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</si>
  <si>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</si>
  <si>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</si>
  <si>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</si>
  <si>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</si>
  <si>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</si>
  <si>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</si>
  <si>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</si>
  <si>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</si>
  <si>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</si>
  <si>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</si>
  <si>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</si>
  <si>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</si>
  <si>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</si>
  <si>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</si>
  <si>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</si>
  <si>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</si>
  <si>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</si>
  <si>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</si>
  <si>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</si>
  <si>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</si>
  <si>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</si>
  <si>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</si>
  <si>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</si>
  <si>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</si>
  <si>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</si>
  <si>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</si>
  <si>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</si>
  <si>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</si>
  <si>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</si>
  <si>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</si>
  <si>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</si>
  <si>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</si>
  <si>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</si>
  <si>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</si>
  <si>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</si>
  <si>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</si>
  <si>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</si>
  <si>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</si>
  <si>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</si>
  <si>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</si>
  <si>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</si>
  <si>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</si>
  <si>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</si>
  <si>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</si>
  <si>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</si>
  <si>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</si>
  <si>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</si>
  <si>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</si>
  <si>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</si>
  <si>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</si>
  <si>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</si>
  <si>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</si>
  <si>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</si>
  <si>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</si>
  <si>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</si>
  <si>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</si>
  <si>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</si>
  <si>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</si>
  <si>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</si>
  <si>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</si>
  <si>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</si>
  <si>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</si>
  <si>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</si>
  <si>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</si>
  <si>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</si>
  <si>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</si>
  <si>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</si>
  <si>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</si>
  <si>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</si>
  <si>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</si>
  <si>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</si>
  <si>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</si>
  <si>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</si>
  <si>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</si>
  <si>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</si>
  <si>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</si>
  <si>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</si>
  <si>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</si>
  <si>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</si>
  <si>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</si>
  <si>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</si>
  <si>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</si>
  <si>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</si>
  <si>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</si>
  <si>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</si>
  <si>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</si>
  <si>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</si>
  <si>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</si>
  <si>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</si>
  <si>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</si>
  <si>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</si>
  <si>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</si>
  <si>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</si>
  <si>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</si>
  <si>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</si>
  <si>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</si>
  <si>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</si>
  <si>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</si>
  <si>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</si>
  <si>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</si>
  <si>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</si>
  <si>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</si>
  <si>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</si>
  <si>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</si>
  <si>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</si>
  <si>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</si>
  <si>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</si>
  <si>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</si>
  <si>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</si>
  <si>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</si>
  <si>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</si>
  <si>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</si>
  <si>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</si>
  <si>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</si>
  <si>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</si>
  <si>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</si>
  <si>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</si>
  <si>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</si>
  <si>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</si>
  <si>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</si>
  <si>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</si>
  <si>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</si>
  <si>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</si>
  <si>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</si>
  <si>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</si>
  <si>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</si>
  <si>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</si>
  <si>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</si>
  <si>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</si>
  <si>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</si>
  <si>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</si>
  <si>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</si>
  <si>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</si>
  <si>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</si>
  <si>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</si>
  <si>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</si>
  <si>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</si>
  <si>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</si>
  <si>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</si>
  <si>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</si>
  <si>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</si>
  <si>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</si>
  <si>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</si>
  <si>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</si>
  <si>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</si>
  <si>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</si>
  <si>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</si>
  <si>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</si>
  <si>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</si>
  <si>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</si>
  <si>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</si>
  <si>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</si>
  <si>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</si>
  <si>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</si>
  <si>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</si>
  <si>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</si>
  <si>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</si>
  <si>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</si>
  <si>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</si>
  <si>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</si>
  <si>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</si>
  <si>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</si>
  <si>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</si>
  <si>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</si>
  <si>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</si>
  <si>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</si>
  <si>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</si>
  <si>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</si>
  <si>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</si>
  <si>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</si>
  <si>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</si>
  <si>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</si>
  <si>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</si>
  <si>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</si>
  <si>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</si>
  <si>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</si>
  <si>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</si>
  <si>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</si>
  <si>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</si>
  <si>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</si>
  <si>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</si>
  <si>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</si>
  <si>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</si>
  <si>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</si>
  <si>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</si>
  <si>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</si>
  <si>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</si>
  <si>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</si>
  <si>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</si>
  <si>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</si>
  <si>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</si>
  <si>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</si>
  <si>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</si>
  <si>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</si>
  <si>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</si>
  <si>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</si>
  <si>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</si>
  <si>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</si>
  <si>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</si>
  <si>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</si>
  <si>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</si>
  <si>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</si>
  <si>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</si>
  <si>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</si>
  <si>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</si>
  <si>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</si>
  <si>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</si>
  <si>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</si>
  <si>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</si>
  <si>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</si>
  <si>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</si>
  <si>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</si>
  <si>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</si>
  <si>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</si>
  <si>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</si>
  <si>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</si>
  <si>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</si>
  <si>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</si>
  <si>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</si>
  <si>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</si>
  <si>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</si>
  <si>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</si>
  <si>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</si>
  <si>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</si>
  <si>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</si>
  <si>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</si>
  <si>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</si>
  <si>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</si>
  <si>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</si>
  <si>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</si>
  <si>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</si>
  <si>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</si>
  <si>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</si>
  <si>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</si>
  <si>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</si>
  <si>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</si>
  <si>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</si>
  <si>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</si>
  <si>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</si>
  <si>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</si>
  <si>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</si>
  <si>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</si>
  <si>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</si>
  <si>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</si>
  <si>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</si>
  <si>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</si>
  <si>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</si>
  <si>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</si>
  <si>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</si>
  <si>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</si>
  <si>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</si>
  <si>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</si>
  <si>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</si>
  <si>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</si>
  <si>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</si>
  <si>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</si>
  <si>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</si>
  <si>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</si>
  <si>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</si>
  <si>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</si>
  <si>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</si>
  <si>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</si>
  <si>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</si>
  <si>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</si>
  <si>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</si>
  <si>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</si>
  <si>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</si>
  <si>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</si>
  <si>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</si>
  <si>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</si>
  <si>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</si>
  <si>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</si>
  <si>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</si>
  <si>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</si>
  <si>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</si>
  <si>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</si>
  <si>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</si>
  <si>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</si>
  <si>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</si>
  <si>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</si>
  <si>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</si>
  <si>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</si>
  <si>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</si>
  <si>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</si>
  <si>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</si>
  <si>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</si>
  <si>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</si>
  <si>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</si>
  <si>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</si>
  <si>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</si>
  <si>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</si>
  <si>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</si>
  <si>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</si>
  <si>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</si>
  <si>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</si>
  <si>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</si>
  <si>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</si>
  <si>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</si>
  <si>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</si>
  <si>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</si>
  <si>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</si>
  <si>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</si>
  <si>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</si>
  <si>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</si>
  <si>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</si>
  <si>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</si>
  <si>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</si>
  <si>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</si>
  <si>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</si>
  <si>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</si>
  <si>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</si>
  <si>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</si>
  <si>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</si>
  <si>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</si>
  <si>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</si>
  <si>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</si>
  <si>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</si>
  <si>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</si>
  <si>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</si>
  <si>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</si>
  <si>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</si>
  <si>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</si>
  <si>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</si>
  <si>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</si>
  <si>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</si>
  <si>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</si>
  <si>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</si>
  <si>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</si>
  <si>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</si>
  <si>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</si>
  <si>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</si>
  <si>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</si>
  <si>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</si>
  <si>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</si>
  <si>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</si>
  <si>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</si>
  <si>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</si>
  <si>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</si>
  <si>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</si>
  <si>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</si>
  <si>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</si>
  <si>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</si>
  <si>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</si>
  <si>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</si>
  <si>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</si>
  <si>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</si>
  <si>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</si>
  <si>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</si>
  <si>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</si>
  <si>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</si>
  <si>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</si>
  <si>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</si>
  <si>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</si>
  <si>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</si>
  <si>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</si>
  <si>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</si>
  <si>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</si>
  <si>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</si>
  <si>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</si>
  <si>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</si>
  <si>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</si>
  <si>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</si>
  <si>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</si>
  <si>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</si>
  <si>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</si>
  <si>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</si>
  <si>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</si>
  <si>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</si>
  <si>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</si>
  <si>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</si>
  <si>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</si>
  <si>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</si>
  <si>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</si>
  <si>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</si>
  <si>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</si>
  <si>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</si>
  <si>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</si>
  <si>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</si>
  <si>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</si>
  <si>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</si>
  <si>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</si>
  <si>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</si>
  <si>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</si>
  <si>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</si>
  <si>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</si>
  <si>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</si>
  <si>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</si>
  <si>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</si>
  <si>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</si>
  <si>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</si>
  <si>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</si>
  <si>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</si>
  <si>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</si>
  <si>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</si>
  <si>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</si>
  <si>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</si>
  <si>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</si>
  <si>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</si>
  <si>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</si>
  <si>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</si>
  <si>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</si>
  <si>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</si>
  <si>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</si>
  <si>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</si>
  <si>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</si>
  <si>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</si>
  <si>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</si>
  <si>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</si>
  <si>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</si>
  <si>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</si>
  <si>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</si>
  <si>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</si>
  <si>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</si>
  <si>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</si>
  <si>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</si>
  <si>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</si>
  <si>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</si>
  <si>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</si>
  <si>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</si>
  <si>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</si>
  <si>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</si>
  <si>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</si>
  <si>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</si>
  <si>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</si>
  <si>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</si>
  <si>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</si>
  <si>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</si>
  <si>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</si>
  <si>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</si>
  <si>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</si>
  <si>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</si>
  <si>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</si>
  <si>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</si>
  <si>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</si>
  <si>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</si>
  <si>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</si>
  <si>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</si>
  <si>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</si>
  <si>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</si>
  <si>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</si>
  <si>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</si>
  <si>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</si>
  <si>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</si>
  <si>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</si>
  <si>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</si>
  <si>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</si>
  <si>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</si>
  <si>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</si>
  <si>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</si>
  <si>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</si>
  <si>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</si>
  <si>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</si>
  <si>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</si>
  <si>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</si>
  <si>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</si>
  <si>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</si>
  <si>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</si>
  <si>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</si>
  <si>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</si>
  <si>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</si>
  <si>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</si>
  <si>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</si>
  <si>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</si>
  <si>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</si>
  <si>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</si>
  <si>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</si>
  <si>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</si>
  <si>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</si>
  <si>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</si>
  <si>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</si>
  <si>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</si>
  <si>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</si>
  <si>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</si>
  <si>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</si>
  <si>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</si>
  <si>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</si>
  <si>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</si>
  <si>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</si>
  <si>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</si>
  <si>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</si>
  <si>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</si>
  <si>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</si>
  <si>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</si>
  <si>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</si>
  <si>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</si>
  <si>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</si>
  <si>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</si>
  <si>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</si>
  <si>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</si>
  <si>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</si>
  <si>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</si>
  <si>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</si>
  <si>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</si>
  <si>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</si>
  <si>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</si>
  <si>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</si>
  <si>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</si>
  <si>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</si>
  <si>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</si>
  <si>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</si>
  <si>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</si>
  <si>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</si>
  <si>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</si>
  <si>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</si>
  <si>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</si>
  <si>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</si>
  <si>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</si>
  <si>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</si>
  <si>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</si>
  <si>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</si>
  <si>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</si>
  <si>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</si>
  <si>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</si>
  <si>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</si>
  <si>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</si>
  <si>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</si>
  <si>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</si>
  <si>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</si>
  <si>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</si>
  <si>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</si>
  <si>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</si>
  <si>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</si>
  <si>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</si>
  <si>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</si>
  <si>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</si>
  <si>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</si>
  <si>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</si>
  <si>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</si>
  <si>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</si>
  <si>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</si>
  <si>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</si>
  <si>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</si>
  <si>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</si>
  <si>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</si>
  <si>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</si>
  <si>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</si>
  <si>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</si>
  <si>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</si>
  <si>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</si>
  <si>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</si>
  <si>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</si>
  <si>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</si>
  <si>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</si>
  <si>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</si>
  <si>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</si>
  <si>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</si>
  <si>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</si>
  <si>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</si>
  <si>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</si>
  <si>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</si>
  <si>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</si>
  <si>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</si>
  <si>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</si>
  <si>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</si>
  <si>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</si>
  <si>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</si>
  <si>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</si>
  <si>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</si>
  <si>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</si>
  <si>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</si>
  <si>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</si>
  <si>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</si>
  <si>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</si>
  <si>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</si>
  <si>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</si>
  <si>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</si>
  <si>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</si>
  <si>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</si>
  <si>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</si>
  <si>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</si>
  <si>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</si>
  <si>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</si>
  <si>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</si>
  <si>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</si>
  <si>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</si>
  <si>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</si>
  <si>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</si>
  <si>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</si>
  <si>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</si>
  <si>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</si>
  <si>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</si>
  <si>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</si>
  <si>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</si>
  <si>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</si>
  <si>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</si>
  <si>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</si>
  <si>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</si>
  <si>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</si>
  <si>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</si>
  <si>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</si>
  <si>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</si>
  <si>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</si>
  <si>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</si>
  <si>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</si>
  <si>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</si>
  <si>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</si>
  <si>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</si>
  <si>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</si>
  <si>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</si>
  <si>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</si>
  <si>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</si>
  <si>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</si>
  <si>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</si>
  <si>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</si>
  <si>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</si>
  <si>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</si>
  <si>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</si>
  <si>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</si>
  <si>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</si>
  <si>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</si>
  <si>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</si>
  <si>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</si>
  <si>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</si>
  <si>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</si>
  <si>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</si>
  <si>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</si>
  <si>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</si>
  <si>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</si>
  <si>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</si>
  <si>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</si>
  <si>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</si>
  <si>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</si>
  <si>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</si>
  <si>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</si>
  <si>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</si>
  <si>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</si>
  <si>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</si>
  <si>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</si>
  <si>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</si>
  <si>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</si>
  <si>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</si>
  <si>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</si>
  <si>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</si>
  <si>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</si>
  <si>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</si>
  <si>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</si>
  <si>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</si>
  <si>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</si>
  <si>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</si>
  <si>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</si>
  <si>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</si>
  <si>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</si>
  <si>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</si>
  <si>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</si>
  <si>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</si>
  <si>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</si>
  <si>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</si>
  <si>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</si>
  <si>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</si>
  <si>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</si>
  <si>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</si>
  <si>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</si>
  <si>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</si>
  <si>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</si>
  <si>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</si>
  <si>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</si>
  <si>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</si>
  <si>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</si>
  <si>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</si>
  <si>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</si>
  <si>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</si>
  <si>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</si>
  <si>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</si>
  <si>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</si>
  <si>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</si>
  <si>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</si>
  <si>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</si>
  <si>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</si>
  <si>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</si>
  <si>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</si>
  <si>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</si>
  <si>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</si>
  <si>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</si>
  <si>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</si>
  <si>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</si>
  <si>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</si>
  <si>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</si>
  <si>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</si>
  <si>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</si>
  <si>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</si>
  <si>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</si>
  <si>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</si>
  <si>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</si>
  <si>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</si>
  <si>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</si>
  <si>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</si>
  <si>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</si>
  <si>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</si>
  <si>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</si>
  <si>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</si>
  <si>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</si>
  <si>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</si>
  <si>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</si>
  <si>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</si>
  <si>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</si>
  <si>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</si>
  <si>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</si>
  <si>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</si>
  <si>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</si>
  <si>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</si>
  <si>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</si>
  <si>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</si>
  <si>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</si>
  <si>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</si>
  <si>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</si>
  <si>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</si>
  <si>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</si>
  <si>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</si>
  <si>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</si>
  <si>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</si>
  <si>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</si>
  <si>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</si>
  <si>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</si>
  <si>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</si>
  <si>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</si>
  <si>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</si>
  <si>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</si>
  <si>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</si>
  <si>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</si>
  <si>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</si>
  <si>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</si>
  <si>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</si>
  <si>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</si>
  <si>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</si>
  <si>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</si>
  <si>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</si>
  <si>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</si>
  <si>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</si>
  <si>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</si>
  <si>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</si>
  <si>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</si>
  <si>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</si>
  <si>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</si>
  <si>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</si>
  <si>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</si>
  <si>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</si>
  <si>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</si>
  <si>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</si>
  <si>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</si>
  <si>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</si>
  <si>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</si>
  <si>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</si>
  <si>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</si>
  <si>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</si>
  <si>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</si>
  <si>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</si>
  <si>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</si>
  <si>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</si>
  <si>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</si>
  <si>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</si>
  <si>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</si>
  <si>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</si>
  <si>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</si>
  <si>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</si>
  <si>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</si>
  <si>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</si>
  <si>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</si>
  <si>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</si>
  <si>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</si>
  <si>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</si>
  <si>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</si>
  <si>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</si>
  <si>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</si>
  <si>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</si>
  <si>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</si>
  <si>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</si>
  <si>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</si>
  <si>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</si>
  <si>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</si>
  <si>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</si>
  <si>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</si>
  <si>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</si>
  <si>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</si>
  <si>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</si>
  <si>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</si>
  <si>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</si>
  <si>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</si>
  <si>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</si>
  <si>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</si>
  <si>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</si>
  <si>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</si>
  <si>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</si>
  <si>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</si>
  <si>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</si>
  <si>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</si>
  <si>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</si>
  <si>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</si>
  <si>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</si>
  <si>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</si>
  <si>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</si>
  <si>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</si>
  <si>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</si>
  <si>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</si>
  <si>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</si>
  <si>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</si>
  <si>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</si>
  <si>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</si>
  <si>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</si>
  <si>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</si>
  <si>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</si>
  <si>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</si>
  <si>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</si>
  <si>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</si>
  <si>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</si>
  <si>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</si>
  <si>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</si>
  <si>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</si>
  <si>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</si>
  <si>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</si>
  <si>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</si>
  <si>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</si>
  <si>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</si>
  <si>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</si>
  <si>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</si>
  <si>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</si>
  <si>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</si>
  <si>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</si>
  <si>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</si>
  <si>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</si>
  <si>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</si>
  <si>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</si>
  <si>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</si>
  <si>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</si>
  <si>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</si>
  <si>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</si>
  <si>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</si>
  <si>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</si>
  <si>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</si>
  <si>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</si>
  <si>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</si>
  <si>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</si>
  <si>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</si>
  <si>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</si>
  <si>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</si>
  <si>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</si>
  <si>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</si>
  <si>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</si>
  <si>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</si>
  <si>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</si>
  <si>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</si>
  <si>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</si>
  <si>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</si>
  <si>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</si>
  <si>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</si>
  <si>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</si>
  <si>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</si>
  <si>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</si>
  <si>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</si>
  <si>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</si>
  <si>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</si>
  <si>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</si>
  <si>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</si>
  <si>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</si>
  <si>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</si>
  <si>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</si>
  <si>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</si>
  <si>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</si>
  <si>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</si>
  <si>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</si>
  <si>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</si>
  <si>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</si>
  <si>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</si>
  <si>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</si>
  <si>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</si>
  <si>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</si>
  <si>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</si>
  <si>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</si>
  <si>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</si>
  <si>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</si>
  <si>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</si>
  <si>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</si>
  <si>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</si>
  <si>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</si>
  <si>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</si>
  <si>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</si>
  <si>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</si>
  <si>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</si>
  <si>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</si>
  <si>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</si>
  <si>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</si>
  <si>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</si>
  <si>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</si>
  <si>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</si>
  <si>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</si>
  <si>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</si>
  <si>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</si>
  <si>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</si>
  <si>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</si>
  <si>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</si>
  <si>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</si>
  <si>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</si>
  <si>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</si>
  <si>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</si>
  <si>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</si>
  <si>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</si>
  <si>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</si>
  <si>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</si>
  <si>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</si>
  <si>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</si>
  <si>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</si>
  <si>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</si>
  <si>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</si>
  <si>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</si>
  <si>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</si>
  <si>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</si>
  <si>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</si>
  <si>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</si>
  <si>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</si>
  <si>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</si>
  <si>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</si>
  <si>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</si>
  <si>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</si>
  <si>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</si>
  <si>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</si>
  <si>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</si>
  <si>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</si>
  <si>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</si>
  <si>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</si>
  <si>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</si>
  <si>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</si>
  <si>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</si>
  <si>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</si>
  <si>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</si>
  <si>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</si>
  <si>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</si>
  <si>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</si>
  <si>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</si>
  <si>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</si>
  <si>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</si>
  <si>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</si>
  <si>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</si>
  <si>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</si>
  <si>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</si>
  <si>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</si>
  <si>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</si>
  <si>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</si>
  <si>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</si>
  <si>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</si>
  <si>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</si>
  <si>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ANCIENT (2/2/0)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</si>
  <si>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</si>
  <si>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</si>
  <si>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</si>
  <si>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</si>
  <si>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</si>
  <si>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</si>
  <si>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</si>
  <si>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</si>
  <si>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</si>
  <si>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</si>
  <si>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</si>
  <si>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</si>
  <si>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</si>
  <si>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</si>
  <si>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</si>
  <si>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</si>
  <si>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</si>
  <si>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</si>
  <si>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</si>
  <si>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</si>
  <si>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</si>
  <si>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</si>
  <si>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</si>
  <si>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</si>
  <si>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</si>
  <si>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</si>
  <si>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</si>
  <si>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</si>
  <si>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</si>
  <si>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</si>
  <si>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</si>
  <si>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</si>
  <si>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</si>
  <si>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</si>
  <si>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</si>
  <si>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</si>
  <si>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</si>
  <si>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</si>
  <si>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</si>
  <si>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</si>
  <si>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</si>
  <si>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</si>
  <si>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</si>
  <si>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INFERNO (4/4/1)</t>
  </si>
  <si>
    <t>7, 10, 10, 4, def - lose</t>
  </si>
  <si>
    <t>01.11.2025</t>
  </si>
  <si>
    <t>74 map (dust)</t>
  </si>
  <si>
    <t>75 map (dust)</t>
  </si>
  <si>
    <t>76 map (mir)</t>
  </si>
  <si>
    <t>77 map (dust)</t>
  </si>
  <si>
    <t>DUST (13/7/0)</t>
  </si>
  <si>
    <t>78 map (mir)</t>
  </si>
  <si>
    <t>MIRAGE (16/13/0)</t>
  </si>
  <si>
    <t>02.11.2025</t>
  </si>
  <si>
    <t>213 map (anu)</t>
  </si>
  <si>
    <t>214 map (dust)</t>
  </si>
  <si>
    <t>05.11.2025</t>
  </si>
  <si>
    <t>215 map (vert)</t>
  </si>
  <si>
    <t>79 map (train)</t>
  </si>
  <si>
    <t>TRAIN (2/3/0)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</si>
  <si>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</si>
  <si>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</si>
  <si>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</si>
  <si>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</si>
  <si>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</si>
  <si>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</si>
  <si>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nuke (44)</t>
  </si>
  <si>
    <t>196 map (inf)</t>
  </si>
  <si>
    <t>197 map (inf)</t>
  </si>
  <si>
    <t>198 map (roof)</t>
  </si>
  <si>
    <t>rooftop (2)</t>
  </si>
  <si>
    <t>199 map (vert)</t>
  </si>
  <si>
    <t>vertigo (28)</t>
  </si>
  <si>
    <t>12.11.2025</t>
  </si>
  <si>
    <t>200 map (inf)</t>
  </si>
  <si>
    <t>inferno (53)</t>
  </si>
  <si>
    <t>201 map (over)</t>
  </si>
  <si>
    <t>OVERPASS (30)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</si>
  <si>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</si>
  <si>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</si>
  <si>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</si>
  <si>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</si>
  <si>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</si>
  <si>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</si>
  <si>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</si>
  <si>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</si>
  <si>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</si>
  <si>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</si>
  <si>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</si>
  <si>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</si>
  <si>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</si>
  <si>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</si>
  <si>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</si>
  <si>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</si>
  <si>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</si>
  <si>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</si>
  <si>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</si>
  <si>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</si>
  <si>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TRAIN (8/6/2)</t>
  </si>
  <si>
    <t>236 map (inf)</t>
  </si>
  <si>
    <t>INFERNO (8/4/0)</t>
  </si>
  <si>
    <t>237 map (anc)</t>
  </si>
  <si>
    <t>238 map (vert)</t>
  </si>
  <si>
    <t>VERTIGO (9/6/2)</t>
  </si>
  <si>
    <t>239 map (dust)</t>
  </si>
  <si>
    <t>240 map (anu)</t>
  </si>
  <si>
    <t>29.11.2025</t>
  </si>
  <si>
    <t>241 map (mir)</t>
  </si>
  <si>
    <t>MIRAGE (16/13/2)</t>
  </si>
  <si>
    <t>242 map (anc)</t>
  </si>
  <si>
    <t>ANCIENT (10/5/3)</t>
  </si>
  <si>
    <t>243 map (nuke)</t>
  </si>
  <si>
    <t>NUKE (7/8/1)</t>
  </si>
  <si>
    <t>244 map (dust)</t>
  </si>
  <si>
    <t>DUST (21/16/2)</t>
  </si>
  <si>
    <t>245 map (off)</t>
  </si>
  <si>
    <t>246 map (anu)</t>
  </si>
  <si>
    <t>ANUBIS (14/8/1)</t>
  </si>
  <si>
    <t>247 map (over)</t>
  </si>
  <si>
    <t>248 map (off)</t>
  </si>
  <si>
    <t>OFFICE (22/16/4)</t>
  </si>
  <si>
    <t>10, 9, 10, def, 4 - 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</si>
</sst>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1" fillId="14" borderId="0" applyNumberFormat="0" applyBorder="0" applyAlignment="0" applyProtection="0"/>
    <xf numFmtId="0" fontId="7" fillId="17" borderId="2" applyNumberFormat="0" applyFont="0" applyAlignment="0" applyProtection="0"/>
    <xf numFmtId="0" fontId="22" fillId="15" borderId="0" applyNumberFormat="0" applyBorder="0" applyAlignment="0" applyProtection="0"/>
    <xf numFmtId="0" fontId="23" fillId="16" borderId="0" applyNumberFormat="0" applyBorder="0" applyAlignment="0" applyProtection="0"/>
  </cellStyleXfs>
  <cellXfs count="3489">
    <xf numFmtId="0" fontId="0" fillId="0" borderId="0" xfId="0"/>
    <xf numFmtId="0" fontId="7" fillId="0" borderId="0" xfId="0" applyFont="1"/>
    <xf numFmtId="0" fontId="8" fillId="2" borderId="1" xfId="0" applyFont="1" applyFill="1" applyBorder="1"/>
    <xf numFmtId="0" fontId="8" fillId="2" borderId="2" xfId="0" applyFont="1" applyFill="1" applyBorder="1"/>
    <xf numFmtId="0" fontId="9" fillId="3" borderId="1" xfId="0" applyFont="1" applyFill="1" applyBorder="1"/>
    <xf numFmtId="0" fontId="9" fillId="3" borderId="2" xfId="0" applyFont="1" applyFill="1" applyBorder="1"/>
    <xf numFmtId="0" fontId="10" fillId="4" borderId="1" xfId="0" applyFont="1" applyFill="1" applyBorder="1"/>
    <xf numFmtId="0" fontId="10" fillId="4" borderId="2" xfId="0" applyFont="1" applyFill="1" applyBorder="1"/>
    <xf numFmtId="0" fontId="11" fillId="5" borderId="1" xfId="0" applyFont="1" applyFill="1" applyBorder="1"/>
    <xf numFmtId="0" fontId="11" fillId="5" borderId="2" xfId="0" applyFont="1" applyFill="1" applyBorder="1"/>
    <xf numFmtId="0" fontId="12" fillId="6" borderId="1" xfId="0" applyFont="1" applyFill="1" applyBorder="1"/>
    <xf numFmtId="0" fontId="12" fillId="6" borderId="2" xfId="0" applyFont="1" applyFill="1" applyBorder="1"/>
    <xf numFmtId="14" fontId="8" fillId="2" borderId="1" xfId="0" applyNumberFormat="1" applyFont="1" applyFill="1" applyBorder="1"/>
    <xf numFmtId="0" fontId="12" fillId="7" borderId="2" xfId="0" applyFont="1" applyFill="1" applyBorder="1"/>
    <xf numFmtId="14" fontId="10" fillId="4" borderId="1" xfId="0" applyNumberFormat="1" applyFont="1" applyFill="1" applyBorder="1"/>
    <xf numFmtId="14" fontId="9" fillId="3" borderId="1" xfId="0" applyNumberFormat="1" applyFont="1" applyFill="1" applyBorder="1"/>
    <xf numFmtId="2" fontId="12" fillId="0" borderId="0" xfId="0" applyNumberFormat="1" applyFont="1"/>
    <xf numFmtId="14" fontId="12" fillId="0" borderId="0" xfId="0" applyNumberFormat="1" applyFont="1"/>
    <xf numFmtId="14" fontId="11" fillId="8" borderId="1" xfId="0" applyNumberFormat="1" applyFont="1" applyFill="1" applyBorder="1"/>
    <xf numFmtId="0" fontId="11" fillId="8" borderId="1" xfId="0" applyFont="1" applyFill="1" applyBorder="1"/>
    <xf numFmtId="49" fontId="12" fillId="0" borderId="0" xfId="0" applyNumberFormat="1" applyFont="1"/>
    <xf numFmtId="49" fontId="9" fillId="3" borderId="1" xfId="0" applyNumberFormat="1" applyFont="1" applyFill="1" applyBorder="1"/>
    <xf numFmtId="49" fontId="8" fillId="2" borderId="1" xfId="0" applyNumberFormat="1" applyFont="1" applyFill="1" applyBorder="1"/>
    <xf numFmtId="49" fontId="10" fillId="4" borderId="1" xfId="0" applyNumberFormat="1" applyFont="1" applyFill="1" applyBorder="1"/>
    <xf numFmtId="0" fontId="12" fillId="0" borderId="0" xfId="0" applyFont="1"/>
    <xf numFmtId="2" fontId="8" fillId="2" borderId="1" xfId="0" applyNumberFormat="1" applyFont="1" applyFill="1" applyBorder="1"/>
    <xf numFmtId="2" fontId="9" fillId="3" borderId="1" xfId="0" applyNumberFormat="1" applyFont="1" applyFill="1" applyBorder="1"/>
    <xf numFmtId="2" fontId="10" fillId="4" borderId="1" xfId="0" applyNumberFormat="1" applyFont="1" applyFill="1" applyBorder="1"/>
    <xf numFmtId="2" fontId="11" fillId="5" borderId="1" xfId="0" applyNumberFormat="1" applyFont="1" applyFill="1" applyBorder="1"/>
    <xf numFmtId="2" fontId="12" fillId="9" borderId="1" xfId="0" applyNumberFormat="1" applyFont="1" applyFill="1" applyBorder="1"/>
    <xf numFmtId="0" fontId="14" fillId="10" borderId="16" xfId="0" applyFont="1" applyFill="1" applyBorder="1"/>
    <xf numFmtId="0" fontId="12" fillId="11" borderId="1" xfId="0" applyFont="1" applyFill="1" applyBorder="1"/>
    <xf numFmtId="0" fontId="15" fillId="0" borderId="17" xfId="0" applyFont="1" applyBorder="1"/>
    <xf numFmtId="0" fontId="16" fillId="10" borderId="18" xfId="0" applyFont="1" applyFill="1" applyBorder="1"/>
    <xf numFmtId="164" fontId="9" fillId="3" borderId="1" xfId="0" applyNumberFormat="1" applyFont="1" applyFill="1" applyBorder="1"/>
    <xf numFmtId="0" fontId="17" fillId="0" borderId="0" xfId="0" applyFont="1"/>
    <xf numFmtId="0" fontId="17" fillId="0" borderId="0" xfId="0" applyFont="1" applyAlignment="1">
      <alignment horizontal="right"/>
    </xf>
    <xf numFmtId="0" fontId="17" fillId="4" borderId="0" xfId="0" applyFont="1" applyFill="1"/>
    <xf numFmtId="0" fontId="17" fillId="2" borderId="0" xfId="0" applyFont="1" applyFill="1"/>
    <xf numFmtId="164" fontId="17" fillId="4" borderId="0" xfId="0" applyNumberFormat="1" applyFont="1" applyFill="1"/>
    <xf numFmtId="164" fontId="18" fillId="3" borderId="0" xfId="0" applyNumberFormat="1" applyFont="1" applyFill="1"/>
    <xf numFmtId="0" fontId="18" fillId="3" borderId="0" xfId="0" applyFont="1" applyFill="1"/>
    <xf numFmtId="0" fontId="17" fillId="3" borderId="0" xfId="0" applyFont="1" applyFill="1"/>
    <xf numFmtId="0" fontId="11" fillId="5" borderId="0" xfId="0" applyFont="1" applyFill="1"/>
    <xf numFmtId="164" fontId="17" fillId="2" borderId="0" xfId="0" applyNumberFormat="1" applyFont="1" applyFill="1"/>
    <xf numFmtId="0" fontId="9" fillId="2" borderId="1" xfId="0" applyFont="1" applyFill="1" applyBorder="1"/>
    <xf numFmtId="0" fontId="19" fillId="5" borderId="1" xfId="0" applyFont="1" applyFill="1" applyBorder="1"/>
    <xf numFmtId="0" fontId="8" fillId="2" borderId="0" xfId="0" applyFont="1" applyFill="1"/>
    <xf numFmtId="0" fontId="17" fillId="12" borderId="0" xfId="0" applyFont="1" applyFill="1"/>
    <xf numFmtId="0" fontId="17" fillId="12" borderId="2" xfId="0" applyFont="1" applyFill="1" applyBorder="1"/>
    <xf numFmtId="164" fontId="17" fillId="3" borderId="0" xfId="0" applyNumberFormat="1" applyFont="1" applyFill="1"/>
    <xf numFmtId="0" fontId="9" fillId="3" borderId="16" xfId="0" applyFont="1" applyFill="1" applyBorder="1"/>
    <xf numFmtId="0" fontId="17" fillId="7" borderId="2" xfId="0" applyFont="1" applyFill="1" applyBorder="1"/>
    <xf numFmtId="0" fontId="9" fillId="3" borderId="0" xfId="0" applyFont="1" applyFill="1"/>
    <xf numFmtId="0" fontId="8" fillId="2" borderId="0" xfId="0" applyFont="1" applyFill="1" applyAlignment="1">
      <alignment horizontal="right"/>
    </xf>
    <xf numFmtId="0" fontId="17" fillId="7" borderId="22" xfId="0" applyFont="1" applyFill="1" applyBorder="1" applyAlignment="1">
      <alignment horizontal="right"/>
    </xf>
    <xf numFmtId="0" fontId="9" fillId="3" borderId="0" xfId="0" applyFont="1" applyFill="1" applyAlignment="1">
      <alignment horizontal="right"/>
    </xf>
    <xf numFmtId="0" fontId="19" fillId="13" borderId="0" xfId="0" applyFont="1" applyFill="1"/>
    <xf numFmtId="0" fontId="10" fillId="4" borderId="0" xfId="0" applyFont="1" applyFill="1"/>
    <xf numFmtId="0" fontId="17" fillId="6" borderId="0" xfId="0" applyFont="1" applyFill="1"/>
    <xf numFmtId="0" fontId="17" fillId="7" borderId="22" xfId="0" applyFont="1" applyFill="1" applyBorder="1"/>
    <xf numFmtId="0" fontId="10" fillId="4" borderId="0" xfId="0" applyFont="1" applyFill="1" applyAlignment="1">
      <alignment horizontal="right"/>
    </xf>
    <xf numFmtId="0" fontId="17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1" fillId="14" borderId="0" xfId="1" applyAlignment="1"/>
    <xf numFmtId="0" fontId="17" fillId="17" borderId="2" xfId="2" applyFont="1" applyAlignment="1"/>
    <xf numFmtId="0" fontId="22" fillId="15" borderId="0" xfId="3" applyAlignment="1"/>
    <xf numFmtId="0" fontId="6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5" fillId="21" borderId="24" xfId="0" applyFont="1" applyFill="1" applyBorder="1" applyAlignment="1">
      <alignment wrapText="1"/>
    </xf>
    <xf numFmtId="0" fontId="5" fillId="22" borderId="24" xfId="0" applyFont="1" applyFill="1" applyBorder="1" applyAlignment="1">
      <alignment wrapText="1"/>
    </xf>
    <xf numFmtId="0" fontId="5" fillId="23" borderId="24" xfId="0" applyFont="1" applyFill="1" applyBorder="1" applyAlignment="1">
      <alignment wrapText="1"/>
    </xf>
    <xf numFmtId="14" fontId="5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3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3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4" borderId="0" xfId="0" applyFont="1" applyFill="1"/>
    <xf numFmtId="0" fontId="4" fillId="15" borderId="0" xfId="0" applyFont="1" applyFill="1"/>
    <xf numFmtId="0" fontId="4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3" fillId="16" borderId="0" xfId="0" applyFont="1" applyFill="1"/>
    <xf numFmtId="0" fontId="3" fillId="15" borderId="0" xfId="0" applyFont="1" applyFill="1"/>
    <xf numFmtId="0" fontId="3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8" fillId="2" borderId="3" xfId="0" applyFont="1" applyFill="1" applyBorder="1" applyAlignment="1">
      <alignment horizontal="center"/>
    </xf>
    <xf numFmtId="0" fontId="13" fillId="0" borderId="4" xfId="0" applyFont="1" applyBorder="1"/>
    <xf numFmtId="0" fontId="9" fillId="3" borderId="3" xfId="0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/>
    <xf numFmtId="0" fontId="16" fillId="10" borderId="19" xfId="0" applyFont="1" applyFill="1" applyBorder="1" applyAlignment="1">
      <alignment horizontal="center"/>
    </xf>
    <xf numFmtId="0" fontId="13" fillId="0" borderId="20" xfId="0" applyFont="1" applyBorder="1"/>
    <xf numFmtId="0" fontId="13" fillId="0" borderId="21" xfId="0" applyFont="1" applyBorder="1"/>
    <xf numFmtId="0" fontId="13" fillId="0" borderId="5" xfId="0" applyFont="1" applyBorder="1"/>
    <xf numFmtId="0" fontId="12" fillId="7" borderId="6" xfId="0" applyFont="1" applyFill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4" fillId="10" borderId="9" xfId="0" applyFont="1" applyFill="1" applyBorder="1" applyAlignment="1">
      <alignment horizontal="center"/>
    </xf>
    <xf numFmtId="0" fontId="13" fillId="0" borderId="10" xfId="0" applyFont="1" applyBorder="1"/>
    <xf numFmtId="0" fontId="13" fillId="0" borderId="11" xfId="0" applyFont="1" applyBorder="1"/>
    <xf numFmtId="0" fontId="12" fillId="11" borderId="12" xfId="0" applyFont="1" applyFill="1" applyBorder="1" applyAlignment="1">
      <alignment horizontal="center"/>
    </xf>
    <xf numFmtId="0" fontId="13" fillId="0" borderId="13" xfId="0" applyFont="1" applyBorder="1"/>
    <xf numFmtId="0" fontId="13" fillId="0" borderId="14" xfId="0" applyFont="1" applyBorder="1"/>
    <xf numFmtId="0" fontId="8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2" fillId="7" borderId="0" xfId="0" applyFont="1" applyFill="1" applyAlignment="1">
      <alignment horizontal="center"/>
    </xf>
    <xf numFmtId="0" fontId="21" fillId="14" borderId="0" xfId="1" applyAlignment="1">
      <alignment horizontal="center"/>
    </xf>
    <xf numFmtId="0" fontId="23" fillId="16" borderId="0" xfId="4" applyAlignment="1">
      <alignment horizontal="center"/>
    </xf>
    <xf numFmtId="0" fontId="20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23" fillId="23" borderId="25" xfId="0" applyFont="1" applyFill="1" applyBorder="1" applyAlignment="1">
      <alignment horizontal="center" wrapText="1"/>
    </xf>
    <xf numFmtId="0" fontId="23" fillId="23" borderId="26" xfId="0" applyFont="1" applyFill="1" applyBorder="1" applyAlignment="1">
      <alignment horizontal="center" wrapText="1"/>
    </xf>
    <xf numFmtId="0" fontId="23" fillId="23" borderId="27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3" fillId="24" borderId="26" xfId="0" applyFont="1" applyFill="1" applyBorder="1" applyAlignment="1">
      <alignment horizontal="center" wrapText="1"/>
    </xf>
    <xf numFmtId="0" fontId="3" fillId="24" borderId="27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3" fillId="22" borderId="26" xfId="0" applyFont="1" applyFill="1" applyBorder="1" applyAlignment="1">
      <alignment horizontal="center" wrapText="1"/>
    </xf>
    <xf numFmtId="0" fontId="3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2" fillId="23" borderId="25" xfId="0" applyFont="1" applyFill="1" applyBorder="1" applyAlignment="1">
      <alignment horizontal="center" wrapText="1"/>
    </xf>
    <xf numFmtId="0" fontId="3" fillId="23" borderId="26" xfId="0" applyFont="1" applyFill="1" applyBorder="1" applyAlignment="1">
      <alignment horizontal="center" wrapText="1"/>
    </xf>
    <xf numFmtId="0" fontId="3" fillId="23" borderId="27" xfId="0" applyFont="1" applyFill="1" applyBorder="1" applyAlignment="1">
      <alignment horizontal="center" wrapText="1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3445" t="s">
        <v>0</v>
      </c>
      <c r="C1" s="3446"/>
      <c r="D1" s="3447" t="s">
        <v>1</v>
      </c>
      <c r="E1" s="3446"/>
      <c r="F1" s="3448" t="s">
        <v>177</v>
      </c>
      <c r="G1" s="3446"/>
      <c r="H1" s="3445" t="s">
        <v>174</v>
      </c>
      <c r="I1" s="3446"/>
      <c r="J1" s="3447" t="s">
        <v>175</v>
      </c>
      <c r="K1" s="3446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3449" t="str">
        <f>"Mirage"&amp;" "&amp;H5/SUM(H5:I5)*100</f>
        <v>Mirage 25</v>
      </c>
      <c r="I3" s="3450"/>
      <c r="J3" s="3449" t="str">
        <f>"Inferno"&amp;" "&amp;ROUND(J5/SUM(J5:K5)*100,0)</f>
        <v>Inferno 40</v>
      </c>
      <c r="K3" s="3450"/>
      <c r="L3" s="3449" t="str">
        <f>"Overpass"&amp;" "&amp;ROUND(L5/SUM(L5:M5)*100,0)</f>
        <v>Overpass 67</v>
      </c>
      <c r="M3" s="3450"/>
      <c r="N3" s="3449" t="str">
        <f>"Vertigo"&amp;" "&amp;ROUND(N5/SUM(N5:O5)*100,0)</f>
        <v>Vertigo 80</v>
      </c>
      <c r="O3" s="3450"/>
      <c r="P3" s="3449" t="str">
        <f>"Ancient"&amp;" "&amp;ROUND(P5/SUM(P5:Q5)*100,0)</f>
        <v>Ancient 50</v>
      </c>
      <c r="Q3" s="3450"/>
      <c r="R3" s="3449" t="str">
        <f>"Anubis"&amp;" "&amp;ROUND(R5/SUM(R5:S5)*100,0)</f>
        <v>Anubis 67</v>
      </c>
      <c r="S3" s="3450"/>
      <c r="T3" s="3449" t="str">
        <f>"Dust II"&amp;" "&amp;ROUND(T5/SUM(T5:U5)*100,0)</f>
        <v>Dust II 100</v>
      </c>
      <c r="U3" s="3450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3449" t="s">
        <v>206</v>
      </c>
      <c r="I7" s="3450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3449" t="s">
        <v>373</v>
      </c>
      <c r="G3" s="3450"/>
      <c r="H3" s="3450"/>
      <c r="I3" s="3449" t="s">
        <v>374</v>
      </c>
      <c r="J3" s="3450"/>
      <c r="K3" s="3450"/>
      <c r="L3" s="3449" t="s">
        <v>375</v>
      </c>
      <c r="M3" s="3450"/>
      <c r="N3" s="3450"/>
      <c r="O3" s="3449" t="s">
        <v>376</v>
      </c>
      <c r="P3" s="3450"/>
      <c r="Q3" s="3450"/>
      <c r="R3" s="3449" t="s">
        <v>377</v>
      </c>
      <c r="S3" s="3450"/>
      <c r="T3" s="3449" t="s">
        <v>378</v>
      </c>
      <c r="U3" s="3450"/>
      <c r="V3" s="3449" t="s">
        <v>379</v>
      </c>
      <c r="W3" s="3450"/>
      <c r="X3" s="3450"/>
      <c r="Y3" s="3449" t="s">
        <v>380</v>
      </c>
      <c r="Z3" s="3450"/>
      <c r="AA3" s="3450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3445" t="s">
        <v>641</v>
      </c>
      <c r="B1" s="3454"/>
      <c r="C1" s="3454"/>
      <c r="D1" s="3446"/>
      <c r="E1" s="3447" t="s">
        <v>642</v>
      </c>
      <c r="F1" s="3454"/>
      <c r="G1" s="3454"/>
      <c r="H1" s="3454"/>
      <c r="I1" s="3454"/>
      <c r="J1" s="3446"/>
      <c r="K1" s="3448" t="s">
        <v>643</v>
      </c>
      <c r="L1" s="3454"/>
      <c r="M1" s="3454"/>
      <c r="N1" s="3446"/>
      <c r="O1" s="3455" t="s">
        <v>644</v>
      </c>
      <c r="P1" s="3456"/>
      <c r="Q1" s="3456"/>
      <c r="R1" s="3456"/>
      <c r="S1" s="3457"/>
      <c r="T1" s="3458" t="s">
        <v>645</v>
      </c>
      <c r="U1" s="3459"/>
      <c r="V1" s="3459"/>
      <c r="W1" s="3459"/>
      <c r="X1" s="3460"/>
      <c r="Y1" s="3461" t="s">
        <v>646</v>
      </c>
      <c r="Z1" s="3462"/>
      <c r="AA1" s="3462"/>
      <c r="AB1" s="3463"/>
      <c r="AC1" s="3464" t="s">
        <v>647</v>
      </c>
      <c r="AD1" s="3454"/>
      <c r="AE1" s="3454"/>
      <c r="AF1" s="3454"/>
      <c r="AG1" s="3446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3449" t="s">
        <v>651</v>
      </c>
      <c r="B8" s="3450"/>
      <c r="C8" s="3450"/>
      <c r="D8" s="3450"/>
      <c r="E8" s="3450"/>
      <c r="F8" s="3450"/>
      <c r="G8" s="3450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3451" t="s">
        <v>710</v>
      </c>
      <c r="C20" s="3452"/>
      <c r="D20" s="3452"/>
      <c r="E20" s="3452"/>
      <c r="F20" s="3452"/>
      <c r="G20" s="3452"/>
      <c r="H20" s="3453"/>
    </row>
    <row r="21" spans="1:13" ht="15.75" customHeight="1" x14ac:dyDescent="0.25"/>
    <row r="22" spans="1:13" ht="15.75" customHeight="1" x14ac:dyDescent="0.25">
      <c r="A22" s="3451" t="s">
        <v>711</v>
      </c>
      <c r="B22" s="3452"/>
      <c r="C22" s="3453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40"/>
  <sheetViews>
    <sheetView workbookViewId="0">
      <pane ySplit="1" topLeftCell="A210" activePane="bottomLeft" state="frozen"/>
      <selection pane="bottomLeft" activeCell="M241" sqref="M241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3469" t="s">
        <v>1244</v>
      </c>
      <c r="I3" s="3450"/>
      <c r="J3" s="3450"/>
      <c r="K3" s="3450"/>
      <c r="L3" s="3470" t="s">
        <v>1235</v>
      </c>
      <c r="M3" s="3450"/>
      <c r="N3" s="3450"/>
      <c r="O3" s="3450"/>
      <c r="P3" s="3471" t="s">
        <v>944</v>
      </c>
      <c r="Q3" s="3450"/>
      <c r="R3" s="3450"/>
      <c r="S3" s="3450"/>
      <c r="T3" s="3471" t="s">
        <v>941</v>
      </c>
      <c r="U3" s="3450"/>
      <c r="V3" s="3450"/>
      <c r="W3" s="3450"/>
      <c r="X3" s="3472" t="s">
        <v>1246</v>
      </c>
      <c r="Y3" s="3450"/>
      <c r="Z3" s="3450"/>
      <c r="AA3" s="3450"/>
      <c r="AB3" s="3466" t="s">
        <v>1241</v>
      </c>
      <c r="AC3" s="3450"/>
      <c r="AD3" s="3450"/>
      <c r="AE3" s="3450"/>
      <c r="AF3" s="3468" t="s">
        <v>1029</v>
      </c>
      <c r="AG3" s="3468"/>
      <c r="AH3" s="3468"/>
      <c r="AI3" s="3468"/>
      <c r="AJ3" s="3468" t="s">
        <v>1030</v>
      </c>
      <c r="AK3" s="3468"/>
      <c r="AL3" s="3468"/>
      <c r="AM3" s="3468"/>
      <c r="AN3" s="3467" t="s">
        <v>1239</v>
      </c>
      <c r="AO3" s="3467"/>
      <c r="AP3" s="3467"/>
      <c r="AQ3" s="3467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AVERAGE(B6,B8,B10,B11,B13,B14,B16,B17,B23,B30,B42,B50,B53,B55,B60,B66,B70,B77,B79,B84,B97,B101,B106,B109,B115,B119,B126,B134,B136,B138,B145,B149,B167,B171,B173,B174,B184,B190,B193,B194,B201,B207,B208,B210,B212,B215,B217,B221,B227,B229,B233,B234,B238)</f>
        <v>1.0494339622641509</v>
      </c>
      <c r="I4" s="1">
        <f>AVERAGE(C6,C8,C10,C11,C13,C14,C16,C17,C23,C30,C42,C50,C53,C55,C60,C66,C70,C77,C79,C84,C97,C101,C106,C109,C115,C119,C126,C134,C136,C138,C145,C149,C167,C171,C173,C174,C184,C190,C193,C194,C201,C207,C208,C210,C212,C215,C217,C221,C227,C229,C233,C234,C238)</f>
        <v>0.99520000000000008</v>
      </c>
      <c r="J4" s="1">
        <f t="shared" ref="J4:K4" si="0">AVERAGE(D6,D8,D10,D11,D13,D14,D16,D17,D23,D30,D42,D50,D53,D55,D60,D66,D70,D77,D79,D84,D97,D101,D106,D109,D115,D119,D126,D134,D136,D138,D145,D149,D167,D171,D173,D174,D184,D190,D193,D194,D201,D207,D208,D210,D212,D215,D217)</f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AVERAGE(B3,B5,B18,B27,B28,B32,B34,B36,B44,B56,B61,B63,B69,B75,B88,B96,B99,B105,B111,B116,B117,B128,B133,B139,B144,B147,B158,B162,B163,B164,B165,B166,B172,B177,B183,B195,B200,B202,B203,B206,B214,B218,B225,B232)</f>
        <v>1.1204545454545454</v>
      </c>
      <c r="M4" s="1">
        <f>AVERAGE(C3,C5,C18,C27,C28,C32,C34,C36,C44,C56,C61,C63,C69,C75,C88,C96,C99,C105,C111,C116,C117,C128,C133,C139,C144,C147,C158,C162,C163,C164,C165,C166,C172,C177,C183,C195,C200,C202,C203,C206,C214,C218,C225,C232)</f>
        <v>1.0269230769230768</v>
      </c>
      <c r="N4" s="1">
        <f t="shared" ref="N4:O4" si="1">AVERAGE(D3,D5,D18,D27,D28,D32,D34,D36,D44,D56,D61,D63,D69,D75,D88,D96,D99,D105,D111,D116,D117,D128,D133,D139,D144,D147,D158,D162,D163,D164,D165,D166,D172,D177,D183,D195,D200,D202,D203,D206,D214,D218)</f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>AVERAGE(C4,C19,C20,C31,C43,C68,C72,C76,C85,C110,C122,C124,C127,C143,C152,C179,C186)</f>
        <v>0.86437500000000012</v>
      </c>
      <c r="R4" s="1">
        <f>AVERAGE(D4,D19,D20,D31,D43,D68,D72,D76,D85,D110,D122,D124,D127,D143,D152,D179,D186)</f>
        <v>1.08</v>
      </c>
      <c r="S4" s="1" t="e">
        <f>AVERAGE(E4,E19,E20,E31,E43,E68,E72,E76,E85,E110,E122,E124,E127,E143,E152,E179,E186)</f>
        <v>#DIV/0!</v>
      </c>
      <c r="T4" s="1">
        <f>AVERAGE(B7,B33,B35,B46,B57,B58,B67,B71,B81,B87,B91,B100,B103,B104,B108,B120,B129,B151,B168,B182)</f>
        <v>1.2050000000000003</v>
      </c>
      <c r="U4" s="1">
        <f>AVERAGE(C7,C33,C35,C46,C57,C58,C67,C71,C81,C87,C91,C100,C103,C104,C108,C120,C129,C151,C168,C182)</f>
        <v>1.0694117647058823</v>
      </c>
      <c r="V4" s="1">
        <f>AVERAGE(D7,D33,D35,D46,D57,D58,D67,D71,D81,D87,D91,D100,D103,D104,D108,D120,D129,D151,D168,D182)</f>
        <v>0.95</v>
      </c>
      <c r="W4" s="1">
        <f>AVERAGE(E7,E33,E35,E46,E57,E58,E67,E71,E81,E87,E91,E100,E103,E104,E108,E120,E129,E151,E168,E182)</f>
        <v>1.155</v>
      </c>
      <c r="X4" s="1">
        <f>AVERAGE(B21,B24,B39,B40,B47,B49,B51,B52,B65,B80,B82,B92,B93,B112,B130,B140,B148,B150,B153,B154,B155,B157,B161,B181,B196,B204,B222,B223,B231,B239)</f>
        <v>1.1296428571428572</v>
      </c>
      <c r="Y4" s="1">
        <f t="shared" ref="Y4:AA4" si="2">AVERAGE(C21,C24,C39,C40,C47,C49,C51,C52,C65,C80,C82,C92,C93,C112,C130,C140,C148,C150,C153,C154,C155,C157,C161,C181,C196,C204,C222,C223,C231,C239)</f>
        <v>1.1825925925925924</v>
      </c>
      <c r="Z4" s="1" t="e">
        <f t="shared" si="2"/>
        <v>#DIV/0!</v>
      </c>
      <c r="AA4" s="1">
        <f t="shared" si="2"/>
        <v>0.9</v>
      </c>
      <c r="AB4" s="1">
        <f>AVERAGE(B9,B15,B25,B26,B37,B38,B45,B48,B59,B64,B73,B78,B86,B94,B95,B98,B113,B121,B123,B131,B142,B156,B160,B170,B175,B185,B191,B236)</f>
        <v>1.021851851851852</v>
      </c>
      <c r="AC4" s="1">
        <f t="shared" ref="AC4:AE4" si="3">AVERAGE(C9,C15,C25,C26,C37,C38,C45,C48,C59,C64,C73,C78,C86,C94,C95,C98,C113,C121,C123,C131,C142,C156,C160,C170,C175,C185,C191,C236)</f>
        <v>0.92680000000000007</v>
      </c>
      <c r="AD4" s="1">
        <f t="shared" si="3"/>
        <v>1.22</v>
      </c>
      <c r="AE4" s="1">
        <f t="shared" si="3"/>
        <v>0.87</v>
      </c>
      <c r="AF4" s="1">
        <f>AVERAGE(B188,B192,B198)</f>
        <v>0.64666666666666661</v>
      </c>
      <c r="AG4" s="1">
        <f t="shared" ref="AG4:AI4" si="4">AVERAGE(C188,C192,C198)</f>
        <v>0.83666666666666656</v>
      </c>
      <c r="AH4" s="1" t="e">
        <f t="shared" si="4"/>
        <v>#DIV/0!</v>
      </c>
      <c r="AI4" s="1" t="e">
        <f t="shared" si="4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5">AVERAGE(C226,C235)</f>
        <v>1.41</v>
      </c>
      <c r="AP4" s="1" t="e">
        <f t="shared" si="5"/>
        <v>#DIV/0!</v>
      </c>
      <c r="AQ4" s="1" t="e">
        <f t="shared" si="5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3465">
        <f>AVERAGE(H4:I4)</f>
        <v>1.0223169811320756</v>
      </c>
      <c r="I5" s="3465"/>
      <c r="J5" s="3465"/>
      <c r="K5" s="3465"/>
      <c r="L5" s="3465">
        <f>AVERAGE(L4:M4)</f>
        <v>1.073688811188811</v>
      </c>
      <c r="M5" s="3465"/>
      <c r="N5" s="3465"/>
      <c r="O5" s="3465"/>
      <c r="P5" s="3465">
        <f>AVERAGE(P4:Q4)</f>
        <v>0.92159926470588238</v>
      </c>
      <c r="Q5" s="3465"/>
      <c r="R5" s="3465"/>
      <c r="S5" s="3465"/>
      <c r="T5" s="3465">
        <f>AVERAGE(T4:U4)</f>
        <v>1.1372058823529412</v>
      </c>
      <c r="U5" s="3465"/>
      <c r="V5" s="3465"/>
      <c r="W5" s="3465"/>
      <c r="X5" s="3465">
        <f>AVERAGE(X4:Y4)</f>
        <v>1.1561177248677248</v>
      </c>
      <c r="Y5" s="3465"/>
      <c r="Z5" s="3465"/>
      <c r="AA5" s="3465"/>
      <c r="AB5" s="3465">
        <f>AVERAGE(AB4:AC4)</f>
        <v>0.97432592592592604</v>
      </c>
      <c r="AC5" s="3465"/>
      <c r="AD5" s="3465"/>
      <c r="AE5" s="3465"/>
      <c r="AF5" s="3465">
        <f>AVERAGE(AF4:AG4)</f>
        <v>0.74166666666666659</v>
      </c>
      <c r="AG5" s="3465"/>
      <c r="AH5" s="3465"/>
      <c r="AI5" s="3465"/>
      <c r="AJ5" s="3465">
        <f>AVERAGE(AJ4:AK4)</f>
        <v>0.75</v>
      </c>
      <c r="AK5" s="3465"/>
      <c r="AL5" s="3465"/>
      <c r="AM5" s="3465"/>
      <c r="AN5" s="3465">
        <f>AVERAGE(AN4:AO4)</f>
        <v>1.4249999999999998</v>
      </c>
      <c r="AO5" s="3465"/>
      <c r="AP5" s="3465"/>
      <c r="AQ5" s="3465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1129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1130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1131</v>
      </c>
      <c r="B25" s="1">
        <v>1.58</v>
      </c>
      <c r="C25" s="1">
        <v>1.39</v>
      </c>
    </row>
    <row r="26" spans="1:5" ht="15.75" customHeight="1" x14ac:dyDescent="0.25">
      <c r="A26" s="1" t="s">
        <v>1132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1133</v>
      </c>
      <c r="B37" s="1">
        <v>1.24</v>
      </c>
      <c r="C37" s="1">
        <v>1.48</v>
      </c>
    </row>
    <row r="38" spans="1:7" ht="15.75" customHeight="1" x14ac:dyDescent="0.25">
      <c r="A38" s="1" t="s">
        <v>1134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1135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1136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1137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1138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1079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1080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1081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1082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1083</v>
      </c>
      <c r="B218">
        <v>0.85</v>
      </c>
      <c r="C218">
        <v>0.77</v>
      </c>
    </row>
    <row r="219" spans="1:91" x14ac:dyDescent="0.25">
      <c r="A219" s="41" t="s">
        <v>1107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1108</v>
      </c>
      <c r="B220">
        <v>0.48</v>
      </c>
      <c r="C220">
        <v>0.98</v>
      </c>
    </row>
    <row r="221" spans="1:91" x14ac:dyDescent="0.25">
      <c r="A221" s="1557" t="s">
        <v>1109</v>
      </c>
      <c r="B221">
        <v>1.54</v>
      </c>
      <c r="C221">
        <v>1.7</v>
      </c>
    </row>
    <row r="222" spans="1:91" x14ac:dyDescent="0.25">
      <c r="A222" s="1558" t="s">
        <v>1110</v>
      </c>
      <c r="B222">
        <v>1.56</v>
      </c>
      <c r="C222">
        <v>1.56</v>
      </c>
    </row>
    <row r="223" spans="1:91" x14ac:dyDescent="0.25">
      <c r="A223" s="1559" t="s">
        <v>1111</v>
      </c>
      <c r="B223">
        <v>1.64</v>
      </c>
      <c r="C223">
        <v>1.2</v>
      </c>
    </row>
    <row r="224" spans="1:91" x14ac:dyDescent="0.25">
      <c r="A224" s="41" t="s">
        <v>1139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1140</v>
      </c>
      <c r="B226">
        <v>1.44</v>
      </c>
      <c r="C226">
        <v>1.41</v>
      </c>
    </row>
    <row r="227" spans="1:87" x14ac:dyDescent="0.25">
      <c r="A227" s="1832" t="s">
        <v>1141</v>
      </c>
      <c r="B227">
        <v>0.98</v>
      </c>
      <c r="C227">
        <v>1.6</v>
      </c>
    </row>
    <row r="228" spans="1:87" x14ac:dyDescent="0.25">
      <c r="A228" s="44" t="s">
        <v>1169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1170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1233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1234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1236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1237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1238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1240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1242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1243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1245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ht="15.75" customHeight="1" x14ac:dyDescent="0.25">
      <c r="A240" s="35"/>
      <c r="B240" s="36">
        <f>AVERAGE(B3:B239)</f>
        <v>1.0785572139303479</v>
      </c>
      <c r="C240" s="36">
        <f>AVERAGE(C3:C239)</f>
        <v>1.0226203208556148</v>
      </c>
      <c r="D240" s="36">
        <f t="shared" ref="D240:E240" si="6">AVERAGE(D3:D239)</f>
        <v>0.86599999999999999</v>
      </c>
      <c r="E240" s="36">
        <f t="shared" si="6"/>
        <v>0.77888888888888896</v>
      </c>
      <c r="F240" s="36"/>
      <c r="G240" s="35"/>
      <c r="H240" s="2985"/>
      <c r="I240" s="2985"/>
      <c r="J240" s="2985"/>
      <c r="K240" s="2985"/>
      <c r="L240" s="2985"/>
      <c r="M240" s="2985"/>
      <c r="N240" s="2985"/>
      <c r="O240" s="2985"/>
      <c r="P240" s="2985"/>
      <c r="Q240" s="2985"/>
      <c r="R240" s="2985"/>
      <c r="S240" s="2985"/>
      <c r="T240" s="2985"/>
      <c r="U240" s="2985"/>
      <c r="V240" s="2985"/>
      <c r="W240" s="2985"/>
      <c r="X240" s="2985"/>
      <c r="Y240" s="2985"/>
      <c r="Z240" s="2985"/>
      <c r="AA240" s="2985"/>
      <c r="AB240" s="2985"/>
      <c r="AC240" s="2985"/>
      <c r="AD240" s="2985"/>
      <c r="AE240" s="2985"/>
      <c r="AF240" s="2985"/>
      <c r="AG240" s="2985"/>
      <c r="AH240" s="2985"/>
      <c r="AI240" s="2985"/>
      <c r="AJ240" s="2985"/>
      <c r="AK240" s="2985"/>
      <c r="AL240" s="2985"/>
      <c r="AM240" s="2985"/>
      <c r="AN240" s="2985"/>
      <c r="AO240" s="2985"/>
      <c r="AP240" s="2985"/>
      <c r="AQ240" s="2985"/>
      <c r="AR240" s="2985"/>
      <c r="AS240" s="2985"/>
      <c r="AT240" s="2985"/>
      <c r="AU240" s="2985"/>
      <c r="AV240" s="2985"/>
      <c r="AW240" s="2985"/>
      <c r="AX240" s="2985"/>
      <c r="AY240" s="2985"/>
      <c r="AZ240" s="2985"/>
      <c r="BA240" s="2985"/>
      <c r="BB240" s="2985"/>
      <c r="BC240" s="2985"/>
      <c r="BD240" s="2985"/>
      <c r="BE240" s="2985"/>
      <c r="BF240" s="2985"/>
      <c r="BG240" s="2985"/>
      <c r="BH240" s="2985"/>
      <c r="BI240" s="2985"/>
      <c r="BJ240" s="2985"/>
      <c r="BK240" s="2985"/>
      <c r="BL240" s="2985"/>
      <c r="BM240" s="2985"/>
      <c r="BN240" s="2985"/>
      <c r="BO240" s="2985"/>
      <c r="BP240" s="2985"/>
      <c r="BQ240" s="2985"/>
      <c r="BR240" s="2985"/>
      <c r="BS240" s="2985"/>
      <c r="BT240" s="2985"/>
      <c r="BU240" s="2985"/>
      <c r="BV240" s="2985"/>
      <c r="BW240" s="2985"/>
      <c r="BX240" s="2985"/>
      <c r="BY240" s="2985"/>
      <c r="BZ240" s="2985"/>
      <c r="CA240" s="2985"/>
      <c r="CB240" s="2985"/>
      <c r="CC240" s="2985"/>
      <c r="CD240" s="2985"/>
      <c r="CE240" s="2985"/>
      <c r="CF240" s="2985"/>
      <c r="CG240" s="298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07"/>
  <sheetViews>
    <sheetView workbookViewId="0">
      <pane ySplit="1" topLeftCell="A78" activePane="bottomLeft" state="frozen"/>
      <selection pane="bottomLeft" activeCell="N111" sqref="N11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8" width="5" customWidth="1"/>
    <col min="9" max="9" width="6" customWidth="1"/>
    <col min="10" max="10" width="4.140625" customWidth="1"/>
    <col min="11" max="11" width="6.140625" customWidth="1"/>
    <col min="12" max="12" width="5.5703125" customWidth="1"/>
    <col min="13" max="15" width="7.85546875" customWidth="1"/>
    <col min="16" max="16" width="7.140625" customWidth="1"/>
    <col min="17" max="17" width="7" customWidth="1"/>
    <col min="18" max="18" width="7.85546875" customWidth="1"/>
    <col min="19" max="19" width="9.85546875" customWidth="1"/>
    <col min="20" max="20" width="9.140625" customWidth="1"/>
    <col min="21" max="21" width="6.85546875" customWidth="1"/>
    <col min="22" max="22" width="6.7109375" customWidth="1"/>
    <col min="23" max="23" width="4.140625" customWidth="1"/>
    <col min="24" max="24" width="5.140625" customWidth="1"/>
    <col min="25" max="25" width="5.7109375" customWidth="1"/>
    <col min="26" max="26" width="8" customWidth="1"/>
    <col min="27" max="27" width="7.85546875" customWidth="1"/>
    <col min="28" max="28" width="6.42578125" customWidth="1"/>
    <col min="29" max="29" width="6.7109375" customWidth="1"/>
    <col min="30" max="30" width="6.42578125" customWidth="1"/>
    <col min="31" max="31" width="7.140625" customWidth="1"/>
    <col min="32" max="32" width="10.140625" customWidth="1"/>
    <col min="33" max="33" width="8.7109375" customWidth="1"/>
    <col min="34" max="34" width="5.7109375" customWidth="1"/>
    <col min="35" max="35" width="6.28515625" customWidth="1"/>
    <col min="36" max="36" width="5.140625" customWidth="1"/>
    <col min="37" max="37" width="6.5703125" customWidth="1"/>
    <col min="38" max="38" width="6" customWidth="1"/>
    <col min="39" max="39" width="8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474" t="s">
        <v>1219</v>
      </c>
      <c r="CK1" s="3474"/>
      <c r="CL1" s="3474"/>
      <c r="CM1" s="3474"/>
      <c r="CN1" s="3474"/>
      <c r="CO1" s="3474"/>
      <c r="CP1" s="3471" t="s">
        <v>1221</v>
      </c>
      <c r="CQ1" s="3471"/>
      <c r="CR1" s="3471"/>
      <c r="CS1" s="3471"/>
      <c r="CT1" s="3471"/>
      <c r="CU1" s="3471"/>
      <c r="CV1" s="3466" t="s">
        <v>1212</v>
      </c>
      <c r="CW1" s="3466"/>
      <c r="CX1" s="3466"/>
      <c r="CY1" s="3466"/>
      <c r="CZ1" s="3466"/>
      <c r="DA1" s="3466"/>
      <c r="DB1" s="3473" t="s">
        <v>1228</v>
      </c>
      <c r="DC1" s="3473"/>
      <c r="DD1" s="3473"/>
      <c r="DE1" s="3473"/>
      <c r="DF1" s="3473"/>
      <c r="DG1" s="3473"/>
      <c r="DH1" s="3466" t="s">
        <v>1066</v>
      </c>
      <c r="DI1" s="3466"/>
      <c r="DJ1" s="3466"/>
      <c r="DK1" s="3466"/>
      <c r="DL1" s="3466"/>
      <c r="DM1" s="3466"/>
      <c r="DN1" s="3471" t="s">
        <v>997</v>
      </c>
      <c r="DO1" s="3471"/>
      <c r="DP1" s="3471"/>
      <c r="DQ1" s="3471"/>
      <c r="DR1" s="3471"/>
      <c r="DS1" s="3471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AVERAGE(B14,B18,B22,B29,B32,B34,B38,B39,B45,B51,B64,B70,B74,B82,B88,B92,B96,B100,B101,B103)</f>
        <v>1.0682352941176469</v>
      </c>
      <c r="CK2" s="1">
        <f t="shared" ref="CK2:CM2" si="0">AVERAGE(C14,C18,C22,C29,C32,C34,C38,C39,C45,C51,C64,C70,C74,C82,C88,C92,C96,C100,C101,C103)</f>
        <v>1.0658823529411765</v>
      </c>
      <c r="CL2" s="1">
        <f t="shared" si="0"/>
        <v>0.97750000000000004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AVERAGE(B3,B7,B8,B12,B15,B19,B20,B24,B26,B28,B30,B37,B40,B46,B48,B50,B69,B72,B73,B75,B79,B81,B84,B90,B91,B94,B97,B102,B104)</f>
        <v>1.2237037037037037</v>
      </c>
      <c r="CQ2" s="1">
        <f t="shared" ref="CQ2:CS2" si="1">AVERAGE(C3,C7,C8,C12,C15,C19,C20,C24,C26,C28,C30,C37,C40,C46,C48,C50,C69,C72,C73,C75,C79,C81,C84,C90,C91,C94,C97,C102,C104)</f>
        <v>1.0722222222222222</v>
      </c>
      <c r="CR2" s="1">
        <f t="shared" si="1"/>
        <v>0.94625000000000004</v>
      </c>
      <c r="CS2" s="1" t="e">
        <f t="shared" si="1"/>
        <v>#DIV/0!</v>
      </c>
      <c r="CT2" s="1"/>
      <c r="CU2" s="1"/>
      <c r="CV2" s="1">
        <f>AVERAGE(B9,B11,B36,B44,B52,B58,B68,B86,B98)</f>
        <v>1.2244444444444447</v>
      </c>
      <c r="CW2" s="1">
        <f t="shared" ref="CW2:CY2" si="2">AVERAGE(C9,C11,C36,C44,C52,C58,C68,C86,C98)</f>
        <v>1.1522222222222223</v>
      </c>
      <c r="CX2" s="1">
        <f t="shared" si="2"/>
        <v>0.98857142857142843</v>
      </c>
      <c r="CY2" s="1" t="e">
        <f t="shared" si="2"/>
        <v>#DIV/0!</v>
      </c>
      <c r="CZ2" s="1"/>
      <c r="DA2" s="1"/>
      <c r="DB2" s="1">
        <f>AVERAGE(B13,B41,B56,B93,B106)</f>
        <v>1.2325000000000002</v>
      </c>
      <c r="DC2" s="1">
        <f t="shared" ref="DC2:DE2" si="3">AVERAGE(C13,C41,C56,C93,C106)</f>
        <v>1.0550000000000002</v>
      </c>
      <c r="DD2" s="1">
        <f t="shared" si="3"/>
        <v>0.97000000000000008</v>
      </c>
      <c r="DE2" s="1" t="e">
        <f t="shared" si="3"/>
        <v>#DIV/0!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3449">
        <f>_xlfn.AGGREGATE(1,6,CJ2:CO2)</f>
        <v>1.0372058823529411</v>
      </c>
      <c r="CK3" s="3449"/>
      <c r="CL3" s="3449"/>
      <c r="CM3" s="3449"/>
      <c r="CN3" s="3449"/>
      <c r="CO3" s="3449"/>
      <c r="CP3" s="3449">
        <f t="shared" ref="CP3" si="6">_xlfn.AGGREGATE(1,6,CP2:CU2)</f>
        <v>1.0807253086419752</v>
      </c>
      <c r="CQ3" s="3449"/>
      <c r="CR3" s="3449"/>
      <c r="CS3" s="3449"/>
      <c r="CT3" s="3449"/>
      <c r="CU3" s="3449"/>
      <c r="CV3" s="3449">
        <f t="shared" ref="CV3" si="7">_xlfn.AGGREGATE(1,6,CV2:DA2)</f>
        <v>1.1217460317460317</v>
      </c>
      <c r="CW3" s="3449"/>
      <c r="CX3" s="3449"/>
      <c r="CY3" s="3449"/>
      <c r="CZ3" s="3449"/>
      <c r="DA3" s="3449"/>
      <c r="DB3" s="3449">
        <f t="shared" ref="DB3" si="8">_xlfn.AGGREGATE(1,6,DB2:DG2)</f>
        <v>1.0858333333333337</v>
      </c>
      <c r="DC3" s="3449"/>
      <c r="DD3" s="3449"/>
      <c r="DE3" s="3449"/>
      <c r="DF3" s="3449"/>
      <c r="DG3" s="3449"/>
      <c r="DH3" s="3449">
        <f t="shared" ref="DH3" si="9">_xlfn.AGGREGATE(1,6,DH2:DM2)</f>
        <v>0.97333333333333327</v>
      </c>
      <c r="DI3" s="3449"/>
      <c r="DJ3" s="3449"/>
      <c r="DK3" s="3449"/>
      <c r="DL3" s="3449"/>
      <c r="DM3" s="3449"/>
      <c r="DN3" s="3449" t="e">
        <f t="shared" ref="DN3" si="10">_xlfn.AGGREGATE(1,6,DN2:DS2)</f>
        <v>#DIV/0!</v>
      </c>
      <c r="DO3" s="3449"/>
      <c r="DP3" s="3449"/>
      <c r="DQ3" s="3449"/>
      <c r="DR3" s="3449"/>
      <c r="DS3" s="3449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3466" t="s">
        <v>1168</v>
      </c>
      <c r="CK4" s="3466"/>
      <c r="CL4" s="3466"/>
      <c r="CM4" s="3466"/>
      <c r="CN4" s="3466"/>
      <c r="CO4" s="3466"/>
      <c r="CP4" s="3470" t="s">
        <v>993</v>
      </c>
      <c r="CQ4" s="3470"/>
      <c r="CR4" s="3470"/>
      <c r="CS4" s="3470"/>
      <c r="CT4" s="3470"/>
      <c r="CU4" s="3470"/>
      <c r="CV4" s="3471" t="s">
        <v>994</v>
      </c>
      <c r="CW4" s="3471"/>
      <c r="CX4" s="3471"/>
      <c r="CY4" s="3471"/>
      <c r="CZ4" s="3471"/>
      <c r="DA4" s="3471"/>
      <c r="DB4" s="3466" t="s">
        <v>995</v>
      </c>
      <c r="DC4" s="3466"/>
      <c r="DD4" s="3466"/>
      <c r="DE4" s="3466"/>
      <c r="DF4" s="3466"/>
      <c r="DG4" s="3466"/>
      <c r="DH4" s="3471" t="s">
        <v>996</v>
      </c>
      <c r="DI4" s="3471"/>
      <c r="DJ4" s="3471"/>
      <c r="DK4" s="3471"/>
      <c r="DL4" s="3471"/>
      <c r="DM4" s="3471"/>
      <c r="DN4" s="3473" t="s">
        <v>1194</v>
      </c>
      <c r="DO4" s="3473"/>
      <c r="DP4" s="3473"/>
      <c r="DQ4" s="3473"/>
      <c r="DR4" s="3473"/>
      <c r="DS4" s="3473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AVERAGE(B23,B54,B65,B76)</f>
        <v>1.0625</v>
      </c>
      <c r="CK5" s="1">
        <f t="shared" ref="CK5:CM5" si="11">AVERAGE(C23,C54,C65,C76)</f>
        <v>1.2225000000000001</v>
      </c>
      <c r="CL5" s="1">
        <f t="shared" si="11"/>
        <v>0.97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AVERAGE(B31,B35,B43,B55,B60,B62,B66,B78,B87)</f>
        <v>1.0300000000000002</v>
      </c>
      <c r="DO5" s="1">
        <f t="shared" ref="DO5:DQ5" si="16">AVERAGE(C31,C35,C43,C55,C60,C62,C66,C78,C87)</f>
        <v>1.0055555555555555</v>
      </c>
      <c r="DP5" s="1">
        <f t="shared" si="16"/>
        <v>1.1287499999999999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3449">
        <f>_xlfn.AGGREGATE(1,6,CJ5:CO5)</f>
        <v>1.085</v>
      </c>
      <c r="CK6" s="3449"/>
      <c r="CL6" s="3449"/>
      <c r="CM6" s="3449"/>
      <c r="CN6" s="3449"/>
      <c r="CO6" s="3449"/>
      <c r="CP6" s="3449" t="e">
        <f t="shared" ref="CP6" si="17">_xlfn.AGGREGATE(1,6,CP5:CU5)</f>
        <v>#DIV/0!</v>
      </c>
      <c r="CQ6" s="3449"/>
      <c r="CR6" s="3449"/>
      <c r="CS6" s="3449"/>
      <c r="CT6" s="3449"/>
      <c r="CU6" s="3449"/>
      <c r="CV6" s="3449" t="e">
        <f t="shared" ref="CV6" si="18">_xlfn.AGGREGATE(1,6,CV5:DA5)</f>
        <v>#DIV/0!</v>
      </c>
      <c r="CW6" s="3449"/>
      <c r="CX6" s="3449"/>
      <c r="CY6" s="3449"/>
      <c r="CZ6" s="3449"/>
      <c r="DA6" s="3449"/>
      <c r="DB6" s="3449">
        <f t="shared" ref="DB6" si="19">_xlfn.AGGREGATE(1,6,DB5:DG5)</f>
        <v>1.0416666666666667</v>
      </c>
      <c r="DC6" s="3449"/>
      <c r="DD6" s="3449"/>
      <c r="DE6" s="3449"/>
      <c r="DF6" s="3449"/>
      <c r="DG6" s="3449"/>
      <c r="DH6" s="3449" t="e">
        <f t="shared" ref="DH6" si="20">_xlfn.AGGREGATE(1,6,DH5:DM5)</f>
        <v>#DIV/0!</v>
      </c>
      <c r="DI6" s="3449"/>
      <c r="DJ6" s="3449"/>
      <c r="DK6" s="3449"/>
      <c r="DL6" s="3449"/>
      <c r="DM6" s="3449"/>
      <c r="DN6" s="3449">
        <f t="shared" ref="DN6" si="21">_xlfn.AGGREGATE(1,6,DN5:DS5)</f>
        <v>1.0547685185185187</v>
      </c>
      <c r="DO6" s="3449"/>
      <c r="DP6" s="3449"/>
      <c r="DQ6" s="3449"/>
      <c r="DR6" s="3449"/>
      <c r="DS6" s="3449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1099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1082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1107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1126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1127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1128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1139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1150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1151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1153</v>
      </c>
    </row>
    <row r="70" spans="1:84" x14ac:dyDescent="0.25">
      <c r="A70" s="1986" t="s">
        <v>1152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1155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1164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1165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1166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1167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1169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1184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1175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1185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1186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1177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1187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1188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1193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1195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1191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1196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1197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1198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1199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1206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1209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105" x14ac:dyDescent="0.25">
      <c r="A97" s="2768" t="s">
        <v>1210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105" x14ac:dyDescent="0.25">
      <c r="A98" s="2781" t="s">
        <v>1211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105" x14ac:dyDescent="0.25">
      <c r="A99" s="40" t="s">
        <v>1214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105" x14ac:dyDescent="0.25">
      <c r="A100" s="2806" t="s">
        <v>1215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105" x14ac:dyDescent="0.25">
      <c r="A101" s="2819" t="s">
        <v>1216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105" x14ac:dyDescent="0.25">
      <c r="A102" s="2832" t="s">
        <v>1217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105" x14ac:dyDescent="0.25">
      <c r="A103" s="2845" t="s">
        <v>1218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105" x14ac:dyDescent="0.25">
      <c r="A104" s="2858" t="s">
        <v>1220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105" x14ac:dyDescent="0.25">
      <c r="A105" s="44" t="s">
        <v>1225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105" x14ac:dyDescent="0.25">
      <c r="A106" s="2972" t="s">
        <v>1227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105" x14ac:dyDescent="0.25">
      <c r="B107" s="1">
        <f>AVERAGE(B3:B106)</f>
        <v>1.1589873417721519</v>
      </c>
      <c r="C107" s="1">
        <f t="shared" ref="C107:E107" si="22">AVERAGE(C3:C106)</f>
        <v>1.0694936708860765</v>
      </c>
      <c r="D107" s="1">
        <f>AVERAGE(D3:D106)</f>
        <v>1.0201785714285714</v>
      </c>
      <c r="E107" s="1" t="e">
        <f t="shared" si="22"/>
        <v>#DIV/0!</v>
      </c>
      <c r="F107" s="2">
        <f>AVERAGE(F3:F106)</f>
        <v>0.64556962025316456</v>
      </c>
      <c r="G107" s="2">
        <f>AVERAGE(G3:G106)</f>
        <v>2.6708860759493671</v>
      </c>
      <c r="H107" s="2">
        <f t="shared" ref="H107:AP107" si="23">AVERAGE(H3:H106)</f>
        <v>0.98734177215189878</v>
      </c>
      <c r="I107" s="2">
        <f t="shared" si="23"/>
        <v>0.13924050632911392</v>
      </c>
      <c r="J107" s="2">
        <f t="shared" si="23"/>
        <v>2.5316455696202531E-2</v>
      </c>
      <c r="K107" s="2">
        <f t="shared" si="23"/>
        <v>0.12658227848101267</v>
      </c>
      <c r="L107" s="2">
        <f t="shared" si="23"/>
        <v>2.3670886075949369</v>
      </c>
      <c r="M107" s="2">
        <f t="shared" si="23"/>
        <v>0.58227848101265822</v>
      </c>
      <c r="N107" s="2">
        <f t="shared" si="23"/>
        <v>0.26582278481012656</v>
      </c>
      <c r="O107" s="2">
        <f t="shared" si="23"/>
        <v>3.7974683544303799E-2</v>
      </c>
      <c r="P107" s="2">
        <f t="shared" si="23"/>
        <v>2.5316455696202531E-2</v>
      </c>
      <c r="Q107" s="2">
        <f t="shared" si="23"/>
        <v>0</v>
      </c>
      <c r="R107" s="2">
        <f t="shared" si="23"/>
        <v>0</v>
      </c>
      <c r="S107" s="2">
        <f t="shared" si="23"/>
        <v>0.41772151898734178</v>
      </c>
      <c r="T107" s="2">
        <f t="shared" si="23"/>
        <v>0.91139240506329111</v>
      </c>
      <c r="U107" s="2">
        <f t="shared" si="23"/>
        <v>0.67088607594936711</v>
      </c>
      <c r="V107" s="2">
        <f t="shared" si="23"/>
        <v>0.13924050632911392</v>
      </c>
      <c r="W107" s="2">
        <f t="shared" si="23"/>
        <v>5.0632911392405063E-2</v>
      </c>
      <c r="X107" s="2">
        <f t="shared" si="23"/>
        <v>0.26582278481012656</v>
      </c>
      <c r="Y107" s="2">
        <f t="shared" si="23"/>
        <v>3.1898734177215191</v>
      </c>
      <c r="Z107" s="2">
        <f t="shared" si="23"/>
        <v>0.50632911392405067</v>
      </c>
      <c r="AA107" s="2">
        <f t="shared" si="23"/>
        <v>0.27848101265822783</v>
      </c>
      <c r="AB107" s="2">
        <f t="shared" si="23"/>
        <v>0.189873417721519</v>
      </c>
      <c r="AC107" s="2">
        <f t="shared" si="23"/>
        <v>7.5949367088607597E-2</v>
      </c>
      <c r="AD107" s="2">
        <f t="shared" si="23"/>
        <v>1.2658227848101266E-2</v>
      </c>
      <c r="AE107" s="2">
        <f t="shared" si="23"/>
        <v>0</v>
      </c>
      <c r="AF107" s="2">
        <f t="shared" si="23"/>
        <v>1.0892857142857142</v>
      </c>
      <c r="AG107" s="2">
        <f t="shared" si="23"/>
        <v>1.6071428571428572</v>
      </c>
      <c r="AH107" s="2">
        <f t="shared" si="23"/>
        <v>0.6071428571428571</v>
      </c>
      <c r="AI107" s="2">
        <f t="shared" si="23"/>
        <v>0.17857142857142858</v>
      </c>
      <c r="AJ107" s="2">
        <f t="shared" si="23"/>
        <v>1.7857142857142856E-2</v>
      </c>
      <c r="AK107" s="2">
        <f t="shared" si="23"/>
        <v>0.2857142857142857</v>
      </c>
      <c r="AL107" s="2">
        <f t="shared" si="23"/>
        <v>2.5714285714285716</v>
      </c>
      <c r="AM107" s="2">
        <f t="shared" si="23"/>
        <v>0.4107142857142857</v>
      </c>
      <c r="AN107" s="2">
        <f t="shared" si="23"/>
        <v>0.39285714285714285</v>
      </c>
      <c r="AO107" s="2">
        <f t="shared" si="23"/>
        <v>0.14285714285714285</v>
      </c>
      <c r="AP107" s="2">
        <f t="shared" si="23"/>
        <v>5.3571428571428568E-2</v>
      </c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47"/>
      <c r="CF107" s="344"/>
      <c r="CG107" s="344"/>
      <c r="CH107" s="344"/>
      <c r="CI107" s="344"/>
      <c r="CJ107" s="344"/>
      <c r="CK107" s="344"/>
      <c r="CL107" s="344"/>
      <c r="CM107" s="344"/>
      <c r="CN107" s="344"/>
      <c r="CO107" s="344"/>
      <c r="CP107" s="344"/>
      <c r="CQ107" s="344"/>
      <c r="CR107" s="344"/>
      <c r="CS107" s="344"/>
      <c r="CT107" s="344"/>
      <c r="CU107" s="344"/>
      <c r="CV107" s="344"/>
      <c r="CW107" s="344"/>
      <c r="CX107" s="344"/>
      <c r="CY107" s="344"/>
      <c r="CZ107" s="344"/>
      <c r="DA107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04"/>
  <sheetViews>
    <sheetView tabSelected="1" workbookViewId="0">
      <pane ySplit="1" topLeftCell="A276" activePane="bottomLeft" state="frozen"/>
      <selection pane="bottomLeft" activeCell="D302" sqref="D302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3481" t="s">
        <v>1283</v>
      </c>
      <c r="CK1" s="3482"/>
      <c r="CL1" s="3482"/>
      <c r="CM1" s="3482"/>
      <c r="CN1" s="3482"/>
      <c r="CO1" s="3483"/>
      <c r="CP1" s="3478" t="s">
        <v>1277</v>
      </c>
      <c r="CQ1" s="3479"/>
      <c r="CR1" s="3479"/>
      <c r="CS1" s="3479"/>
      <c r="CT1" s="3479"/>
      <c r="CU1" s="3480"/>
      <c r="CV1" s="3481" t="s">
        <v>1269</v>
      </c>
      <c r="CW1" s="3482"/>
      <c r="CX1" s="3482"/>
      <c r="CY1" s="3482"/>
      <c r="CZ1" s="3482"/>
      <c r="DA1" s="3483"/>
      <c r="DB1" s="3485" t="s">
        <v>1267</v>
      </c>
      <c r="DC1" s="3482"/>
      <c r="DD1" s="3482"/>
      <c r="DE1" s="3482"/>
      <c r="DF1" s="3482"/>
      <c r="DG1" s="3483"/>
      <c r="DH1" s="3486" t="s">
        <v>1281</v>
      </c>
      <c r="DI1" s="3487"/>
      <c r="DJ1" s="3487"/>
      <c r="DK1" s="3487"/>
      <c r="DL1" s="3487"/>
      <c r="DM1" s="3488"/>
      <c r="DN1" s="3478" t="s">
        <v>991</v>
      </c>
      <c r="DO1" s="3479"/>
      <c r="DP1" s="3479"/>
      <c r="DQ1" s="3479"/>
      <c r="DR1" s="3479"/>
      <c r="DS1" s="3480"/>
      <c r="DT1" s="3478" t="s">
        <v>992</v>
      </c>
      <c r="DU1" s="3479"/>
      <c r="DV1" s="3479"/>
      <c r="DW1" s="3479"/>
      <c r="DX1" s="3479"/>
      <c r="DY1" s="3480"/>
      <c r="DZ1" s="3475" t="s">
        <v>1122</v>
      </c>
      <c r="EA1" s="3476"/>
      <c r="EB1" s="3476"/>
      <c r="EC1" s="3476"/>
      <c r="ED1" s="3476"/>
      <c r="EE1" s="3477"/>
      <c r="EF1" s="3475" t="s">
        <v>1181</v>
      </c>
      <c r="EG1" s="3476"/>
      <c r="EH1" s="3476"/>
      <c r="EI1" s="3476"/>
      <c r="EJ1" s="3476"/>
      <c r="EK1" s="3477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AVERAGE(B3,B11,B19,B26,B42,B44,B52,B55,B61,B69,B76,B84,B85,B88,B94,B109,B118,B125,B129,B149,B151,B145,B157,B175,B179,B195,B204,B212,B218,B224,B229,B238,B244,B264,B267,B273,B278,B293,B299)</f>
        <v>1.1580555555555554</v>
      </c>
      <c r="CK2" s="1">
        <f>AVERAGE(C3,C11,C19,C26,C42,C44,C52,C55,C61,C69,C76,C84,C85,C88,C94,C109,C118,C125,C129,C149,C151,C145,C157,C175,C179,C195,C204,C212,C218,C224,C229,C238,C244,C264,C267,C273,C278,C293,C299)</f>
        <v>1.2081818181818182</v>
      </c>
      <c r="CL2" s="1">
        <f>AVERAGE(D3,D11,D19,D26,D42,D44,D52,D55,D61,D69,D76,D84,D85,D88,D94,D109,D118,D125,D129,D149,D151,D145,D157,D175,D179,D195,D204,D212,D218,D224,D229,D238,D244,D264,D267,D293,D299)</f>
        <v>1.2495238095238095</v>
      </c>
      <c r="CM2" s="1">
        <f>AVERAGE(E3,E11,E19,E26,E42,E44,E52,E55,E61,E69,E76,E84,E85,E88,E94,E109,E118,E125,E129,E149,E151,E145,E157,E175,E179,E195,E204,E212,E218,E224,E229,E238,E244,E264,E267)</f>
        <v>0.48000000000000004</v>
      </c>
      <c r="CN2" s="1">
        <f>AVERAGE(F3,F11,F19,F26,F42,F44,F52,F55,F61,F69,F76,F84,F85,F88,F94,F109,F118,F125,F129,F149,F151,F145,F157,F175,F179,F195,F204,F212,F218,F224,F229,F238,F244,F264,F267)</f>
        <v>1.58</v>
      </c>
      <c r="CO2" s="1">
        <f>AVERAGE(G3,G11,G19,G26,G42,G44,G52,G55,G61,G69,G76,G84,G85,G88,G94,G109,G118,G125,G129,G149,G151,G145,G157,G175,G179,G195,G204,G212,G218,G224,G229,G238,G244,G264,G267)</f>
        <v>0.87000000000000011</v>
      </c>
      <c r="CP2" s="1">
        <f>AVERAGE(B10,B17,B28,B33,B40,B50,B53,B64,B70,B77,B86,B90,B96,B102,B105,B111,B115,B123,B130,B140,B148,B167,B184,B192,B199,B217,B232,B274,B279,B287,B296)</f>
        <v>1.1303571428571431</v>
      </c>
      <c r="CQ2" s="1">
        <f>AVERAGE(C10,C17,C28,C33,C40,C50,C53,C64,C70,C77,C86,C90,C96,C102,C105,C111,C115,C123,C130,C140,C148,C167,C184,C192,C199,C217,C232,C274,C279,C287,C296)</f>
        <v>1.0714814814814815</v>
      </c>
      <c r="CR2" s="1">
        <f>AVERAGE(D10,D17,D28,D33,D40,D50,D53,D64,D70,D77,D86,D90,D96,D102,D105,D111,D115,D123,D130,D140,D148,D167,D184,D192,D199,D217,D232,D274,D287,D296)</f>
        <v>1.2266666666666668</v>
      </c>
      <c r="CS2" s="1">
        <f>AVERAGE(E10,E17,E28,E33,E40,E50,E53,E64,E70,E77,E86,E90,E96,E102,E105,E111,E115,E123,E130,E140,E148,E167,E184,E192,E199,E217,E232,E274)</f>
        <v>0.85000000000000009</v>
      </c>
      <c r="CT2" s="1">
        <f>AVERAGE(F10,F17,F28,F33,F40,F50,F53,F64,F70,F77,F86,F90,F96,F102,F105,F111,F115,F123,F130,F140,F148,F167,F184,F192,F199,F217,F232,F274)</f>
        <v>1.145</v>
      </c>
      <c r="CU2" s="1">
        <f>AVERAGE(G10,G17,G28,G33,G40,G50,G53,G64,G70,G77,G86,G90,G96,G102,G105,G111,G115,G123,G130,G140,G148,G167,G184,G192,G199,G217,G232,G274)</f>
        <v>1.115</v>
      </c>
      <c r="CV2" s="1">
        <f>AVERAGE(B14,B22,B48,B63,B95,B100,B104,B144,B182,B223,B280,B290)</f>
        <v>1.1500000000000001</v>
      </c>
      <c r="CW2" s="1">
        <f t="shared" ref="CW2:DA2" si="0">AVERAGE(C14,C22,C48,C63,C95,C100,C104,C144,C182,C223,C280,C290)</f>
        <v>1.2309999999999999</v>
      </c>
      <c r="CX2" s="1">
        <f t="shared" si="0"/>
        <v>0.87888888888888894</v>
      </c>
      <c r="CY2" s="1" t="e">
        <f t="shared" si="0"/>
        <v>#DIV/0!</v>
      </c>
      <c r="CZ2" s="1" t="e">
        <f t="shared" si="0"/>
        <v>#DIV/0!</v>
      </c>
      <c r="DA2" s="1" t="e">
        <f t="shared" si="0"/>
        <v>#DIV/0!</v>
      </c>
      <c r="DB2" s="1">
        <f>AVERAGE(B12,B16,B62,B81,B120,B137,B155,B170,B180,B190,B191,B194,B196,B271,B285,B289)</f>
        <v>1.0685714285714287</v>
      </c>
      <c r="DC2" s="1">
        <f t="shared" ref="DC2:DG2" si="1">AVERAGE(C12,C16,C62,C81,C120,C137,C155,C170,C180,C190,C191,C194,C196,C271,C285,C289)</f>
        <v>1.2323076923076923</v>
      </c>
      <c r="DD2" s="1">
        <f t="shared" si="1"/>
        <v>1.2650000000000001</v>
      </c>
      <c r="DE2" s="1" t="e">
        <f t="shared" si="1"/>
        <v>#DIV/0!</v>
      </c>
      <c r="DF2" s="1">
        <f t="shared" si="1"/>
        <v>1.63</v>
      </c>
      <c r="DG2" s="1" t="e">
        <f t="shared" si="1"/>
        <v>#DIV/0!</v>
      </c>
      <c r="DH2" s="1">
        <f>AVERAGE(B18,B27,B35,B41,B46,B99,B107,B114,B147,B185,B234,B248,B253,B272,B281,B298)</f>
        <v>1.2257142857142858</v>
      </c>
      <c r="DI2" s="1">
        <f>AVERAGE(C18,C27,C35,C41,C46,C99,C107,C114,C147,C185,C234,C248,C253,C272,C281,C298)</f>
        <v>1.0507142857142857</v>
      </c>
      <c r="DJ2" s="1">
        <f>AVERAGE(D18,D27,D35,D41,D46,D99,D107,D114,D147,D185,D234,D248,D253,D272,D298)</f>
        <v>1.0033333333333332</v>
      </c>
      <c r="DK2" s="1" t="e">
        <f>AVERAGE(E18,E27,E35,E41,E46,E99,E107,E114,E147,E185,E234,E248,E253,E272)</f>
        <v>#DIV/0!</v>
      </c>
      <c r="DL2" s="1" t="e">
        <f>AVERAGE(F18,F27,F35,F41,F46,F99,F107,F114,F147,F185,F234,F248,F253,F272)</f>
        <v>#DIV/0!</v>
      </c>
      <c r="DM2" s="1">
        <f>AVERAGE(G18,G27,G35,G41,G46,G99,G107,G114,G147,G185,G234,G248,G253,G272)</f>
        <v>0.46</v>
      </c>
      <c r="DN2" s="1">
        <f>AVERAGE(B32,B45,B60,B116,B150)</f>
        <v>1.3260000000000001</v>
      </c>
      <c r="DO2" s="1">
        <f t="shared" ref="DO2:DS2" si="2">AVERAGE(C32,C45,C60,C116,C150)</f>
        <v>1.1080000000000001</v>
      </c>
      <c r="DP2" s="1">
        <f t="shared" si="2"/>
        <v>1.2066666666666668</v>
      </c>
      <c r="DQ2" s="1" t="e">
        <f t="shared" si="2"/>
        <v>#DIV/0!</v>
      </c>
      <c r="DR2" s="1" t="e">
        <f t="shared" si="2"/>
        <v>#DIV/0!</v>
      </c>
      <c r="DS2" s="1" t="e">
        <f t="shared" si="2"/>
        <v>#DIV/0!</v>
      </c>
      <c r="DT2" s="1">
        <f>AVERAGE(B74)</f>
        <v>1.6</v>
      </c>
      <c r="DU2" s="1">
        <f t="shared" ref="DU2:DY2" si="3">AVERAGE(C74)</f>
        <v>1.1100000000000001</v>
      </c>
      <c r="DV2" s="1" t="e">
        <f t="shared" si="3"/>
        <v>#DIV/0!</v>
      </c>
      <c r="DW2" s="1" t="e">
        <f t="shared" si="3"/>
        <v>#DIV/0!</v>
      </c>
      <c r="DX2" s="1" t="e">
        <f t="shared" si="3"/>
        <v>#DIV/0!</v>
      </c>
      <c r="DY2" s="1" t="e">
        <f t="shared" si="3"/>
        <v>#DIV/0!</v>
      </c>
      <c r="DZ2" s="1">
        <f>AVERAGE(B160,B173,B174,B177,B215)</f>
        <v>0.96000000000000019</v>
      </c>
      <c r="EA2" s="1">
        <f t="shared" ref="EA2:EE2" si="4">AVERAGE(C160,C173,C174,C177,C215)</f>
        <v>1.4159999999999999</v>
      </c>
      <c r="EB2" s="1">
        <f t="shared" si="4"/>
        <v>0.84250000000000003</v>
      </c>
      <c r="EC2" s="1" t="e">
        <f t="shared" si="4"/>
        <v>#DIV/0!</v>
      </c>
      <c r="ED2" s="1" t="e">
        <f t="shared" si="4"/>
        <v>#DIV/0!</v>
      </c>
      <c r="EE2" s="1" t="e">
        <f t="shared" si="4"/>
        <v>#DIV/0!</v>
      </c>
      <c r="EF2" s="1">
        <f>AVERAGE(B246)</f>
        <v>0.64</v>
      </c>
      <c r="EG2" s="1">
        <f t="shared" ref="EG2:EK2" si="5">AVERAGE(C246)</f>
        <v>0.99</v>
      </c>
      <c r="EH2" s="1">
        <f t="shared" si="5"/>
        <v>1.21</v>
      </c>
      <c r="EI2" s="1" t="e">
        <f t="shared" si="5"/>
        <v>#DIV/0!</v>
      </c>
      <c r="EJ2" s="1" t="e">
        <f t="shared" si="5"/>
        <v>#DIV/0!</v>
      </c>
      <c r="EK2" s="1" t="e">
        <f t="shared" si="5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3449">
        <f>_xlfn.AGGREGATE(1,3,CJ2:CL2)</f>
        <v>1.2052537277537276</v>
      </c>
      <c r="CK3" s="3450"/>
      <c r="CL3" s="3450"/>
      <c r="CM3" s="3450"/>
      <c r="CN3" s="3450"/>
      <c r="CO3" s="3450"/>
      <c r="CP3" s="3449">
        <f>_xlfn.AGGREGATE(1,3,CP2:CR2)</f>
        <v>1.1428350970017638</v>
      </c>
      <c r="CQ3" s="3450"/>
      <c r="CR3" s="3450"/>
      <c r="CS3" s="3450"/>
      <c r="CT3" s="3450"/>
      <c r="CU3" s="3450"/>
      <c r="CV3" s="3449">
        <f>_xlfn.AGGREGATE(1,3,CV2:CX2)</f>
        <v>1.0866296296296298</v>
      </c>
      <c r="CW3" s="3450"/>
      <c r="CX3" s="3450"/>
      <c r="CY3" s="3450"/>
      <c r="CZ3" s="3450"/>
      <c r="DA3" s="3450"/>
      <c r="DB3" s="3449">
        <f>_xlfn.AGGREGATE(1,3,DB2:DD2)</f>
        <v>1.1886263736263738</v>
      </c>
      <c r="DC3" s="3450"/>
      <c r="DD3" s="3450"/>
      <c r="DE3" s="3450"/>
      <c r="DF3" s="3450"/>
      <c r="DG3" s="3450"/>
      <c r="DH3" s="3449">
        <f>_xlfn.AGGREGATE(1,3,DH2:DJ2)</f>
        <v>1.0932539682539681</v>
      </c>
      <c r="DI3" s="3450"/>
      <c r="DJ3" s="3450"/>
      <c r="DK3" s="3450"/>
      <c r="DL3" s="3450"/>
      <c r="DM3" s="3450"/>
      <c r="DN3" s="3449">
        <f t="shared" ref="DN3" si="6">_xlfn.AGGREGATE(1,6,DN2:DS2)</f>
        <v>1.2135555555555557</v>
      </c>
      <c r="DO3" s="3450"/>
      <c r="DP3" s="3450"/>
      <c r="DQ3" s="3450"/>
      <c r="DR3" s="3450"/>
      <c r="DS3" s="3450"/>
      <c r="DT3" s="3449">
        <f>_xlfn.AGGREGATE(1,3,DT2:DV2)</f>
        <v>1.355</v>
      </c>
      <c r="DU3" s="3450"/>
      <c r="DV3" s="3450"/>
      <c r="DW3" s="3450"/>
      <c r="DX3" s="3450"/>
      <c r="DY3" s="3450"/>
      <c r="DZ3" s="3449">
        <f>_xlfn.AGGREGATE(1,3,DZ2:EB2)</f>
        <v>1.0728333333333335</v>
      </c>
      <c r="EA3" s="3450"/>
      <c r="EB3" s="3450"/>
      <c r="EC3" s="3450"/>
      <c r="ED3" s="3450"/>
      <c r="EE3" s="3450"/>
      <c r="EF3" s="3449">
        <f>_xlfn.AGGREGATE(1,3,EF2:EH2)</f>
        <v>0.94666666666666666</v>
      </c>
      <c r="EG3" s="3450"/>
      <c r="EH3" s="3450"/>
      <c r="EI3" s="3450"/>
      <c r="EJ3" s="3450"/>
      <c r="EK3" s="3450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3478" t="s">
        <v>1279</v>
      </c>
      <c r="CK4" s="3479"/>
      <c r="CL4" s="3479"/>
      <c r="CM4" s="3479"/>
      <c r="CN4" s="3479"/>
      <c r="CO4" s="3480"/>
      <c r="CP4" s="3481" t="s">
        <v>1289</v>
      </c>
      <c r="CQ4" s="3482"/>
      <c r="CR4" s="3482"/>
      <c r="CS4" s="3482"/>
      <c r="CT4" s="3482"/>
      <c r="CU4" s="3483"/>
      <c r="CV4" s="3484" t="s">
        <v>1272</v>
      </c>
      <c r="CW4" s="3479"/>
      <c r="CX4" s="3479"/>
      <c r="CY4" s="3479"/>
      <c r="CZ4" s="3479"/>
      <c r="DA4" s="3480"/>
      <c r="DB4" s="3481" t="s">
        <v>1286</v>
      </c>
      <c r="DC4" s="3482"/>
      <c r="DD4" s="3482"/>
      <c r="DE4" s="3482"/>
      <c r="DF4" s="3482"/>
      <c r="DG4" s="3483"/>
      <c r="DH4" s="3478" t="s">
        <v>946</v>
      </c>
      <c r="DI4" s="3479"/>
      <c r="DJ4" s="3479"/>
      <c r="DK4" s="3479"/>
      <c r="DL4" s="3479"/>
      <c r="DM4" s="3480"/>
      <c r="DN4" s="3475" t="s">
        <v>1194</v>
      </c>
      <c r="DO4" s="3476"/>
      <c r="DP4" s="3476"/>
      <c r="DQ4" s="3476"/>
      <c r="DR4" s="3476"/>
      <c r="DS4" s="3477"/>
      <c r="DT4" s="3478" t="s">
        <v>1163</v>
      </c>
      <c r="DU4" s="3479"/>
      <c r="DV4" s="3479"/>
      <c r="DW4" s="3479"/>
      <c r="DX4" s="3479"/>
      <c r="DY4" s="3480"/>
      <c r="DZ4" s="3475" t="s">
        <v>1208</v>
      </c>
      <c r="EA4" s="3476"/>
      <c r="EB4" s="3476"/>
      <c r="EC4" s="3476"/>
      <c r="ED4" s="3476"/>
      <c r="EE4" s="3477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AVERAGE(B4,B13,B21,B38,B58,B72,B78,B134,B138,B153,B164,B169,B181,B270,B277,B291,B297)</f>
        <v>1.2285714285714289</v>
      </c>
      <c r="CK5" s="1">
        <f>AVERAGE(C4,C13,C21,C38,C58,C72,C78,C134,C138,C153,C164,C169,C181,C270,C277,C291,C297)</f>
        <v>1.1130769230769233</v>
      </c>
      <c r="CL5" s="1">
        <f>AVERAGE(D4,D13,D21,D38,D58,D72,D78,D134,D138,D153,D164,D169,D181,D270,D297)</f>
        <v>1.1400000000000001</v>
      </c>
      <c r="CM5" s="1" t="e">
        <f>AVERAGE(E4,E13,E21,E38,E58,E72,E78,E134,E138,E153,E164,E169,E181,E270)</f>
        <v>#DIV/0!</v>
      </c>
      <c r="CN5" s="1">
        <f>AVERAGE(F4,F13,F21,F38,F58,F72,F78,F134,F138,F153,F164,F169,F181,F270)</f>
        <v>0.53</v>
      </c>
      <c r="CO5" s="1" t="e">
        <f>AVERAGE(G4,G13,G21,G38,G58,G72,G78,G134,G138,G153,G164,G169,G181,G270)</f>
        <v>#DIV/0!</v>
      </c>
      <c r="CP5" s="1">
        <f t="shared" ref="CP5:CU5" si="7">AVERAGE(B5,B8,B23,B29,B34,B47,B57,B65,B67,B93,B101,B108,B119,B127,B131,B154,B176,B187,B189,B201,B202,B216,B220,B221,B222,B230,B237,B239,B240,B242,B245,B247,B250,B251,B254,B255,B258,B259,B268,B288,B300,B303)</f>
        <v>1.2343589743589745</v>
      </c>
      <c r="CQ5" s="1">
        <f t="shared" si="7"/>
        <v>1.2142105263157892</v>
      </c>
      <c r="CR5" s="1">
        <f t="shared" si="7"/>
        <v>1.1917647058823528</v>
      </c>
      <c r="CS5" s="1" t="e">
        <f t="shared" si="7"/>
        <v>#DIV/0!</v>
      </c>
      <c r="CT5" s="1">
        <f t="shared" si="7"/>
        <v>1.105</v>
      </c>
      <c r="CU5" s="1">
        <f t="shared" si="7"/>
        <v>0.98</v>
      </c>
      <c r="CV5" s="1">
        <f>AVERAGE(B6,B9,B37,B82,B92,B97,B124,B128,B139,B152,B183,B226,B231,B257,B266,B284,B292)</f>
        <v>1.2166666666666663</v>
      </c>
      <c r="CW5" s="1">
        <f t="shared" ref="CW5:DA5" si="8">AVERAGE(C6,C9,C37,C82,C92,C97,C124,C128,C139,C152,C183,C226,C231,C257,C266,C284,C292)</f>
        <v>1.1421428571428571</v>
      </c>
      <c r="CX5" s="1">
        <f t="shared" si="8"/>
        <v>1.1216666666666666</v>
      </c>
      <c r="CY5" s="1" t="e">
        <f t="shared" si="8"/>
        <v>#DIV/0!</v>
      </c>
      <c r="CZ5" s="1">
        <f t="shared" si="8"/>
        <v>1.57</v>
      </c>
      <c r="DA5" s="1" t="e">
        <f t="shared" si="8"/>
        <v>#DIV/0!</v>
      </c>
      <c r="DB5" s="1">
        <f>AVERAGE(B24,B30,B39,B71,B75,B80,B106,B117,B165,B168,B171,B186,B197,B203,B211,B214,B233,B256,B263,B275,B282,B294,B301)</f>
        <v>1.1339999999999999</v>
      </c>
      <c r="DC5" s="1">
        <f>AVERAGE(C24,C30,C39,C71,C75,C80,C106,C117,C165,C168,C171,C186,C197,C203,C211,C214,C233,C256,C263,C275,C282,C294,C301)</f>
        <v>1.3555555555555554</v>
      </c>
      <c r="DD5" s="1">
        <f>AVERAGE(D24,D30,D39,D71,D75,D80,D106,D117,D165,D168,D171,D186,D197,D203,D211,D214,D233,D256,D263,D275,D301)</f>
        <v>1.1260000000000001</v>
      </c>
      <c r="DE5" s="1" t="e">
        <f>AVERAGE(E24,E30,E39,E71,E75,E80,E106,E117,E165,E168,E171,E186,E197,E203,E211,E214,E233,E256,E263,E275)</f>
        <v>#DIV/0!</v>
      </c>
      <c r="DF5" s="1">
        <f>AVERAGE(F24,F30,F39,F71,F75,F80,F106,F117,F165,F168,F171,F186,F197,F203,F211,F214,F233,F256,F263,F275)</f>
        <v>1.4649999999999999</v>
      </c>
      <c r="DG5" s="1" t="e">
        <f>AVERAGE(G24,G30,G39,G71,G75,G80,G106,G117,G165,G168,G171,G186,G197,G203,G211,G214,G233,G256,G263,G275)</f>
        <v>#DIV/0!</v>
      </c>
      <c r="DH5" s="1">
        <f>AVERAGE(B20,B136)</f>
        <v>1.1399999999999999</v>
      </c>
      <c r="DI5" s="1">
        <f t="shared" ref="DI5:DM5" si="9">AVERAGE(C20,C136)</f>
        <v>1.26</v>
      </c>
      <c r="DJ5" s="1">
        <f t="shared" si="9"/>
        <v>0.93</v>
      </c>
      <c r="DK5" s="1" t="e">
        <f t="shared" si="9"/>
        <v>#DIV/0!</v>
      </c>
      <c r="DL5" s="1" t="e">
        <f t="shared" si="9"/>
        <v>#DIV/0!</v>
      </c>
      <c r="DM5" s="1" t="e">
        <f t="shared" si="9"/>
        <v>#DIV/0!</v>
      </c>
      <c r="DN5" s="1">
        <f>AVERAGE(B68,B121,B193,B206,B207,B208,B209,B283,B302)</f>
        <v>1.1414285714285715</v>
      </c>
      <c r="DO5" s="1">
        <f t="shared" ref="DO5:DS5" si="10">AVERAGE(C68,C121,C193,C206,C207,C208,C209,C283,C302)</f>
        <v>0.95857142857142852</v>
      </c>
      <c r="DP5" s="1">
        <f t="shared" si="10"/>
        <v>1.0419999999999998</v>
      </c>
      <c r="DQ5" s="1" t="e">
        <f t="shared" si="10"/>
        <v>#DIV/0!</v>
      </c>
      <c r="DR5" s="1" t="e">
        <f t="shared" si="10"/>
        <v>#DIV/0!</v>
      </c>
      <c r="DS5" s="1" t="e">
        <f t="shared" si="10"/>
        <v>#DIV/0!</v>
      </c>
      <c r="DT5" s="1">
        <f>AVERAGE(B158,B159,B161,B162,B200,B235)</f>
        <v>1.2483333333333333</v>
      </c>
      <c r="DU5" s="1">
        <f t="shared" ref="DU5:DY5" si="11">AVERAGE(C158,C159,C161,C162,C200,C235)</f>
        <v>1.1433333333333335</v>
      </c>
      <c r="DV5" s="1">
        <f t="shared" si="11"/>
        <v>1.2250000000000001</v>
      </c>
      <c r="DW5" s="1" t="e">
        <f t="shared" si="11"/>
        <v>#DIV/0!</v>
      </c>
      <c r="DX5" s="1" t="e">
        <f t="shared" si="11"/>
        <v>#DIV/0!</v>
      </c>
      <c r="DY5" s="1" t="e">
        <f t="shared" si="11"/>
        <v>#DIV/0!</v>
      </c>
      <c r="DZ5" s="1">
        <f>AVERAGE(B227,B261)</f>
        <v>1.095</v>
      </c>
      <c r="EA5" s="1">
        <f t="shared" ref="EA5:EE5" si="12">AVERAGE(C227,C261)</f>
        <v>0.94</v>
      </c>
      <c r="EB5" s="1">
        <f t="shared" si="12"/>
        <v>0.70500000000000007</v>
      </c>
      <c r="EC5" s="1" t="e">
        <f t="shared" si="12"/>
        <v>#DIV/0!</v>
      </c>
      <c r="ED5" s="1" t="e">
        <f t="shared" si="12"/>
        <v>#DIV/0!</v>
      </c>
      <c r="EE5" s="1" t="e">
        <f t="shared" si="12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3449">
        <f>_xlfn.AGGREGATE(1,3,CJ5:CL5)</f>
        <v>1.1605494505494509</v>
      </c>
      <c r="CK6" s="3450"/>
      <c r="CL6" s="3450"/>
      <c r="CM6" s="3450"/>
      <c r="CN6" s="3450"/>
      <c r="CO6" s="3450"/>
      <c r="CP6" s="3449">
        <f>_xlfn.AGGREGATE(1,3,CP5:CR5)</f>
        <v>1.2134447355190388</v>
      </c>
      <c r="CQ6" s="3450"/>
      <c r="CR6" s="3450"/>
      <c r="CS6" s="3450"/>
      <c r="CT6" s="3450"/>
      <c r="CU6" s="3450"/>
      <c r="CV6" s="3449">
        <f>_xlfn.AGGREGATE(1,3,CV5:CX5)</f>
        <v>1.1601587301587302</v>
      </c>
      <c r="CW6" s="3450"/>
      <c r="CX6" s="3450"/>
      <c r="CY6" s="3450"/>
      <c r="CZ6" s="3450"/>
      <c r="DA6" s="3450"/>
      <c r="DB6" s="3449">
        <f>_xlfn.AGGREGATE(1,3,DB5:DD5)</f>
        <v>1.2051851851851854</v>
      </c>
      <c r="DC6" s="3450"/>
      <c r="DD6" s="3450"/>
      <c r="DE6" s="3450"/>
      <c r="DF6" s="3450"/>
      <c r="DG6" s="3450"/>
      <c r="DH6" s="3449">
        <f>_xlfn.AGGREGATE(1,3,DH5:DJ5)</f>
        <v>1.1100000000000001</v>
      </c>
      <c r="DI6" s="3450"/>
      <c r="DJ6" s="3450"/>
      <c r="DK6" s="3450"/>
      <c r="DL6" s="3450"/>
      <c r="DM6" s="3450"/>
      <c r="DN6" s="3449">
        <f>_xlfn.AGGREGATE(1,3,DN5:DP5)</f>
        <v>1.0473333333333332</v>
      </c>
      <c r="DO6" s="3450"/>
      <c r="DP6" s="3450"/>
      <c r="DQ6" s="3450"/>
      <c r="DR6" s="3450"/>
      <c r="DS6" s="3450"/>
      <c r="DT6" s="3449">
        <f>_xlfn.AGGREGATE(1,3,DT5:DV5)</f>
        <v>1.2055555555555555</v>
      </c>
      <c r="DU6" s="3450"/>
      <c r="DV6" s="3450"/>
      <c r="DW6" s="3450"/>
      <c r="DX6" s="3450"/>
      <c r="DY6" s="3450"/>
      <c r="DZ6" s="3449">
        <f>_xlfn.AGGREGATE(1,3,DZ5:EB5)</f>
        <v>0.91333333333333344</v>
      </c>
      <c r="EA6" s="3450"/>
      <c r="EB6" s="3450"/>
      <c r="EC6" s="3450"/>
      <c r="ED6" s="3450"/>
      <c r="EE6" s="3450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1076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1077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1078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1079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1084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1085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1086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1087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1088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1089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1090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1091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1092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1082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1093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1094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1095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1096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1097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1098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1113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1114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1115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1116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1117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1118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1119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1120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1121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1123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1124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1125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1142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1143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1144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1154</v>
      </c>
    </row>
    <row r="222" spans="1:87" x14ac:dyDescent="0.25">
      <c r="A222" s="1871" t="s">
        <v>1145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1146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1147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1139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1148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1149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1155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1156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1157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1158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1159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1160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1161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1162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1169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1171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1172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1173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1174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1175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1176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1177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1178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1179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1180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1182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1183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1188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1189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1190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1191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1192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1200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1201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1202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1203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1204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1205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1206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1207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1213</v>
      </c>
    </row>
    <row r="262" spans="1:87" x14ac:dyDescent="0.25">
      <c r="A262" s="40" t="s">
        <v>1222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1223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1224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1225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1226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1231</v>
      </c>
    </row>
    <row r="267" spans="1:87" x14ac:dyDescent="0.25">
      <c r="A267" s="2934" t="s">
        <v>1229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1232</v>
      </c>
    </row>
    <row r="268" spans="1:87" x14ac:dyDescent="0.25">
      <c r="A268" s="2947" t="s">
        <v>1230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1242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1247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1248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1249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1250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1251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1252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1253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1254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1255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1256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1257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1258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1259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1260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1261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1262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1263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1264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1265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123" x14ac:dyDescent="0.25">
      <c r="A289" s="3251" t="s">
        <v>1266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123" x14ac:dyDescent="0.25">
      <c r="A290" s="3264" t="s">
        <v>1268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123" x14ac:dyDescent="0.25">
      <c r="A291" s="3277" t="s">
        <v>1270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123" x14ac:dyDescent="0.25">
      <c r="A292" s="3290" t="s">
        <v>1271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123" x14ac:dyDescent="0.25">
      <c r="A293" s="3303" t="s">
        <v>1273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123" x14ac:dyDescent="0.25">
      <c r="A294" s="3316" t="s">
        <v>1274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123" x14ac:dyDescent="0.25">
      <c r="A295" s="40" t="s">
        <v>1275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123" x14ac:dyDescent="0.25">
      <c r="A296" s="3341" t="s">
        <v>1276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123" x14ac:dyDescent="0.25">
      <c r="A297" s="3354" t="s">
        <v>1278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123" x14ac:dyDescent="0.25">
      <c r="A298" s="3367" t="s">
        <v>1280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123" x14ac:dyDescent="0.25">
      <c r="A299" s="3380" t="s">
        <v>1282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123" x14ac:dyDescent="0.25">
      <c r="A300" s="3393" t="s">
        <v>1284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123" x14ac:dyDescent="0.25">
      <c r="A301" s="3406" t="s">
        <v>1285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123" x14ac:dyDescent="0.25">
      <c r="A302" s="3419" t="s">
        <v>1287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1290</v>
      </c>
    </row>
    <row r="303" spans="1:123" x14ac:dyDescent="0.25">
      <c r="A303" s="3432" t="s">
        <v>1288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123" ht="15.75" customHeight="1" x14ac:dyDescent="0.25">
      <c r="A304" s="35"/>
      <c r="B304" s="36">
        <f t="shared" ref="B304:AG304" si="13">AVERAGE(B3:B303)</f>
        <v>1.1853815261044176</v>
      </c>
      <c r="C304" s="36">
        <f t="shared" si="13"/>
        <v>1.1792887029288708</v>
      </c>
      <c r="D304" s="36">
        <f t="shared" si="13"/>
        <v>1.1541618497109825</v>
      </c>
      <c r="E304" s="36">
        <f t="shared" si="13"/>
        <v>0.66500000000000004</v>
      </c>
      <c r="F304" s="36">
        <f t="shared" si="13"/>
        <v>1.3018181818181818</v>
      </c>
      <c r="G304" s="36">
        <f t="shared" si="13"/>
        <v>0.90166666666666673</v>
      </c>
      <c r="H304" s="47">
        <f t="shared" si="13"/>
        <v>0.6506024096385542</v>
      </c>
      <c r="I304" s="36">
        <f>AVERAGE(I3:I303)</f>
        <v>2.5622489959839356</v>
      </c>
      <c r="J304" s="36">
        <f t="shared" ref="J304:O304" si="14">AVERAGE(J3:J303)</f>
        <v>0.92771084337349397</v>
      </c>
      <c r="K304" s="36">
        <f t="shared" si="14"/>
        <v>0.12449799196787148</v>
      </c>
      <c r="L304" s="36">
        <f t="shared" si="14"/>
        <v>2.4096385542168676E-2</v>
      </c>
      <c r="M304" s="36">
        <f t="shared" si="14"/>
        <v>0.11244979919678715</v>
      </c>
      <c r="N304" s="36">
        <f t="shared" si="14"/>
        <v>1.9799196787148594</v>
      </c>
      <c r="O304" s="36">
        <f t="shared" si="14"/>
        <v>0.46586345381526106</v>
      </c>
      <c r="P304" s="67">
        <f>AVERAGE(P3:P303)</f>
        <v>0.20883534136546184</v>
      </c>
      <c r="Q304" s="36">
        <f>AVERAGE(Q3:Q303)</f>
        <v>0.11646586345381527</v>
      </c>
      <c r="R304" s="36">
        <f t="shared" ref="R304:T304" si="15">AVERAGE(R3:R303)</f>
        <v>5.2208835341365459E-2</v>
      </c>
      <c r="S304" s="36">
        <f t="shared" si="15"/>
        <v>0</v>
      </c>
      <c r="T304" s="36">
        <f t="shared" si="15"/>
        <v>4.0160642570281121E-3</v>
      </c>
      <c r="U304" s="53">
        <f>AVERAGE(U3:U303)</f>
        <v>0.44351464435146443</v>
      </c>
      <c r="V304" s="36">
        <f>AVERAGE(V3:V303)</f>
        <v>0.88702928870292885</v>
      </c>
      <c r="W304" s="36">
        <f t="shared" si="13"/>
        <v>0.79831932773109249</v>
      </c>
      <c r="X304" s="36">
        <f t="shared" si="13"/>
        <v>0.18410041841004185</v>
      </c>
      <c r="Y304" s="36">
        <f t="shared" si="13"/>
        <v>8.368200836820083E-3</v>
      </c>
      <c r="Z304" s="36">
        <f t="shared" si="13"/>
        <v>0.17154811715481172</v>
      </c>
      <c r="AA304" s="36">
        <f t="shared" si="13"/>
        <v>3.2928870292887029</v>
      </c>
      <c r="AB304" s="36">
        <f t="shared" si="13"/>
        <v>0.43514644351464438</v>
      </c>
      <c r="AC304" s="52">
        <f>AVERAGE(AC3:AC303)</f>
        <v>0.33472803347280333</v>
      </c>
      <c r="AD304" s="36">
        <f>AVERAGE(AD3:AD303)</f>
        <v>0.22594142259414227</v>
      </c>
      <c r="AE304" s="36">
        <f t="shared" si="13"/>
        <v>0.10460251046025104</v>
      </c>
      <c r="AF304" s="36">
        <f t="shared" si="13"/>
        <v>4.1841004184100415E-3</v>
      </c>
      <c r="AG304" s="36">
        <f t="shared" si="13"/>
        <v>0</v>
      </c>
      <c r="AH304" s="57">
        <f>AVERAGE(AH3:AH303)</f>
        <v>0.96531791907514453</v>
      </c>
      <c r="AI304" s="36">
        <f>AVERAGE(AI3:AI303)</f>
        <v>1.9075144508670521</v>
      </c>
      <c r="AJ304" s="36">
        <f t="shared" ref="AH304:BM304" si="16">AVERAGE(AJ3:AJ303)</f>
        <v>0.94219653179190754</v>
      </c>
      <c r="AK304" s="36">
        <f t="shared" si="16"/>
        <v>0.15028901734104047</v>
      </c>
      <c r="AL304" s="36">
        <f t="shared" si="16"/>
        <v>2.3121387283236993E-2</v>
      </c>
      <c r="AM304" s="36">
        <f t="shared" si="16"/>
        <v>0.24277456647398843</v>
      </c>
      <c r="AN304" s="36">
        <f t="shared" si="16"/>
        <v>2.6589595375722541</v>
      </c>
      <c r="AO304" s="36">
        <f t="shared" si="16"/>
        <v>0.50289017341040465</v>
      </c>
      <c r="AP304" s="60">
        <f>AVERAGE(AP3:AP303)</f>
        <v>0.2832369942196532</v>
      </c>
      <c r="AQ304" s="36">
        <f>AVERAGE(AQ3:AQ303)</f>
        <v>0.10982658959537572</v>
      </c>
      <c r="AR304" s="36">
        <f t="shared" ref="AR304:AT304" si="17">AVERAGE(AR3:AR303)</f>
        <v>6.358381502890173E-2</v>
      </c>
      <c r="AS304" s="36">
        <f t="shared" si="17"/>
        <v>5.7803468208092483E-3</v>
      </c>
      <c r="AT304" s="36">
        <f t="shared" si="17"/>
        <v>0</v>
      </c>
      <c r="AU304" s="6">
        <f>AVERAGE(AU3:AU303)</f>
        <v>0</v>
      </c>
      <c r="AV304" s="36">
        <f>AVERAGE(AV3:AV303)</f>
        <v>0.75</v>
      </c>
      <c r="AW304" s="36">
        <f t="shared" ref="AW304:BB304" si="18">AVERAGE(AW3:AW303)</f>
        <v>0.25</v>
      </c>
      <c r="AX304" s="36">
        <f t="shared" si="18"/>
        <v>0.25</v>
      </c>
      <c r="AY304" s="36">
        <f t="shared" si="18"/>
        <v>0</v>
      </c>
      <c r="AZ304" s="36">
        <f t="shared" si="18"/>
        <v>0</v>
      </c>
      <c r="BA304" s="36">
        <f t="shared" si="18"/>
        <v>1</v>
      </c>
      <c r="BB304" s="36">
        <f t="shared" si="18"/>
        <v>0</v>
      </c>
      <c r="BC304" s="13">
        <f t="shared" si="16"/>
        <v>0</v>
      </c>
      <c r="BD304" s="36">
        <f t="shared" si="16"/>
        <v>0</v>
      </c>
      <c r="BE304" s="36">
        <f t="shared" si="16"/>
        <v>0</v>
      </c>
      <c r="BF304" s="36">
        <f t="shared" si="16"/>
        <v>0</v>
      </c>
      <c r="BG304" s="36">
        <f t="shared" si="16"/>
        <v>0</v>
      </c>
      <c r="BH304" s="59">
        <f>AVERAGE(BH3:BH303)</f>
        <v>0.81818181818181823</v>
      </c>
      <c r="BI304" s="36">
        <f t="shared" si="16"/>
        <v>2.1818181818181817</v>
      </c>
      <c r="BJ304" s="36">
        <f t="shared" si="16"/>
        <v>1.2727272727272727</v>
      </c>
      <c r="BK304" s="36">
        <f t="shared" si="16"/>
        <v>0.27272727272727271</v>
      </c>
      <c r="BL304" s="36">
        <f t="shared" si="16"/>
        <v>0</v>
      </c>
      <c r="BM304" s="36">
        <f t="shared" si="16"/>
        <v>0.81818181818181823</v>
      </c>
      <c r="BN304" s="36">
        <f t="shared" ref="BN304:CG304" si="19">AVERAGE(BN3:BN303)</f>
        <v>2.3636363636363638</v>
      </c>
      <c r="BO304" s="36">
        <f t="shared" si="19"/>
        <v>0.36363636363636365</v>
      </c>
      <c r="BP304" s="60">
        <f t="shared" si="19"/>
        <v>9.0909090909090912E-2</v>
      </c>
      <c r="BQ304" s="36">
        <f t="shared" si="19"/>
        <v>0.18181818181818182</v>
      </c>
      <c r="BR304" s="36">
        <f t="shared" si="19"/>
        <v>0</v>
      </c>
      <c r="BS304" s="36">
        <f t="shared" si="19"/>
        <v>0</v>
      </c>
      <c r="BT304" s="36">
        <f t="shared" si="19"/>
        <v>0</v>
      </c>
      <c r="BU304" s="48">
        <f t="shared" si="19"/>
        <v>0.16666666666666666</v>
      </c>
      <c r="BV304" s="48">
        <f t="shared" si="19"/>
        <v>1.6666666666666667</v>
      </c>
      <c r="BW304" s="48">
        <f t="shared" si="19"/>
        <v>0.66666666666666663</v>
      </c>
      <c r="BX304" s="48">
        <f t="shared" si="19"/>
        <v>0</v>
      </c>
      <c r="BY304" s="48">
        <f t="shared" si="19"/>
        <v>0</v>
      </c>
      <c r="BZ304" s="48">
        <f t="shared" si="19"/>
        <v>0</v>
      </c>
      <c r="CA304" s="48">
        <f t="shared" si="19"/>
        <v>2</v>
      </c>
      <c r="CB304" s="48">
        <f t="shared" si="19"/>
        <v>0.16666666666666666</v>
      </c>
      <c r="CC304" s="13">
        <f t="shared" si="19"/>
        <v>0.33333333333333331</v>
      </c>
      <c r="CD304" s="48">
        <f t="shared" si="19"/>
        <v>0</v>
      </c>
      <c r="CE304" s="48">
        <f t="shared" si="19"/>
        <v>0</v>
      </c>
      <c r="CF304" s="48">
        <f t="shared" si="19"/>
        <v>0</v>
      </c>
      <c r="CG304" s="48">
        <f t="shared" si="19"/>
        <v>0</v>
      </c>
      <c r="CH304" s="35"/>
      <c r="CI304" s="35"/>
      <c r="CJ304" s="35"/>
      <c r="CK304" s="35"/>
      <c r="CL304" s="35"/>
      <c r="CM304" s="35"/>
      <c r="CN304" s="35"/>
      <c r="CO304" s="35"/>
      <c r="CP304" s="35"/>
      <c r="CQ304" s="35"/>
      <c r="CR304" s="35"/>
      <c r="CS304" s="35"/>
      <c r="CT304" s="35"/>
      <c r="CU304" s="35"/>
      <c r="CV304" s="35"/>
      <c r="CW304" s="35"/>
      <c r="CX304" s="35"/>
      <c r="CY304" s="35"/>
      <c r="CZ304" s="35"/>
      <c r="DA304" s="35"/>
      <c r="DB304" s="35"/>
      <c r="DC304" s="35"/>
      <c r="DD304" s="35"/>
      <c r="DE304" s="35"/>
      <c r="DF304" s="35"/>
      <c r="DG304" s="35"/>
      <c r="DH304" s="35"/>
      <c r="DI304" s="35"/>
      <c r="DJ304" s="35"/>
      <c r="DK304" s="35"/>
      <c r="DL304" s="35"/>
      <c r="DM304" s="35"/>
      <c r="DN304" s="35"/>
      <c r="DO304" s="35"/>
      <c r="DP304" s="35"/>
      <c r="DQ304" s="35"/>
      <c r="DR304" s="35"/>
      <c r="DS304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I18" sqref="I18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474" t="s">
        <v>1101</v>
      </c>
      <c r="CK1" s="3474"/>
      <c r="CL1" s="3474"/>
      <c r="CM1" s="3474"/>
      <c r="CN1" s="3474"/>
      <c r="CO1" s="3474"/>
      <c r="CP1" s="3469" t="s">
        <v>1112</v>
      </c>
      <c r="CQ1" s="3470"/>
      <c r="CR1" s="3470"/>
      <c r="CS1" s="3470"/>
      <c r="CT1" s="3470"/>
      <c r="CU1" s="3470"/>
      <c r="CV1" s="3473" t="s">
        <v>1102</v>
      </c>
      <c r="CW1" s="3473"/>
      <c r="CX1" s="3473"/>
      <c r="CY1" s="3473"/>
      <c r="CZ1" s="3473"/>
      <c r="DA1" s="3473"/>
      <c r="DB1" s="3466" t="s">
        <v>1103</v>
      </c>
      <c r="DC1" s="3466"/>
      <c r="DD1" s="3466"/>
      <c r="DE1" s="3466"/>
      <c r="DF1" s="3466"/>
      <c r="DG1" s="3466"/>
      <c r="DH1" s="3473" t="s">
        <v>1105</v>
      </c>
      <c r="DI1" s="3473"/>
      <c r="DJ1" s="3473"/>
      <c r="DK1" s="3473"/>
      <c r="DL1" s="3473"/>
      <c r="DM1" s="3473"/>
      <c r="DN1" s="3471" t="s">
        <v>997</v>
      </c>
      <c r="DO1" s="3471"/>
      <c r="DP1" s="3471"/>
      <c r="DQ1" s="3471"/>
      <c r="DR1" s="3471"/>
      <c r="DS1" s="3471"/>
      <c r="DT1" s="3471" t="s">
        <v>998</v>
      </c>
      <c r="DU1" s="3471"/>
      <c r="DV1" s="3471"/>
      <c r="DW1" s="3471"/>
      <c r="DX1" s="3471"/>
      <c r="DY1" s="3471"/>
    </row>
    <row r="2" spans="1:129" x14ac:dyDescent="0.25">
      <c r="A2" s="44" t="s">
        <v>1107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3449" t="e">
        <f>_xlfn.AGGREGATE(1,6,CJ2:CO2)</f>
        <v>#DIV/0!</v>
      </c>
      <c r="CK3" s="3449"/>
      <c r="CL3" s="3449"/>
      <c r="CM3" s="3449"/>
      <c r="CN3" s="3449"/>
      <c r="CO3" s="3449"/>
      <c r="CP3" s="3449">
        <f t="shared" ref="CP3" si="1">_xlfn.AGGREGATE(1,6,CP2:CU2)</f>
        <v>1.4500000000000002</v>
      </c>
      <c r="CQ3" s="3449"/>
      <c r="CR3" s="3449"/>
      <c r="CS3" s="3449"/>
      <c r="CT3" s="3449"/>
      <c r="CU3" s="3449"/>
      <c r="CV3" s="3449" t="e">
        <f t="shared" ref="CV3" si="2">_xlfn.AGGREGATE(1,6,CV2:DA2)</f>
        <v>#DIV/0!</v>
      </c>
      <c r="CW3" s="3449"/>
      <c r="CX3" s="3449"/>
      <c r="CY3" s="3449"/>
      <c r="CZ3" s="3449"/>
      <c r="DA3" s="3449"/>
      <c r="DB3" s="3449" t="e">
        <f t="shared" ref="DB3" si="3">_xlfn.AGGREGATE(1,6,DB2:DG2)</f>
        <v>#DIV/0!</v>
      </c>
      <c r="DC3" s="3449"/>
      <c r="DD3" s="3449"/>
      <c r="DE3" s="3449"/>
      <c r="DF3" s="3449"/>
      <c r="DG3" s="3449"/>
      <c r="DH3" s="3449" t="e">
        <f t="shared" ref="DH3" si="4">_xlfn.AGGREGATE(1,6,DH2:DM2)</f>
        <v>#DIV/0!</v>
      </c>
      <c r="DI3" s="3449"/>
      <c r="DJ3" s="3449"/>
      <c r="DK3" s="3449"/>
      <c r="DL3" s="3449"/>
      <c r="DM3" s="3449"/>
      <c r="DN3" s="3449" t="e">
        <f t="shared" ref="DN3" si="5">_xlfn.AGGREGATE(1,6,DN2:DS2)</f>
        <v>#DIV/0!</v>
      </c>
      <c r="DO3" s="3449"/>
      <c r="DP3" s="3449"/>
      <c r="DQ3" s="3449"/>
      <c r="DR3" s="3449"/>
      <c r="DS3" s="3449"/>
      <c r="DT3" s="3449" t="e">
        <f t="shared" ref="DT3" si="6">_xlfn.AGGREGATE(1,6,DT2:DY2)</f>
        <v>#DIV/0!</v>
      </c>
      <c r="DU3" s="3449"/>
      <c r="DV3" s="3449"/>
      <c r="DW3" s="3449"/>
      <c r="DX3" s="3449"/>
      <c r="DY3" s="3449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3466" t="s">
        <v>1100</v>
      </c>
      <c r="CK4" s="3466"/>
      <c r="CL4" s="3466"/>
      <c r="CM4" s="3466"/>
      <c r="CN4" s="3466"/>
      <c r="CO4" s="3466"/>
      <c r="CP4" s="3470" t="s">
        <v>993</v>
      </c>
      <c r="CQ4" s="3470"/>
      <c r="CR4" s="3470"/>
      <c r="CS4" s="3470"/>
      <c r="CT4" s="3470"/>
      <c r="CU4" s="3470"/>
      <c r="CV4" s="3471" t="s">
        <v>994</v>
      </c>
      <c r="CW4" s="3471"/>
      <c r="CX4" s="3471"/>
      <c r="CY4" s="3471"/>
      <c r="CZ4" s="3471"/>
      <c r="DA4" s="3471"/>
      <c r="DB4" s="3466" t="s">
        <v>1104</v>
      </c>
      <c r="DC4" s="3466"/>
      <c r="DD4" s="3466"/>
      <c r="DE4" s="3466"/>
      <c r="DF4" s="3466"/>
      <c r="DG4" s="3466"/>
      <c r="DH4" s="3471" t="s">
        <v>996</v>
      </c>
      <c r="DI4" s="3471"/>
      <c r="DJ4" s="3471"/>
      <c r="DK4" s="3471"/>
      <c r="DL4" s="3471"/>
      <c r="DM4" s="3471"/>
      <c r="DN4" s="3472" t="s">
        <v>1106</v>
      </c>
      <c r="DO4" s="3471"/>
      <c r="DP4" s="3471"/>
      <c r="DQ4" s="3471"/>
      <c r="DR4" s="3471"/>
      <c r="DS4" s="3471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2025-11-29T19:52:40Z</dcterms:modified>
</cp:coreProperties>
</file>