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49B85B8C-5676-4A99-856F-2A71A25DD3D5}" xr6:coauthVersionLast="45" xr6:coauthVersionMax="47" xr10:uidLastSave="{00000000-0000-0000-0000-000000000000}"/>
  <bookViews>
    <workbookView xWindow="-120" yWindow="-120" windowWidth="29040" windowHeight="15720" firstSheet="8" activeTab="15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" i="18" l="1"/>
  <c r="D4" i="18"/>
  <c r="B4" i="18"/>
  <c r="C6" i="16"/>
  <c r="D6" i="16"/>
  <c r="B6" i="16"/>
  <c r="B4" i="15"/>
  <c r="CP2" i="16"/>
  <c r="CP2" i="18"/>
  <c r="DM2" i="16" l="1"/>
  <c r="DL2" i="16"/>
  <c r="DK2" i="16"/>
  <c r="DJ2" i="16"/>
  <c r="DI2" i="16"/>
  <c r="DH2" i="16"/>
  <c r="DH3" i="16" s="1"/>
  <c r="DG2" i="16"/>
  <c r="DF2" i="16"/>
  <c r="DE2" i="16"/>
  <c r="DD2" i="16"/>
  <c r="DC2" i="16"/>
  <c r="DB2" i="16"/>
  <c r="DB3" i="16" s="1"/>
  <c r="DA2" i="16"/>
  <c r="CZ2" i="16"/>
  <c r="CY2" i="16"/>
  <c r="CX2" i="16"/>
  <c r="CW2" i="16"/>
  <c r="CV2" i="16"/>
  <c r="CU2" i="16"/>
  <c r="CT2" i="16"/>
  <c r="CP3" i="16" s="1"/>
  <c r="CS2" i="16"/>
  <c r="CR2" i="16"/>
  <c r="CQ2" i="16"/>
  <c r="CO2" i="16"/>
  <c r="CN2" i="16"/>
  <c r="CM2" i="16"/>
  <c r="CL2" i="16"/>
  <c r="CK2" i="16"/>
  <c r="CJ2" i="16"/>
  <c r="CJ3" i="16" s="1"/>
  <c r="DM2" i="18"/>
  <c r="DL2" i="18"/>
  <c r="DK2" i="18"/>
  <c r="DJ2" i="18"/>
  <c r="DI2" i="18"/>
  <c r="DH2" i="18"/>
  <c r="DH3" i="18" s="1"/>
  <c r="DG2" i="18"/>
  <c r="DF2" i="18"/>
  <c r="DE2" i="18"/>
  <c r="DD2" i="18"/>
  <c r="DC2" i="18"/>
  <c r="DB2" i="18"/>
  <c r="DB3" i="18" s="1"/>
  <c r="DA2" i="18"/>
  <c r="CZ2" i="18"/>
  <c r="CY2" i="18"/>
  <c r="CX2" i="18"/>
  <c r="CW2" i="18"/>
  <c r="CV2" i="18"/>
  <c r="CV3" i="18" s="1"/>
  <c r="CU2" i="18"/>
  <c r="CT2" i="18"/>
  <c r="CS2" i="18"/>
  <c r="CR2" i="18"/>
  <c r="CQ2" i="18"/>
  <c r="CP3" i="18"/>
  <c r="CO2" i="18"/>
  <c r="CJ3" i="18" s="1"/>
  <c r="CN2" i="18"/>
  <c r="CM2" i="18"/>
  <c r="CL2" i="18"/>
  <c r="CK2" i="18"/>
  <c r="CJ2" i="18"/>
  <c r="DM2" i="17"/>
  <c r="DL2" i="17"/>
  <c r="DK2" i="17"/>
  <c r="DJ2" i="17"/>
  <c r="DI2" i="17"/>
  <c r="DH2" i="17"/>
  <c r="DH3" i="17" s="1"/>
  <c r="DG2" i="17"/>
  <c r="DF2" i="17"/>
  <c r="DE2" i="17"/>
  <c r="DD2" i="17"/>
  <c r="DC2" i="17"/>
  <c r="DB2" i="17"/>
  <c r="DB3" i="17" s="1"/>
  <c r="DA2" i="17"/>
  <c r="CZ2" i="17"/>
  <c r="CY2" i="17"/>
  <c r="CX2" i="17"/>
  <c r="CW2" i="17"/>
  <c r="CV2" i="17"/>
  <c r="CV3" i="17" s="1"/>
  <c r="CU2" i="17"/>
  <c r="CT2" i="17"/>
  <c r="CS2" i="17"/>
  <c r="CR2" i="17"/>
  <c r="CQ2" i="17"/>
  <c r="CP2" i="17"/>
  <c r="CO2" i="17"/>
  <c r="CN2" i="17"/>
  <c r="CM2" i="17"/>
  <c r="CL2" i="17"/>
  <c r="CK2" i="17"/>
  <c r="CJ2" i="17"/>
  <c r="N5" i="19"/>
  <c r="J5" i="19"/>
  <c r="Y4" i="19"/>
  <c r="X4" i="19"/>
  <c r="W4" i="19"/>
  <c r="V4" i="19"/>
  <c r="V5" i="19" s="1"/>
  <c r="U4" i="19"/>
  <c r="T4" i="19"/>
  <c r="S4" i="19"/>
  <c r="R4" i="19"/>
  <c r="R5" i="19" s="1"/>
  <c r="Q4" i="19"/>
  <c r="P4" i="19"/>
  <c r="O4" i="19"/>
  <c r="N4" i="19"/>
  <c r="M4" i="19"/>
  <c r="L4" i="19"/>
  <c r="K4" i="19"/>
  <c r="J4" i="19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H332" i="14"/>
  <c r="C332" i="14"/>
  <c r="D332" i="14"/>
  <c r="E332" i="14"/>
  <c r="F332" i="14"/>
  <c r="G332" i="14"/>
  <c r="B332" i="14"/>
  <c r="CV3" i="16" l="1"/>
  <c r="CP3" i="17"/>
  <c r="CJ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H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</calcChain>
</file>

<file path=xl/sharedStrings.xml><?xml version="1.0" encoding="utf-8"?>
<sst xmlns="http://schemas.openxmlformats.org/spreadsheetml/2006/main" count="2680" uniqueCount="1351">
  <si>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</si>
  <si>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</si>
  <si>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</si>
  <si>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</si>
  <si>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</si>
  <si>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</si>
  <si>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</si>
  <si>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</si>
  <si>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</si>
  <si>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</si>
  <si>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</si>
  <si>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</si>
  <si>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</si>
  <si>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</si>
  <si>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</si>
  <si>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</si>
  <si>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</si>
  <si>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</si>
  <si>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</si>
  <si>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</si>
  <si>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</si>
  <si>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</si>
  <si>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</si>
  <si>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</si>
  <si>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</si>
  <si>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</si>
  <si>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</si>
  <si>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</si>
  <si>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</si>
  <si>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</si>
  <si>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</si>
  <si>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</si>
  <si>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</si>
  <si>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</si>
  <si>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</si>
  <si>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</si>
  <si>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</si>
  <si>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</si>
  <si>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</si>
  <si>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</si>
  <si>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</si>
  <si>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</si>
  <si>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</si>
  <si>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</si>
  <si>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</si>
  <si>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</si>
  <si>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</si>
  <si>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</si>
  <si>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</si>
  <si>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</si>
  <si>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</si>
  <si>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</si>
  <si>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</si>
  <si>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</si>
  <si>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</si>
  <si>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</si>
  <si>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</si>
  <si>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</si>
  <si>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</si>
  <si>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</si>
  <si>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</si>
  <si>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</si>
  <si>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</si>
  <si>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</si>
  <si>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</si>
  <si>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</si>
  <si>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</si>
  <si>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</si>
  <si>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</si>
  <si>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</si>
  <si>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</si>
  <si>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</si>
  <si>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</si>
  <si>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</si>
  <si>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</si>
  <si>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</si>
  <si>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</si>
  <si>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</si>
  <si>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</si>
  <si>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</si>
  <si>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</si>
  <si>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</si>
  <si>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</si>
  <si>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</si>
  <si>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</si>
  <si>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</si>
  <si>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</si>
  <si>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</si>
  <si>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</si>
  <si>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</si>
  <si>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</si>
  <si>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</si>
  <si>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</si>
  <si>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</si>
  <si>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</si>
  <si>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</si>
  <si>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</si>
  <si>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</si>
  <si>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</si>
  <si>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</si>
  <si>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</si>
  <si>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</si>
  <si>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</si>
  <si>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</si>
  <si>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</si>
  <si>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</si>
  <si>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</si>
  <si>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</si>
  <si>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</si>
  <si>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</si>
  <si>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</si>
  <si>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</si>
  <si>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</si>
  <si>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</si>
  <si>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</si>
  <si>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</si>
  <si>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</si>
  <si>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</si>
  <si>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</si>
  <si>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</si>
  <si>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</si>
  <si>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</si>
  <si>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</si>
  <si>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</si>
  <si>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</si>
  <si>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</si>
  <si>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</si>
  <si>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</si>
  <si>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</si>
  <si>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</si>
  <si>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</si>
  <si>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</si>
  <si>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</si>
  <si>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</si>
  <si>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</si>
  <si>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</si>
  <si>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</si>
  <si>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</si>
  <si>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</si>
  <si>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</si>
  <si>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</si>
  <si>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</si>
  <si>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</si>
  <si>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</si>
  <si>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</si>
  <si>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</si>
  <si>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</si>
  <si>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</si>
  <si>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</si>
  <si>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</si>
  <si>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</si>
  <si>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</si>
  <si>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</si>
  <si>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</si>
  <si>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</si>
  <si>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</si>
  <si>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</si>
  <si>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</si>
  <si>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</si>
  <si>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</si>
  <si>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</si>
  <si>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</si>
  <si>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</si>
  <si>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</si>
  <si>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</si>
  <si>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</si>
  <si>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</si>
  <si>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</si>
  <si>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</si>
  <si>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</si>
  <si>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</si>
  <si>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</si>
  <si>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</si>
  <si>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</si>
  <si>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</si>
  <si>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</si>
  <si>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</si>
  <si>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</si>
  <si>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</si>
  <si>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</si>
  <si>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</si>
  <si>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</si>
  <si>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</si>
  <si>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</si>
  <si>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</si>
  <si>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</si>
  <si>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</si>
  <si>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</si>
  <si>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</si>
  <si>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</si>
  <si>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</si>
  <si>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</si>
  <si>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</si>
  <si>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</si>
  <si>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</si>
  <si>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</si>
  <si>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</si>
  <si>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</si>
  <si>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</si>
  <si>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</si>
  <si>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</si>
  <si>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</si>
  <si>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</si>
  <si>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</si>
  <si>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</si>
  <si>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</si>
  <si>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</si>
  <si>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</si>
  <si>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</si>
  <si>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</si>
  <si>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</si>
  <si>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</si>
  <si>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</si>
  <si>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</si>
  <si>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</si>
  <si>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</si>
  <si>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</si>
  <si>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</si>
  <si>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</si>
  <si>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</si>
  <si>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</si>
  <si>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</si>
  <si>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</si>
  <si>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</si>
  <si>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</si>
  <si>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</si>
  <si>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</si>
  <si>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</si>
  <si>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</si>
  <si>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</si>
  <si>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</si>
  <si>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</si>
  <si>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</si>
  <si>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</si>
  <si>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</si>
  <si>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</si>
  <si>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</si>
  <si>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</si>
  <si>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</si>
  <si>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</si>
  <si>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</si>
  <si>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</si>
  <si>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</si>
  <si>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</si>
  <si>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</si>
  <si>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</si>
  <si>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</si>
  <si>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</si>
  <si>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</si>
  <si>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</si>
  <si>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</si>
  <si>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</si>
  <si>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</si>
  <si>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</si>
  <si>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</si>
  <si>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</si>
  <si>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</si>
  <si>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</si>
  <si>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</si>
  <si>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</si>
  <si>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</si>
  <si>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</si>
  <si>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</si>
  <si>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</si>
  <si>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</si>
  <si>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</si>
  <si>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</si>
  <si>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</si>
  <si>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</si>
  <si>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</si>
  <si>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</si>
  <si>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</si>
  <si>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</si>
  <si>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</si>
  <si>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</si>
  <si>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</si>
  <si>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</si>
  <si>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</si>
  <si>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</si>
  <si>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</si>
  <si>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</si>
  <si>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</si>
  <si>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</si>
  <si>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</si>
  <si>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</si>
  <si>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</si>
  <si>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</si>
  <si>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</si>
  <si>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</si>
  <si>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</si>
  <si>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</si>
  <si>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</si>
  <si>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</si>
  <si>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</si>
  <si>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</si>
  <si>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</si>
  <si>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</si>
  <si>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</si>
  <si>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</si>
  <si>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</si>
  <si>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</si>
  <si>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</si>
  <si>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</si>
  <si>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</si>
  <si>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</si>
  <si>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</si>
  <si>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</si>
  <si>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</si>
  <si>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</si>
  <si>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</si>
  <si>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</si>
  <si>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</si>
  <si>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</si>
  <si>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</si>
  <si>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</si>
  <si>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</si>
  <si>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</si>
  <si>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</si>
  <si>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</si>
  <si>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</si>
  <si>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</si>
  <si>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</si>
  <si>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</si>
  <si>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</si>
  <si>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</si>
  <si>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</si>
  <si>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</si>
  <si>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</si>
  <si>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</si>
  <si>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</si>
  <si>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</si>
  <si>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</si>
  <si>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</si>
  <si>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</si>
  <si>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</si>
  <si>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</si>
  <si>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</si>
  <si>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</si>
  <si>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</si>
  <si>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</si>
  <si>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</si>
  <si>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</si>
  <si>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</si>
  <si>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</si>
  <si>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</si>
  <si>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</si>
  <si>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</si>
  <si>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</si>
  <si>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</si>
  <si>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</si>
  <si>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</si>
  <si>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</si>
  <si>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</si>
  <si>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</si>
  <si>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</si>
  <si>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</si>
  <si>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</si>
  <si>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</si>
  <si>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</si>
  <si>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</si>
  <si>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</si>
  <si>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</si>
  <si>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</si>
  <si>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</si>
  <si>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</si>
  <si>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</si>
  <si>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</si>
  <si>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</si>
  <si>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</si>
  <si>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</si>
  <si>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</si>
  <si>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</si>
  <si>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</si>
  <si>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</si>
  <si>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</si>
  <si>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</si>
  <si>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</si>
  <si>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</si>
  <si>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</si>
  <si>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</si>
  <si>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</si>
  <si>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</si>
  <si>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</si>
  <si>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</si>
  <si>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</si>
  <si>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</si>
  <si>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</si>
  <si>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</si>
  <si>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</si>
  <si>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</si>
  <si>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</si>
  <si>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</si>
  <si>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</si>
  <si>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</si>
  <si>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</si>
  <si>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</si>
  <si>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</si>
  <si>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</si>
  <si>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</si>
  <si>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</si>
  <si>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</si>
  <si>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</si>
  <si>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</si>
  <si>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</si>
  <si>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</si>
  <si>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</si>
  <si>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</si>
  <si>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</si>
  <si>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</si>
  <si>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</si>
  <si>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</si>
  <si>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</si>
  <si>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</si>
  <si>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</si>
  <si>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</si>
  <si>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</si>
  <si>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</si>
  <si>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</si>
  <si>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</si>
  <si>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</si>
  <si>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</si>
  <si>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</si>
  <si>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</si>
  <si>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</si>
  <si>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</si>
  <si>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</si>
  <si>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</si>
  <si>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</si>
  <si>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</si>
  <si>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</si>
  <si>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</si>
  <si>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</si>
  <si>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</si>
  <si>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</si>
  <si>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</si>
  <si>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</si>
  <si>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</si>
  <si>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</si>
  <si>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</si>
  <si>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</si>
  <si>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</si>
  <si>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</si>
  <si>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</si>
  <si>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</si>
  <si>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</si>
  <si>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</si>
  <si>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</si>
  <si>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</si>
  <si>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</si>
  <si>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</si>
  <si>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</si>
  <si>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</si>
  <si>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</si>
  <si>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</si>
  <si>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</si>
  <si>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</si>
  <si>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</si>
  <si>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</si>
  <si>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</si>
  <si>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</si>
  <si>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</si>
  <si>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</si>
  <si>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</si>
  <si>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</si>
  <si>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</si>
  <si>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</si>
  <si>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</si>
  <si>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</si>
  <si>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</si>
  <si>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</si>
  <si>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</si>
  <si>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</si>
  <si>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</si>
  <si>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</si>
  <si>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</si>
  <si>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</si>
  <si>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</si>
  <si>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</si>
  <si>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</si>
  <si>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</si>
  <si>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</si>
  <si>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</si>
  <si>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</si>
  <si>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</si>
  <si>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</si>
  <si>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</si>
  <si>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</si>
  <si>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</si>
  <si>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</si>
  <si>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</si>
  <si>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</si>
  <si>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</si>
  <si>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</si>
  <si>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</si>
  <si>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</si>
  <si>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</si>
  <si>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</si>
  <si>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</si>
  <si>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</si>
  <si>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</si>
  <si>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</si>
  <si>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</si>
  <si>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</si>
  <si>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</si>
  <si>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</si>
  <si>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</si>
  <si>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</si>
  <si>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</si>
  <si>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</si>
  <si>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</si>
  <si>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</si>
  <si>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</si>
  <si>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</si>
  <si>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</si>
  <si>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</si>
  <si>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</si>
  <si>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</si>
  <si>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</si>
  <si>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</si>
  <si>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</si>
  <si>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</si>
  <si>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</si>
  <si>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</si>
  <si>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</si>
  <si>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</si>
  <si>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</si>
  <si>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</si>
  <si>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</si>
  <si>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</si>
  <si>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</si>
  <si>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</si>
  <si>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</si>
  <si>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</si>
  <si>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</si>
  <si>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</si>
  <si>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</si>
  <si>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</si>
  <si>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</si>
  <si>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</si>
  <si>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</si>
  <si>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</si>
  <si>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</si>
  <si>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</si>
  <si>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</si>
  <si>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</si>
  <si>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</si>
  <si>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</si>
  <si>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</si>
  <si>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</si>
  <si>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</si>
  <si>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</si>
  <si>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</si>
  <si>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</si>
  <si>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</si>
  <si>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</si>
  <si>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</si>
  <si>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</si>
  <si>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</si>
  <si>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</si>
  <si>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</si>
  <si>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</si>
  <si>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</si>
  <si>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</si>
  <si>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</si>
  <si>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</si>
  <si>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</si>
  <si>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</si>
  <si>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</si>
  <si>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</si>
  <si>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</si>
  <si>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</si>
  <si>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</si>
  <si>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</si>
  <si>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</si>
  <si>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</si>
  <si>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</si>
  <si>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</si>
  <si>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</si>
  <si>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</si>
  <si>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</si>
  <si>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</si>
  <si>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</si>
  <si>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</si>
  <si>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</si>
  <si>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</si>
  <si>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</si>
  <si>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</si>
  <si>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</si>
  <si>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</si>
  <si>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</si>
  <si>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</si>
  <si>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</si>
  <si>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</si>
  <si>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</si>
  <si>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</si>
  <si>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</si>
  <si>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</si>
  <si>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</si>
  <si>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</si>
  <si>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</si>
  <si>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</si>
  <si>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</si>
  <si>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</si>
  <si>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</si>
  <si>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</si>
  <si>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</si>
  <si>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</si>
  <si>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</si>
  <si>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</si>
  <si>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</si>
  <si>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</si>
  <si>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</si>
  <si>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</si>
  <si>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</si>
  <si>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</si>
  <si>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</si>
  <si>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</si>
  <si>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</si>
  <si>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</si>
  <si>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</si>
  <si>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</si>
  <si>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</si>
  <si>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</si>
  <si>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</si>
  <si>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</si>
  <si>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</si>
  <si>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</si>
  <si>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</si>
  <si>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</si>
  <si>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</si>
  <si>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</si>
  <si>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</si>
  <si>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</si>
  <si>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</si>
  <si>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</si>
  <si>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</si>
  <si>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</si>
  <si>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</si>
  <si>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</si>
  <si>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</si>
  <si>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</si>
  <si>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</si>
  <si>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</si>
  <si>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</si>
  <si>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</si>
  <si>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</si>
  <si>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</si>
  <si>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</si>
  <si>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</si>
  <si>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</si>
  <si>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</si>
  <si>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</si>
  <si>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</si>
  <si>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</si>
  <si>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</si>
  <si>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</si>
  <si>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</si>
  <si>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</si>
  <si>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</si>
  <si>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</si>
  <si>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</si>
  <si>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</si>
  <si>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</si>
  <si>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</si>
  <si>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</si>
  <si>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</si>
  <si>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</si>
  <si>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</si>
  <si>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</si>
  <si>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</si>
  <si>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</si>
  <si>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</si>
  <si>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</si>
  <si>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</si>
  <si>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</si>
  <si>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</si>
  <si>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</si>
  <si>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</si>
  <si>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</si>
  <si>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</si>
  <si>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</si>
  <si>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</si>
  <si>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</si>
  <si>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</si>
  <si>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</si>
  <si>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</si>
  <si>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</si>
  <si>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</si>
  <si>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</si>
  <si>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</si>
  <si>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</si>
  <si>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</si>
  <si>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</si>
  <si>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</si>
  <si>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</si>
  <si>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</si>
  <si>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</si>
  <si>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</si>
  <si>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</si>
  <si>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</si>
  <si>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</si>
  <si>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</si>
  <si>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</si>
  <si>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</si>
  <si>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</si>
  <si>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</si>
  <si>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</si>
  <si>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</si>
  <si>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</si>
  <si>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</si>
  <si>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</si>
  <si>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</si>
  <si>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</si>
  <si>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</si>
  <si>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</si>
  <si>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</si>
  <si>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</si>
  <si>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</si>
  <si>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</si>
  <si>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</si>
  <si>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</si>
  <si>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</si>
  <si>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</si>
  <si>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</si>
  <si>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</si>
  <si>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</si>
  <si>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</si>
  <si>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</si>
  <si>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</si>
  <si>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</si>
  <si>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</si>
  <si>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</si>
  <si>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</si>
  <si>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</si>
  <si>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</si>
  <si>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</si>
  <si>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</si>
  <si>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</si>
  <si>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</si>
  <si>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</si>
  <si>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</si>
  <si>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</si>
  <si>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</si>
  <si>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</si>
  <si>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</si>
  <si>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</si>
  <si>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</si>
  <si>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</si>
  <si>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</si>
  <si>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</si>
  <si>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</si>
  <si>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</si>
  <si>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</si>
  <si>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</si>
  <si>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</si>
  <si>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</si>
  <si>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</si>
  <si>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</si>
  <si>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</si>
  <si>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</si>
  <si>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</si>
  <si>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</si>
  <si>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</si>
  <si>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</si>
  <si>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</si>
  <si>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</si>
  <si>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</si>
  <si>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</si>
  <si>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</si>
  <si>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</si>
  <si>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</si>
  <si>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</si>
  <si>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</si>
  <si>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</si>
  <si>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</si>
  <si>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</si>
  <si>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</si>
  <si>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</si>
  <si>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</si>
  <si>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</si>
  <si>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</si>
  <si>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</si>
  <si>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</si>
  <si>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</si>
  <si>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</si>
  <si>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</si>
  <si>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</si>
  <si>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</si>
  <si>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</si>
  <si>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</si>
  <si>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</si>
  <si>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</si>
  <si>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</si>
  <si>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</si>
  <si>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</si>
  <si>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</si>
  <si>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</si>
  <si>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</si>
  <si>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</si>
  <si>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</si>
  <si>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</si>
  <si>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</si>
  <si>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</si>
  <si>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</si>
  <si>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</si>
  <si>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</si>
  <si>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</si>
  <si>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</si>
  <si>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</si>
  <si>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</si>
  <si>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</si>
  <si>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</si>
  <si>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</si>
  <si>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</si>
  <si>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</si>
  <si>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</si>
  <si>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</si>
  <si>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</si>
  <si>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</si>
  <si>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</si>
  <si>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</si>
  <si>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</si>
  <si>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</si>
  <si>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</si>
  <si>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</si>
  <si>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</si>
  <si>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</si>
  <si>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</si>
  <si>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</si>
  <si>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</si>
  <si>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</si>
  <si>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</si>
  <si>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</si>
  <si>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</si>
  <si>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</si>
  <si>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</si>
  <si>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</si>
  <si>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</si>
  <si>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</si>
  <si>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</si>
  <si>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</si>
  <si>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</si>
  <si>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</si>
  <si>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</si>
  <si>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</si>
  <si>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</si>
  <si>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</si>
  <si>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</si>
  <si>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</si>
  <si>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</si>
  <si>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</si>
  <si>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</si>
  <si>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</si>
  <si>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</si>
  <si>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</si>
  <si>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</si>
  <si>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</si>
  <si>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</si>
  <si>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</si>
  <si>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</si>
  <si>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</si>
  <si>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</si>
  <si>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</si>
  <si>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</si>
  <si>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</si>
  <si>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</si>
  <si>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</si>
  <si>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</si>
  <si>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</si>
  <si>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</si>
  <si>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</si>
  <si>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</si>
  <si>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</si>
  <si>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</si>
  <si>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</si>
  <si>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</si>
  <si>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</si>
  <si>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</si>
  <si>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</si>
  <si>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</si>
  <si>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</si>
  <si>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</si>
  <si>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</si>
  <si>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</si>
  <si>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</si>
  <si>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</si>
  <si>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</si>
  <si>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</si>
  <si>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</si>
  <si>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</si>
  <si>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</si>
  <si>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</si>
  <si>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</si>
  <si>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</si>
  <si>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</si>
  <si>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</si>
  <si>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</si>
  <si>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</si>
  <si>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</si>
  <si>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</si>
  <si>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</si>
  <si>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</si>
  <si>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</si>
  <si>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</si>
  <si>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</si>
  <si>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</si>
  <si>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</si>
  <si>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</si>
  <si>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</si>
  <si>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</si>
  <si>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</si>
  <si>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</si>
  <si>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</si>
  <si>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</si>
  <si>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</si>
  <si>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</si>
  <si>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</si>
  <si>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</si>
  <si>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</si>
  <si>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</si>
  <si>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</si>
  <si>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</si>
  <si>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</si>
  <si>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</si>
  <si>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</si>
  <si>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</si>
  <si>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</si>
  <si>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</si>
  <si>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</si>
  <si>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</si>
  <si>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</si>
  <si>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</si>
  <si>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</si>
  <si>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</si>
  <si>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</si>
  <si>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</si>
  <si>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</si>
  <si>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</si>
  <si>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</si>
  <si>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</si>
  <si>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</si>
  <si>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</si>
  <si>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</si>
  <si>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</si>
  <si>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</si>
  <si>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</si>
  <si>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</si>
  <si>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</si>
  <si>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</si>
  <si>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</si>
  <si>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</si>
  <si>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</si>
  <si>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</si>
  <si>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</si>
  <si>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</si>
  <si>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</si>
  <si>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</si>
  <si>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</si>
  <si>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</si>
  <si>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</si>
  <si>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</si>
  <si>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</si>
  <si>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</si>
  <si>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</si>
  <si>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</si>
  <si>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</si>
  <si>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</si>
  <si>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</si>
  <si>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</si>
  <si>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</si>
  <si>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</si>
  <si>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</si>
  <si>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</si>
  <si>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</si>
  <si>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</si>
  <si>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</si>
  <si>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</si>
  <si>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</si>
  <si>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</si>
  <si>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</si>
  <si>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</si>
  <si>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</si>
  <si>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</si>
  <si>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</si>
  <si>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</si>
  <si>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</si>
  <si>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</si>
  <si>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</si>
  <si>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</si>
  <si>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</si>
  <si>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</si>
  <si>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</si>
  <si>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</si>
  <si>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</si>
  <si>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</si>
  <si>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</si>
  <si>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</si>
  <si>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</si>
  <si>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</si>
  <si>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</si>
  <si>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</si>
  <si>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</si>
  <si>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</si>
  <si>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</si>
  <si>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</si>
  <si>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</si>
  <si>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</si>
  <si>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</si>
  <si>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</si>
  <si>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</si>
  <si>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</si>
  <si>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</si>
  <si>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</si>
  <si>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</si>
  <si>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</si>
  <si>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</si>
  <si>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</si>
  <si>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</si>
  <si>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</si>
  <si>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</si>
  <si>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</si>
  <si>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</si>
  <si>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</si>
  <si>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</si>
  <si>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</si>
  <si>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</si>
  <si>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</si>
  <si>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</si>
  <si>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</si>
  <si>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</si>
  <si>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</si>
  <si>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</si>
  <si>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</si>
  <si>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</si>
  <si>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</si>
  <si>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</si>
  <si>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</si>
  <si>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</si>
  <si>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</si>
  <si>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</si>
  <si>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</si>
  <si>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</si>
  <si>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</si>
  <si>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</si>
  <si>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</si>
  <si>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</si>
  <si>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</si>
  <si>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</si>
  <si>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</si>
  <si>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</si>
  <si>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</si>
  <si>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</si>
  <si>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</si>
  <si>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</si>
  <si>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</si>
  <si>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</si>
  <si>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</si>
  <si>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</si>
  <si>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</si>
  <si>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</si>
  <si>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</si>
  <si>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</si>
  <si>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</si>
  <si>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</si>
  <si>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</si>
  <si>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</si>
  <si>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</si>
  <si>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</si>
  <si>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</si>
  <si>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</si>
  <si>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</si>
  <si>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</si>
  <si>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</si>
  <si>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</si>
  <si>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</si>
  <si>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</si>
  <si>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</si>
  <si>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</si>
  <si>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</si>
  <si>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</si>
  <si>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</si>
  <si>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</si>
  <si>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</si>
  <si>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</si>
  <si>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</si>
  <si>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</si>
  <si>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</si>
  <si>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</si>
  <si>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</si>
  <si>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</si>
  <si>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</si>
  <si>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</si>
  <si>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</si>
  <si>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</si>
  <si>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</si>
  <si>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</si>
  <si>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</si>
  <si>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</si>
  <si>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</si>
  <si>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</si>
  <si>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</si>
  <si>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</si>
  <si>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</si>
  <si>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</si>
  <si>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</si>
  <si>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</si>
  <si>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</si>
  <si>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</si>
  <si>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</si>
  <si>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</si>
  <si>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</si>
  <si>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</si>
  <si>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</si>
  <si>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</si>
  <si>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</si>
  <si>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</si>
  <si>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</si>
  <si>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</si>
  <si>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</si>
  <si>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</si>
  <si>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</si>
  <si>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</si>
  <si>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</si>
  <si>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</si>
  <si>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</si>
  <si>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</si>
  <si>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</si>
  <si>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</si>
  <si>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</si>
  <si>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</si>
  <si>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</si>
  <si>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</si>
  <si>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</si>
  <si>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</si>
  <si>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</si>
  <si>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</si>
  <si>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</si>
  <si>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</si>
  <si>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</si>
  <si>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</si>
  <si>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</si>
  <si>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</si>
  <si>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</si>
  <si>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</si>
  <si>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</si>
  <si>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</si>
  <si>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</si>
  <si>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</si>
  <si>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</si>
  <si>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</si>
  <si>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</si>
  <si>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</si>
  <si>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</si>
  <si>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</si>
  <si>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</si>
  <si>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</si>
  <si>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</si>
  <si>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</si>
  <si>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</si>
  <si>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</si>
  <si>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</si>
  <si>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</si>
  <si>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</si>
  <si>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</si>
  <si>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</si>
  <si>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</si>
  <si>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</si>
  <si>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</si>
  <si>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</si>
  <si>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</si>
  <si>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</si>
  <si>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</si>
  <si>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</si>
  <si>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</si>
  <si>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</si>
  <si>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</si>
  <si>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</si>
  <si>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</si>
  <si>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</si>
  <si>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</si>
  <si>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</si>
  <si>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</si>
  <si>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</si>
  <si>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</si>
  <si>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</si>
  <si>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</si>
  <si>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</si>
  <si>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</si>
  <si>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</si>
  <si>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</si>
  <si>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</si>
  <si>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</si>
  <si>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</si>
  <si>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</si>
  <si>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</si>
  <si>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</si>
  <si>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</si>
  <si>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</si>
  <si>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</si>
  <si>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</si>
  <si>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</si>
  <si>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</si>
  <si>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</si>
  <si>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</si>
  <si>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</si>
  <si>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</si>
  <si>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</si>
  <si>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</si>
  <si>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</si>
  <si>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</si>
  <si>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</si>
  <si>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</si>
  <si>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</si>
  <si>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</si>
  <si>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</si>
  <si>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</si>
  <si>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</si>
  <si>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</si>
  <si>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</si>
  <si>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</si>
  <si>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</si>
  <si>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</si>
  <si>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</si>
  <si>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</si>
  <si>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</si>
  <si>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</si>
  <si>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</si>
  <si>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</si>
  <si>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</si>
  <si>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</si>
  <si>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</si>
  <si>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</si>
  <si>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</si>
  <si>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</si>
  <si>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</si>
  <si>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</si>
  <si>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</si>
  <si>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</si>
  <si>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</si>
  <si>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</si>
  <si>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</si>
  <si>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</si>
  <si>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</si>
  <si>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</si>
  <si>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</si>
  <si>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</si>
  <si>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</si>
  <si>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</si>
  <si>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</si>
  <si>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</si>
  <si>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</si>
  <si>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</si>
  <si>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</si>
  <si>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</si>
  <si>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</si>
  <si>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</si>
  <si>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</si>
  <si>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</si>
  <si>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</si>
  <si>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</si>
  <si>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</si>
  <si>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</si>
  <si>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</si>
  <si>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</si>
  <si>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</si>
  <si>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</si>
  <si>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</si>
  <si>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</si>
  <si>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</si>
  <si>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</si>
  <si>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</si>
  <si>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</si>
  <si>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</si>
  <si>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</si>
  <si>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</si>
  <si>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</si>
  <si>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</si>
  <si>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</si>
  <si>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</si>
  <si>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</si>
  <si>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</si>
  <si>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</si>
  <si>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</si>
  <si>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</si>
  <si>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</si>
  <si>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</si>
  <si>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</si>
  <si>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</si>
  <si>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</si>
  <si>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</si>
  <si>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</si>
  <si>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</si>
  <si>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</si>
  <si>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</si>
  <si>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</si>
  <si>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</si>
  <si>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</si>
  <si>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</si>
  <si>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</si>
  <si>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</si>
  <si>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</si>
  <si>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</si>
  <si>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</si>
  <si>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</si>
  <si>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</si>
  <si>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</si>
  <si>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</si>
  <si>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</si>
  <si>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</si>
  <si>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</si>
  <si>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</si>
  <si>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</si>
  <si>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</si>
  <si>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</si>
  <si>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</si>
  <si>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</si>
  <si>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</si>
  <si>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</si>
  <si>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</si>
  <si>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</si>
  <si>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</si>
  <si>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</si>
  <si>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</si>
  <si>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</si>
  <si>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</si>
  <si>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</si>
  <si>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</si>
  <si>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</si>
  <si>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</si>
  <si>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</si>
  <si>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</si>
  <si>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</si>
  <si>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</si>
  <si>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</si>
  <si>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</si>
  <si>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</si>
  <si>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</si>
  <si>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</si>
  <si>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</si>
  <si>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</si>
  <si>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</si>
  <si>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</si>
  <si>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INFERNO (1/0/0)</t>
  </si>
  <si>
    <t>2 map (dust)</t>
  </si>
  <si>
    <t>DUST (1/0/0)</t>
  </si>
  <si>
    <t>NUKE (1/0/0)</t>
  </si>
  <si>
    <t>inferno (0)</t>
  </si>
  <si>
    <t>nuke (0)</t>
  </si>
  <si>
    <t>OVERPASS (0)</t>
  </si>
  <si>
    <t>vertigo (0)</t>
  </si>
  <si>
    <t>MIRAGE (0/0/0)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</si>
</sst>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4197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0" fillId="0" borderId="0" xfId="0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 applyAlignment="1">
      <alignment horizontal="center"/>
    </xf>
    <xf numFmtId="0" fontId="23" fillId="14" borderId="0" xfId="1"/>
    <xf numFmtId="0" fontId="25" fillId="16" borderId="0" xfId="4" applyAlignment="1">
      <alignment horizontal="center"/>
    </xf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4147" t="s">
        <v>0</v>
      </c>
      <c r="C1" s="4148"/>
      <c r="D1" s="4149" t="s">
        <v>1</v>
      </c>
      <c r="E1" s="4148"/>
      <c r="F1" s="4150" t="s">
        <v>177</v>
      </c>
      <c r="G1" s="4148"/>
      <c r="H1" s="4147" t="s">
        <v>174</v>
      </c>
      <c r="I1" s="4148"/>
      <c r="J1" s="4149" t="s">
        <v>175</v>
      </c>
      <c r="K1" s="4148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4151" t="str">
        <f>"Mirage"&amp;" "&amp;H5/SUM(H5:I5)*100</f>
        <v>Mirage 25</v>
      </c>
      <c r="I3" s="4152"/>
      <c r="J3" s="4151" t="str">
        <f>"Inferno"&amp;" "&amp;ROUND(J5/SUM(J5:K5)*100,0)</f>
        <v>Inferno 40</v>
      </c>
      <c r="K3" s="4152"/>
      <c r="L3" s="4151" t="str">
        <f>"Overpass"&amp;" "&amp;ROUND(L5/SUM(L5:M5)*100,0)</f>
        <v>Overpass 67</v>
      </c>
      <c r="M3" s="4152"/>
      <c r="N3" s="4151" t="str">
        <f>"Vertigo"&amp;" "&amp;ROUND(N5/SUM(N5:O5)*100,0)</f>
        <v>Vertigo 80</v>
      </c>
      <c r="O3" s="4152"/>
      <c r="P3" s="4151" t="str">
        <f>"Ancient"&amp;" "&amp;ROUND(P5/SUM(P5:Q5)*100,0)</f>
        <v>Ancient 50</v>
      </c>
      <c r="Q3" s="4152"/>
      <c r="R3" s="4151" t="str">
        <f>"Anubis"&amp;" "&amp;ROUND(R5/SUM(R5:S5)*100,0)</f>
        <v>Anubis 67</v>
      </c>
      <c r="S3" s="4152"/>
      <c r="T3" s="4151" t="str">
        <f>"Dust II"&amp;" "&amp;ROUND(T5/SUM(T5:U5)*100,0)</f>
        <v>Dust II 100</v>
      </c>
      <c r="U3" s="4152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4151" t="s">
        <v>206</v>
      </c>
      <c r="I7" s="4152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4151" t="s">
        <v>373</v>
      </c>
      <c r="G3" s="4152"/>
      <c r="H3" s="4152"/>
      <c r="I3" s="4151" t="s">
        <v>374</v>
      </c>
      <c r="J3" s="4152"/>
      <c r="K3" s="4152"/>
      <c r="L3" s="4151" t="s">
        <v>375</v>
      </c>
      <c r="M3" s="4152"/>
      <c r="N3" s="4152"/>
      <c r="O3" s="4151" t="s">
        <v>376</v>
      </c>
      <c r="P3" s="4152"/>
      <c r="Q3" s="4152"/>
      <c r="R3" s="4151" t="s">
        <v>377</v>
      </c>
      <c r="S3" s="4152"/>
      <c r="T3" s="4151" t="s">
        <v>378</v>
      </c>
      <c r="U3" s="4152"/>
      <c r="V3" s="4151" t="s">
        <v>379</v>
      </c>
      <c r="W3" s="4152"/>
      <c r="X3" s="4152"/>
      <c r="Y3" s="4151" t="s">
        <v>380</v>
      </c>
      <c r="Z3" s="4152"/>
      <c r="AA3" s="4152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4147" t="s">
        <v>641</v>
      </c>
      <c r="B1" s="4153"/>
      <c r="C1" s="4153"/>
      <c r="D1" s="4148"/>
      <c r="E1" s="4149" t="s">
        <v>642</v>
      </c>
      <c r="F1" s="4153"/>
      <c r="G1" s="4153"/>
      <c r="H1" s="4153"/>
      <c r="I1" s="4153"/>
      <c r="J1" s="4148"/>
      <c r="K1" s="4150" t="s">
        <v>643</v>
      </c>
      <c r="L1" s="4153"/>
      <c r="M1" s="4153"/>
      <c r="N1" s="4148"/>
      <c r="O1" s="4154" t="s">
        <v>644</v>
      </c>
      <c r="P1" s="4155"/>
      <c r="Q1" s="4155"/>
      <c r="R1" s="4155"/>
      <c r="S1" s="4156"/>
      <c r="T1" s="4157" t="s">
        <v>645</v>
      </c>
      <c r="U1" s="4158"/>
      <c r="V1" s="4158"/>
      <c r="W1" s="4158"/>
      <c r="X1" s="4159"/>
      <c r="Y1" s="4160" t="s">
        <v>646</v>
      </c>
      <c r="Z1" s="4161"/>
      <c r="AA1" s="4161"/>
      <c r="AB1" s="4162"/>
      <c r="AC1" s="4163" t="s">
        <v>647</v>
      </c>
      <c r="AD1" s="4153"/>
      <c r="AE1" s="4153"/>
      <c r="AF1" s="4153"/>
      <c r="AG1" s="4148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4151" t="s">
        <v>651</v>
      </c>
      <c r="B8" s="4152"/>
      <c r="C8" s="4152"/>
      <c r="D8" s="4152"/>
      <c r="E8" s="4152"/>
      <c r="F8" s="4152"/>
      <c r="G8" s="4152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4164" t="s">
        <v>710</v>
      </c>
      <c r="C20" s="4165"/>
      <c r="D20" s="4165"/>
      <c r="E20" s="4165"/>
      <c r="F20" s="4165"/>
      <c r="G20" s="4165"/>
      <c r="H20" s="4166"/>
    </row>
    <row r="21" spans="1:13" ht="15.75" customHeight="1" x14ac:dyDescent="0.25"/>
    <row r="22" spans="1:13" ht="15.75" customHeight="1" x14ac:dyDescent="0.25">
      <c r="A22" s="4164" t="s">
        <v>711</v>
      </c>
      <c r="B22" s="4165"/>
      <c r="C22" s="4166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topLeftCell="W1" workbookViewId="0">
      <pane ySplit="1" topLeftCell="A2" activePane="bottomLeft" state="frozen"/>
      <selection pane="bottomLeft" activeCell="AS4" sqref="AS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4168" t="s">
        <v>1293</v>
      </c>
      <c r="I3" s="4169"/>
      <c r="J3" s="4169"/>
      <c r="K3" s="4169"/>
      <c r="L3" s="4170" t="s">
        <v>1322</v>
      </c>
      <c r="M3" s="4171"/>
      <c r="N3" s="4171"/>
      <c r="O3" s="4171"/>
      <c r="P3" s="4172" t="s">
        <v>944</v>
      </c>
      <c r="Q3" s="4173"/>
      <c r="R3" s="4173"/>
      <c r="S3" s="4173"/>
      <c r="T3" s="4174" t="s">
        <v>941</v>
      </c>
      <c r="U3" s="4152"/>
      <c r="V3" s="4152"/>
      <c r="W3" s="4152"/>
      <c r="X3" s="4175" t="s">
        <v>1324</v>
      </c>
      <c r="Y3" s="4152"/>
      <c r="Z3" s="4152"/>
      <c r="AA3" s="4152"/>
      <c r="AB3" s="4176" t="s">
        <v>1289</v>
      </c>
      <c r="AC3" s="4152"/>
      <c r="AD3" s="4152"/>
      <c r="AE3" s="4152"/>
      <c r="AF3" s="4172" t="s">
        <v>1029</v>
      </c>
      <c r="AG3" s="4172"/>
      <c r="AH3" s="4172"/>
      <c r="AI3" s="4172"/>
      <c r="AJ3" s="4172" t="s">
        <v>1030</v>
      </c>
      <c r="AK3" s="4172"/>
      <c r="AL3" s="4172"/>
      <c r="AM3" s="4172"/>
      <c r="AN3" s="4170" t="s">
        <v>1231</v>
      </c>
      <c r="AO3" s="4170"/>
      <c r="AP3" s="4170"/>
      <c r="AQ3" s="4170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4167">
        <f>AVERAGE(H4:I4)</f>
        <v>1.0193362533692722</v>
      </c>
      <c r="I5" s="4167"/>
      <c r="J5" s="4167"/>
      <c r="K5" s="4167"/>
      <c r="L5" s="4167">
        <f>AVERAGE(L4:M4)</f>
        <v>1.0659129143988122</v>
      </c>
      <c r="M5" s="4167"/>
      <c r="N5" s="4167"/>
      <c r="O5" s="4167"/>
      <c r="P5" s="4167">
        <f>AVERAGE(P4:Q4)</f>
        <v>0.92159926470588238</v>
      </c>
      <c r="Q5" s="4167"/>
      <c r="R5" s="4167"/>
      <c r="S5" s="4167"/>
      <c r="T5" s="4167">
        <f>AVERAGE(T4:U4)</f>
        <v>1.1372058823529412</v>
      </c>
      <c r="U5" s="4167"/>
      <c r="V5" s="4167"/>
      <c r="W5" s="4167"/>
      <c r="X5" s="4167">
        <f>AVERAGE(X4:Y4)</f>
        <v>1.1944506048387096</v>
      </c>
      <c r="Y5" s="4167"/>
      <c r="Z5" s="4167"/>
      <c r="AA5" s="4167"/>
      <c r="AB5" s="4167">
        <f>AVERAGE(AB4:AC4)</f>
        <v>1.0036596218020022</v>
      </c>
      <c r="AC5" s="4167"/>
      <c r="AD5" s="4167"/>
      <c r="AE5" s="4167"/>
      <c r="AF5" s="4167">
        <f>AVERAGE(AF4:AG4)</f>
        <v>0.74166666666666659</v>
      </c>
      <c r="AG5" s="4167"/>
      <c r="AH5" s="4167"/>
      <c r="AI5" s="4167"/>
      <c r="AJ5" s="4167">
        <f>AVERAGE(AJ4:AK4)</f>
        <v>0.75</v>
      </c>
      <c r="AK5" s="4167"/>
      <c r="AL5" s="4167"/>
      <c r="AM5" s="4167"/>
      <c r="AN5" s="4167">
        <f>AVERAGE(AN4:AO4)</f>
        <v>1.4249999999999998</v>
      </c>
      <c r="AO5" s="4167"/>
      <c r="AP5" s="4167"/>
      <c r="AQ5" s="4167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zoomScale="80" workbookViewId="0">
      <pane ySplit="1" topLeftCell="A2" activePane="bottomLeft" state="frozen"/>
      <selection pane="bottomLeft" activeCell="M26" sqref="M26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177" t="s">
        <v>1340</v>
      </c>
      <c r="CK1" s="4177"/>
      <c r="CL1" s="4177"/>
      <c r="CM1" s="4177"/>
      <c r="CN1" s="4177"/>
      <c r="CO1" s="4177"/>
      <c r="CP1" s="4174" t="s">
        <v>1332</v>
      </c>
      <c r="CQ1" s="4174"/>
      <c r="CR1" s="4174"/>
      <c r="CS1" s="4174"/>
      <c r="CT1" s="4174"/>
      <c r="CU1" s="4174"/>
      <c r="CV1" s="4176" t="s">
        <v>1306</v>
      </c>
      <c r="CW1" s="4176"/>
      <c r="CX1" s="4176"/>
      <c r="CY1" s="4176"/>
      <c r="CZ1" s="4176"/>
      <c r="DA1" s="4176"/>
      <c r="DB1" s="4178" t="s">
        <v>1272</v>
      </c>
      <c r="DC1" s="4178"/>
      <c r="DD1" s="4178"/>
      <c r="DE1" s="4178"/>
      <c r="DF1" s="4178"/>
      <c r="DG1" s="4178"/>
      <c r="DH1" s="4176" t="s">
        <v>1333</v>
      </c>
      <c r="DI1" s="4176"/>
      <c r="DJ1" s="4176"/>
      <c r="DK1" s="4176"/>
      <c r="DL1" s="4176"/>
      <c r="DM1" s="4176"/>
      <c r="DN1" s="4174" t="s">
        <v>997</v>
      </c>
      <c r="DO1" s="4174"/>
      <c r="DP1" s="4174"/>
      <c r="DQ1" s="4174"/>
      <c r="DR1" s="4174"/>
      <c r="DS1" s="4174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4151">
        <f>_xlfn.AGGREGATE(1,6,CJ2:CO2)</f>
        <v>1.0302314814814812</v>
      </c>
      <c r="CK3" s="4151"/>
      <c r="CL3" s="4151"/>
      <c r="CM3" s="4151"/>
      <c r="CN3" s="4151"/>
      <c r="CO3" s="4151"/>
      <c r="CP3" s="4151">
        <f t="shared" ref="CP3" si="6">_xlfn.AGGREGATE(1,6,CP2:CU2)</f>
        <v>1.1007646356033451</v>
      </c>
      <c r="CQ3" s="4151"/>
      <c r="CR3" s="4151"/>
      <c r="CS3" s="4151"/>
      <c r="CT3" s="4151"/>
      <c r="CU3" s="4151"/>
      <c r="CV3" s="4151">
        <f t="shared" ref="CV3" si="7">_xlfn.AGGREGATE(1,6,CV2:DA2)</f>
        <v>1.0716666666666665</v>
      </c>
      <c r="CW3" s="4151"/>
      <c r="CX3" s="4151"/>
      <c r="CY3" s="4151"/>
      <c r="CZ3" s="4151"/>
      <c r="DA3" s="4151"/>
      <c r="DB3" s="4151">
        <f t="shared" ref="DB3" si="8">_xlfn.AGGREGATE(1,6,DB2:DG2)</f>
        <v>1.1828888888888889</v>
      </c>
      <c r="DC3" s="4151"/>
      <c r="DD3" s="4151"/>
      <c r="DE3" s="4151"/>
      <c r="DF3" s="4151"/>
      <c r="DG3" s="4151"/>
      <c r="DH3" s="4151">
        <f t="shared" ref="DH3" si="9">_xlfn.AGGREGATE(1,6,DH2:DM2)</f>
        <v>1.1250000000000002</v>
      </c>
      <c r="DI3" s="4151"/>
      <c r="DJ3" s="4151"/>
      <c r="DK3" s="4151"/>
      <c r="DL3" s="4151"/>
      <c r="DM3" s="4151"/>
      <c r="DN3" s="4151" t="e">
        <f t="shared" ref="DN3" si="10">_xlfn.AGGREGATE(1,6,DN2:DS2)</f>
        <v>#DIV/0!</v>
      </c>
      <c r="DO3" s="4151"/>
      <c r="DP3" s="4151"/>
      <c r="DQ3" s="4151"/>
      <c r="DR3" s="4151"/>
      <c r="DS3" s="4151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4176" t="s">
        <v>1303</v>
      </c>
      <c r="CK4" s="4176"/>
      <c r="CL4" s="4176"/>
      <c r="CM4" s="4176"/>
      <c r="CN4" s="4176"/>
      <c r="CO4" s="4176"/>
      <c r="CP4" s="4179" t="s">
        <v>993</v>
      </c>
      <c r="CQ4" s="4179"/>
      <c r="CR4" s="4179"/>
      <c r="CS4" s="4179"/>
      <c r="CT4" s="4179"/>
      <c r="CU4" s="4179"/>
      <c r="CV4" s="4174" t="s">
        <v>994</v>
      </c>
      <c r="CW4" s="4174"/>
      <c r="CX4" s="4174"/>
      <c r="CY4" s="4174"/>
      <c r="CZ4" s="4174"/>
      <c r="DA4" s="4174"/>
      <c r="DB4" s="4176" t="s">
        <v>995</v>
      </c>
      <c r="DC4" s="4176"/>
      <c r="DD4" s="4176"/>
      <c r="DE4" s="4176"/>
      <c r="DF4" s="4176"/>
      <c r="DG4" s="4176"/>
      <c r="DH4" s="4174" t="s">
        <v>996</v>
      </c>
      <c r="DI4" s="4174"/>
      <c r="DJ4" s="4174"/>
      <c r="DK4" s="4174"/>
      <c r="DL4" s="4174"/>
      <c r="DM4" s="4174"/>
      <c r="DN4" s="4178" t="s">
        <v>1308</v>
      </c>
      <c r="DO4" s="4178"/>
      <c r="DP4" s="4178"/>
      <c r="DQ4" s="4178"/>
      <c r="DR4" s="4178"/>
      <c r="DS4" s="4178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4151">
        <f>_xlfn.AGGREGATE(1,6,CJ5:CO5)</f>
        <v>1.098888888888889</v>
      </c>
      <c r="CK6" s="4151"/>
      <c r="CL6" s="4151"/>
      <c r="CM6" s="4151"/>
      <c r="CN6" s="4151"/>
      <c r="CO6" s="4151"/>
      <c r="CP6" s="4151" t="e">
        <f t="shared" ref="CP6" si="17">_xlfn.AGGREGATE(1,6,CP5:CU5)</f>
        <v>#DIV/0!</v>
      </c>
      <c r="CQ6" s="4151"/>
      <c r="CR6" s="4151"/>
      <c r="CS6" s="4151"/>
      <c r="CT6" s="4151"/>
      <c r="CU6" s="4151"/>
      <c r="CV6" s="4151" t="e">
        <f t="shared" ref="CV6" si="18">_xlfn.AGGREGATE(1,6,CV5:DA5)</f>
        <v>#DIV/0!</v>
      </c>
      <c r="CW6" s="4151"/>
      <c r="CX6" s="4151"/>
      <c r="CY6" s="4151"/>
      <c r="CZ6" s="4151"/>
      <c r="DA6" s="4151"/>
      <c r="DB6" s="4151">
        <f t="shared" ref="DB6" si="19">_xlfn.AGGREGATE(1,6,DB5:DG5)</f>
        <v>1.0416666666666667</v>
      </c>
      <c r="DC6" s="4151"/>
      <c r="DD6" s="4151"/>
      <c r="DE6" s="4151"/>
      <c r="DF6" s="4151"/>
      <c r="DG6" s="4151"/>
      <c r="DH6" s="4151" t="e">
        <f t="shared" ref="DH6" si="20">_xlfn.AGGREGATE(1,6,DH5:DM5)</f>
        <v>#DIV/0!</v>
      </c>
      <c r="DI6" s="4151"/>
      <c r="DJ6" s="4151"/>
      <c r="DK6" s="4151"/>
      <c r="DL6" s="4151"/>
      <c r="DM6" s="4151"/>
      <c r="DN6" s="4151">
        <f t="shared" ref="DN6" si="21">_xlfn.AGGREGATE(1,6,DN5:DS5)</f>
        <v>1.0967878787878786</v>
      </c>
      <c r="DO6" s="4151"/>
      <c r="DP6" s="4151"/>
      <c r="DQ6" s="4151"/>
      <c r="DR6" s="4151"/>
      <c r="DS6" s="4151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zoomScale="85" zoomScaleNormal="85" workbookViewId="0">
      <pane ySplit="1" topLeftCell="A152" activePane="bottomLeft" state="frozen"/>
      <selection pane="bottomLeft" activeCell="A163" sqref="A163:G163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4191" t="s">
        <v>1326</v>
      </c>
      <c r="CK1" s="4187"/>
      <c r="CL1" s="4187"/>
      <c r="CM1" s="4187"/>
      <c r="CN1" s="4187"/>
      <c r="CO1" s="4188"/>
      <c r="CP1" s="4183" t="s">
        <v>1338</v>
      </c>
      <c r="CQ1" s="4184"/>
      <c r="CR1" s="4184"/>
      <c r="CS1" s="4184"/>
      <c r="CT1" s="4184"/>
      <c r="CU1" s="4185"/>
      <c r="CV1" s="4191" t="s">
        <v>1313</v>
      </c>
      <c r="CW1" s="4187"/>
      <c r="CX1" s="4187"/>
      <c r="CY1" s="4187"/>
      <c r="CZ1" s="4187"/>
      <c r="DA1" s="4188"/>
      <c r="DB1" s="4192" t="s">
        <v>1336</v>
      </c>
      <c r="DC1" s="4187"/>
      <c r="DD1" s="4187"/>
      <c r="DE1" s="4187"/>
      <c r="DF1" s="4187"/>
      <c r="DG1" s="4188"/>
      <c r="DH1" s="4193" t="s">
        <v>1282</v>
      </c>
      <c r="DI1" s="4194"/>
      <c r="DJ1" s="4194"/>
      <c r="DK1" s="4194"/>
      <c r="DL1" s="4194"/>
      <c r="DM1" s="4195"/>
      <c r="DN1" s="4183" t="s">
        <v>991</v>
      </c>
      <c r="DO1" s="4184"/>
      <c r="DP1" s="4184"/>
      <c r="DQ1" s="4184"/>
      <c r="DR1" s="4184"/>
      <c r="DS1" s="4185"/>
      <c r="DT1" s="4183" t="s">
        <v>992</v>
      </c>
      <c r="DU1" s="4184"/>
      <c r="DV1" s="4184"/>
      <c r="DW1" s="4184"/>
      <c r="DX1" s="4184"/>
      <c r="DY1" s="4185"/>
      <c r="DZ1" s="4180" t="s">
        <v>1121</v>
      </c>
      <c r="EA1" s="4181"/>
      <c r="EB1" s="4181"/>
      <c r="EC1" s="4181"/>
      <c r="ED1" s="4181"/>
      <c r="EE1" s="4182"/>
      <c r="EF1" s="4180" t="s">
        <v>1178</v>
      </c>
      <c r="EG1" s="4181"/>
      <c r="EH1" s="4181"/>
      <c r="EI1" s="4181"/>
      <c r="EJ1" s="4181"/>
      <c r="EK1" s="4182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4151">
        <f>_xlfn.AGGREGATE(1,3,CJ2:CL2)</f>
        <v>1.2020329670329672</v>
      </c>
      <c r="CK3" s="4152"/>
      <c r="CL3" s="4152"/>
      <c r="CM3" s="4152"/>
      <c r="CN3" s="4152"/>
      <c r="CO3" s="4152"/>
      <c r="CP3" s="4151">
        <f>_xlfn.AGGREGATE(1,3,CP2:CR2)</f>
        <v>1.1494795008912657</v>
      </c>
      <c r="CQ3" s="4152"/>
      <c r="CR3" s="4152"/>
      <c r="CS3" s="4152"/>
      <c r="CT3" s="4152"/>
      <c r="CU3" s="4152"/>
      <c r="CV3" s="4151">
        <f>_xlfn.AGGREGATE(1,3,CV2:CX2)</f>
        <v>1.0901058201058202</v>
      </c>
      <c r="CW3" s="4152"/>
      <c r="CX3" s="4152"/>
      <c r="CY3" s="4152"/>
      <c r="CZ3" s="4152"/>
      <c r="DA3" s="4152"/>
      <c r="DB3" s="4151">
        <f>_xlfn.AGGREGATE(1,3,DB2:DD2)</f>
        <v>1.2281853623958889</v>
      </c>
      <c r="DC3" s="4152"/>
      <c r="DD3" s="4152"/>
      <c r="DE3" s="4152"/>
      <c r="DF3" s="4152"/>
      <c r="DG3" s="4152"/>
      <c r="DH3" s="4151">
        <f>_xlfn.AGGREGATE(1,3,DH2:DJ2)</f>
        <v>1.0894419306184009</v>
      </c>
      <c r="DI3" s="4152"/>
      <c r="DJ3" s="4152"/>
      <c r="DK3" s="4152"/>
      <c r="DL3" s="4152"/>
      <c r="DM3" s="4152"/>
      <c r="DN3" s="4151">
        <f t="shared" ref="DN3" si="9">_xlfn.AGGREGATE(1,6,DN2:DS2)</f>
        <v>1.2135555555555557</v>
      </c>
      <c r="DO3" s="4152"/>
      <c r="DP3" s="4152"/>
      <c r="DQ3" s="4152"/>
      <c r="DR3" s="4152"/>
      <c r="DS3" s="4152"/>
      <c r="DT3" s="4151">
        <f>_xlfn.AGGREGATE(1,3,DT2:DV2)</f>
        <v>1.355</v>
      </c>
      <c r="DU3" s="4152"/>
      <c r="DV3" s="4152"/>
      <c r="DW3" s="4152"/>
      <c r="DX3" s="4152"/>
      <c r="DY3" s="4152"/>
      <c r="DZ3" s="4151">
        <f>_xlfn.AGGREGATE(1,3,DZ2:EB2)</f>
        <v>1.0728333333333335</v>
      </c>
      <c r="EA3" s="4152"/>
      <c r="EB3" s="4152"/>
      <c r="EC3" s="4152"/>
      <c r="ED3" s="4152"/>
      <c r="EE3" s="4152"/>
      <c r="EF3" s="4151">
        <f>_xlfn.AGGREGATE(1,3,EF2:EH2)</f>
        <v>0.94666666666666666</v>
      </c>
      <c r="EG3" s="4152"/>
      <c r="EH3" s="4152"/>
      <c r="EI3" s="4152"/>
      <c r="EJ3" s="4152"/>
      <c r="EK3" s="4152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4189" t="s">
        <v>1330</v>
      </c>
      <c r="CK4" s="4184"/>
      <c r="CL4" s="4184"/>
      <c r="CM4" s="4184"/>
      <c r="CN4" s="4184"/>
      <c r="CO4" s="4185"/>
      <c r="CP4" s="4186" t="s">
        <v>1311</v>
      </c>
      <c r="CQ4" s="4187"/>
      <c r="CR4" s="4187"/>
      <c r="CS4" s="4187"/>
      <c r="CT4" s="4187"/>
      <c r="CU4" s="4188"/>
      <c r="CV4" s="4190" t="s">
        <v>1316</v>
      </c>
      <c r="CW4" s="4184"/>
      <c r="CX4" s="4184"/>
      <c r="CY4" s="4184"/>
      <c r="CZ4" s="4184"/>
      <c r="DA4" s="4185"/>
      <c r="DB4" s="4186" t="s">
        <v>1280</v>
      </c>
      <c r="DC4" s="4187"/>
      <c r="DD4" s="4187"/>
      <c r="DE4" s="4187"/>
      <c r="DF4" s="4187"/>
      <c r="DG4" s="4188"/>
      <c r="DH4" s="4183" t="s">
        <v>946</v>
      </c>
      <c r="DI4" s="4184"/>
      <c r="DJ4" s="4184"/>
      <c r="DK4" s="4184"/>
      <c r="DL4" s="4184"/>
      <c r="DM4" s="4185"/>
      <c r="DN4" s="4180" t="s">
        <v>1191</v>
      </c>
      <c r="DO4" s="4181"/>
      <c r="DP4" s="4181"/>
      <c r="DQ4" s="4181"/>
      <c r="DR4" s="4181"/>
      <c r="DS4" s="4182"/>
      <c r="DT4" s="4183" t="s">
        <v>1328</v>
      </c>
      <c r="DU4" s="4184"/>
      <c r="DV4" s="4184"/>
      <c r="DW4" s="4184"/>
      <c r="DX4" s="4184"/>
      <c r="DY4" s="4185"/>
      <c r="DZ4" s="4180" t="s">
        <v>1205</v>
      </c>
      <c r="EA4" s="4181"/>
      <c r="EB4" s="4181"/>
      <c r="EC4" s="4181"/>
      <c r="ED4" s="4181"/>
      <c r="EE4" s="4182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4151">
        <f>_xlfn.AGGREGATE(1,3,CJ5:CL5)</f>
        <v>1.1417748538011698</v>
      </c>
      <c r="CK6" s="4152"/>
      <c r="CL6" s="4152"/>
      <c r="CM6" s="4152"/>
      <c r="CN6" s="4152"/>
      <c r="CO6" s="4152"/>
      <c r="CP6" s="4151">
        <f>_xlfn.AGGREGATE(1,3,CP5:CR5)</f>
        <v>1.2262257187257186</v>
      </c>
      <c r="CQ6" s="4152"/>
      <c r="CR6" s="4152"/>
      <c r="CS6" s="4152"/>
      <c r="CT6" s="4152"/>
      <c r="CU6" s="4152"/>
      <c r="CV6" s="4151">
        <f>_xlfn.AGGREGATE(1,3,CV5:CX5)</f>
        <v>1.1702931473984102</v>
      </c>
      <c r="CW6" s="4152"/>
      <c r="CX6" s="4152"/>
      <c r="CY6" s="4152"/>
      <c r="CZ6" s="4152"/>
      <c r="DA6" s="4152"/>
      <c r="DB6" s="4151">
        <f>_xlfn.AGGREGATE(1,3,DB5:DD5)</f>
        <v>1.2373106060606061</v>
      </c>
      <c r="DC6" s="4152"/>
      <c r="DD6" s="4152"/>
      <c r="DE6" s="4152"/>
      <c r="DF6" s="4152"/>
      <c r="DG6" s="4152"/>
      <c r="DH6" s="4151">
        <f>_xlfn.AGGREGATE(1,3,DH5:DJ5)</f>
        <v>1.1100000000000001</v>
      </c>
      <c r="DI6" s="4152"/>
      <c r="DJ6" s="4152"/>
      <c r="DK6" s="4152"/>
      <c r="DL6" s="4152"/>
      <c r="DM6" s="4152"/>
      <c r="DN6" s="4151">
        <f>_xlfn.AGGREGATE(1,3,DN5:DP5)</f>
        <v>1.0518518518518516</v>
      </c>
      <c r="DO6" s="4152"/>
      <c r="DP6" s="4152"/>
      <c r="DQ6" s="4152"/>
      <c r="DR6" s="4152"/>
      <c r="DS6" s="4152"/>
      <c r="DT6" s="4151">
        <f>_xlfn.AGGREGATE(1,3,DT5:DV5)</f>
        <v>1.2530952380952383</v>
      </c>
      <c r="DU6" s="4152"/>
      <c r="DV6" s="4152"/>
      <c r="DW6" s="4152"/>
      <c r="DX6" s="4152"/>
      <c r="DY6" s="4152"/>
      <c r="DZ6" s="4151">
        <f>_xlfn.AGGREGATE(1,3,DZ5:EB5)</f>
        <v>0.91333333333333344</v>
      </c>
      <c r="EA6" s="4152"/>
      <c r="EB6" s="4152"/>
      <c r="EC6" s="4152"/>
      <c r="ED6" s="4152"/>
      <c r="EE6" s="4152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177" t="s">
        <v>1100</v>
      </c>
      <c r="CK1" s="4177"/>
      <c r="CL1" s="4177"/>
      <c r="CM1" s="4177"/>
      <c r="CN1" s="4177"/>
      <c r="CO1" s="4177"/>
      <c r="CP1" s="4196" t="s">
        <v>1111</v>
      </c>
      <c r="CQ1" s="4179"/>
      <c r="CR1" s="4179"/>
      <c r="CS1" s="4179"/>
      <c r="CT1" s="4179"/>
      <c r="CU1" s="4179"/>
      <c r="CV1" s="4178" t="s">
        <v>1101</v>
      </c>
      <c r="CW1" s="4178"/>
      <c r="CX1" s="4178"/>
      <c r="CY1" s="4178"/>
      <c r="CZ1" s="4178"/>
      <c r="DA1" s="4178"/>
      <c r="DB1" s="4176" t="s">
        <v>1102</v>
      </c>
      <c r="DC1" s="4176"/>
      <c r="DD1" s="4176"/>
      <c r="DE1" s="4176"/>
      <c r="DF1" s="4176"/>
      <c r="DG1" s="4176"/>
      <c r="DH1" s="4178" t="s">
        <v>1104</v>
      </c>
      <c r="DI1" s="4178"/>
      <c r="DJ1" s="4178"/>
      <c r="DK1" s="4178"/>
      <c r="DL1" s="4178"/>
      <c r="DM1" s="4178"/>
      <c r="DN1" s="4174" t="s">
        <v>997</v>
      </c>
      <c r="DO1" s="4174"/>
      <c r="DP1" s="4174"/>
      <c r="DQ1" s="4174"/>
      <c r="DR1" s="4174"/>
      <c r="DS1" s="4174"/>
      <c r="DT1" s="4174" t="s">
        <v>998</v>
      </c>
      <c r="DU1" s="4174"/>
      <c r="DV1" s="4174"/>
      <c r="DW1" s="4174"/>
      <c r="DX1" s="4174"/>
      <c r="DY1" s="4174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4151" t="e">
        <f>_xlfn.AGGREGATE(1,6,CJ2:CO2)</f>
        <v>#DIV/0!</v>
      </c>
      <c r="CK3" s="4151"/>
      <c r="CL3" s="4151"/>
      <c r="CM3" s="4151"/>
      <c r="CN3" s="4151"/>
      <c r="CO3" s="4151"/>
      <c r="CP3" s="4151">
        <f t="shared" ref="CP3" si="1">_xlfn.AGGREGATE(1,6,CP2:CU2)</f>
        <v>1.4500000000000002</v>
      </c>
      <c r="CQ3" s="4151"/>
      <c r="CR3" s="4151"/>
      <c r="CS3" s="4151"/>
      <c r="CT3" s="4151"/>
      <c r="CU3" s="4151"/>
      <c r="CV3" s="4151" t="e">
        <f t="shared" ref="CV3" si="2">_xlfn.AGGREGATE(1,6,CV2:DA2)</f>
        <v>#DIV/0!</v>
      </c>
      <c r="CW3" s="4151"/>
      <c r="CX3" s="4151"/>
      <c r="CY3" s="4151"/>
      <c r="CZ3" s="4151"/>
      <c r="DA3" s="4151"/>
      <c r="DB3" s="4151" t="e">
        <f t="shared" ref="DB3" si="3">_xlfn.AGGREGATE(1,6,DB2:DG2)</f>
        <v>#DIV/0!</v>
      </c>
      <c r="DC3" s="4151"/>
      <c r="DD3" s="4151"/>
      <c r="DE3" s="4151"/>
      <c r="DF3" s="4151"/>
      <c r="DG3" s="4151"/>
      <c r="DH3" s="4151" t="e">
        <f t="shared" ref="DH3" si="4">_xlfn.AGGREGATE(1,6,DH2:DM2)</f>
        <v>#DIV/0!</v>
      </c>
      <c r="DI3" s="4151"/>
      <c r="DJ3" s="4151"/>
      <c r="DK3" s="4151"/>
      <c r="DL3" s="4151"/>
      <c r="DM3" s="4151"/>
      <c r="DN3" s="4151" t="e">
        <f t="shared" ref="DN3" si="5">_xlfn.AGGREGATE(1,6,DN2:DS2)</f>
        <v>#DIV/0!</v>
      </c>
      <c r="DO3" s="4151"/>
      <c r="DP3" s="4151"/>
      <c r="DQ3" s="4151"/>
      <c r="DR3" s="4151"/>
      <c r="DS3" s="4151"/>
      <c r="DT3" s="4151" t="e">
        <f t="shared" ref="DT3" si="6">_xlfn.AGGREGATE(1,6,DT2:DY2)</f>
        <v>#DIV/0!</v>
      </c>
      <c r="DU3" s="4151"/>
      <c r="DV3" s="4151"/>
      <c r="DW3" s="4151"/>
      <c r="DX3" s="4151"/>
      <c r="DY3" s="4151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4176" t="s">
        <v>1099</v>
      </c>
      <c r="CK4" s="4176"/>
      <c r="CL4" s="4176"/>
      <c r="CM4" s="4176"/>
      <c r="CN4" s="4176"/>
      <c r="CO4" s="4176"/>
      <c r="CP4" s="4179" t="s">
        <v>993</v>
      </c>
      <c r="CQ4" s="4179"/>
      <c r="CR4" s="4179"/>
      <c r="CS4" s="4179"/>
      <c r="CT4" s="4179"/>
      <c r="CU4" s="4179"/>
      <c r="CV4" s="4174" t="s">
        <v>994</v>
      </c>
      <c r="CW4" s="4174"/>
      <c r="CX4" s="4174"/>
      <c r="CY4" s="4174"/>
      <c r="CZ4" s="4174"/>
      <c r="DA4" s="4174"/>
      <c r="DB4" s="4176" t="s">
        <v>1103</v>
      </c>
      <c r="DC4" s="4176"/>
      <c r="DD4" s="4176"/>
      <c r="DE4" s="4176"/>
      <c r="DF4" s="4176"/>
      <c r="DG4" s="4176"/>
      <c r="DH4" s="4174" t="s">
        <v>996</v>
      </c>
      <c r="DI4" s="4174"/>
      <c r="DJ4" s="4174"/>
      <c r="DK4" s="4174"/>
      <c r="DL4" s="4174"/>
      <c r="DM4" s="4174"/>
      <c r="DN4" s="4175" t="s">
        <v>1105</v>
      </c>
      <c r="DO4" s="4174"/>
      <c r="DP4" s="4174"/>
      <c r="DQ4" s="4174"/>
      <c r="DR4" s="4174"/>
      <c r="DS4" s="4174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M8"/>
  <sheetViews>
    <sheetView tabSelected="1" workbookViewId="0">
      <selection activeCell="F13" sqref="F13"/>
    </sheetView>
  </sheetViews>
  <sheetFormatPr defaultRowHeight="15" x14ac:dyDescent="0.25"/>
  <cols>
    <col min="1" max="1" width="12.42578125" customWidth="1"/>
  </cols>
  <sheetData>
    <row r="1" spans="1:117" s="3999" customFormat="1" ht="15.75" customHeight="1" x14ac:dyDescent="0.25">
      <c r="B1" s="1" t="s">
        <v>84</v>
      </c>
      <c r="C1" s="1" t="s">
        <v>1</v>
      </c>
      <c r="D1" s="1" t="s">
        <v>183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3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4" t="s">
        <v>5</v>
      </c>
      <c r="S1" s="4" t="s">
        <v>6</v>
      </c>
      <c r="T1" s="4" t="s">
        <v>7</v>
      </c>
      <c r="U1" s="4" t="s">
        <v>8</v>
      </c>
      <c r="V1" s="4" t="s">
        <v>9</v>
      </c>
      <c r="W1" s="4" t="s">
        <v>10</v>
      </c>
      <c r="X1" s="4" t="s">
        <v>11</v>
      </c>
      <c r="Y1" s="4" t="s">
        <v>12</v>
      </c>
      <c r="Z1" s="5" t="s">
        <v>13</v>
      </c>
      <c r="AA1" s="4" t="s">
        <v>14</v>
      </c>
      <c r="AB1" s="4" t="s">
        <v>15</v>
      </c>
      <c r="AC1" s="4" t="s">
        <v>16</v>
      </c>
      <c r="AD1" s="4" t="s">
        <v>17</v>
      </c>
      <c r="AE1" s="8" t="s">
        <v>5</v>
      </c>
      <c r="AF1" s="8" t="s">
        <v>6</v>
      </c>
      <c r="AG1" s="8" t="s">
        <v>7</v>
      </c>
      <c r="AH1" s="8" t="s">
        <v>8</v>
      </c>
      <c r="AI1" s="8" t="s">
        <v>9</v>
      </c>
      <c r="AJ1" s="8" t="s">
        <v>10</v>
      </c>
      <c r="AK1" s="8" t="s">
        <v>11</v>
      </c>
      <c r="AL1" s="8" t="s">
        <v>12</v>
      </c>
      <c r="AM1" s="9" t="s">
        <v>13</v>
      </c>
      <c r="AN1" s="8" t="s">
        <v>14</v>
      </c>
      <c r="AO1" s="8" t="s">
        <v>15</v>
      </c>
      <c r="AP1" s="8" t="s">
        <v>16</v>
      </c>
      <c r="AQ1" s="8" t="s">
        <v>17</v>
      </c>
      <c r="CJ1" s="4177" t="s">
        <v>1344</v>
      </c>
      <c r="CK1" s="4177"/>
      <c r="CL1" s="4177"/>
      <c r="CM1" s="4177"/>
      <c r="CN1" s="4177"/>
      <c r="CO1" s="4177"/>
      <c r="CP1" s="4196" t="s">
        <v>1350</v>
      </c>
      <c r="CQ1" s="4179"/>
      <c r="CR1" s="4179"/>
      <c r="CS1" s="4179"/>
      <c r="CT1" s="4179"/>
      <c r="CU1" s="4179"/>
      <c r="CV1" s="4178" t="s">
        <v>1342</v>
      </c>
      <c r="CW1" s="4178"/>
      <c r="CX1" s="4178"/>
      <c r="CY1" s="4178"/>
      <c r="CZ1" s="4178"/>
      <c r="DA1" s="4178"/>
      <c r="DB1" s="4176" t="s">
        <v>1102</v>
      </c>
      <c r="DC1" s="4176"/>
      <c r="DD1" s="4176"/>
      <c r="DE1" s="4176"/>
      <c r="DF1" s="4176"/>
      <c r="DG1" s="4176"/>
      <c r="DH1" s="4178" t="s">
        <v>1345</v>
      </c>
      <c r="DI1" s="4178"/>
      <c r="DJ1" s="4178"/>
      <c r="DK1" s="4178"/>
      <c r="DL1" s="4178"/>
      <c r="DM1" s="4178"/>
    </row>
    <row r="2" spans="1:117" x14ac:dyDescent="0.25">
      <c r="A2" s="44" t="s">
        <v>1341</v>
      </c>
      <c r="B2" s="44"/>
      <c r="C2" s="44"/>
      <c r="D2" s="44"/>
      <c r="E2" s="4071"/>
      <c r="M2" s="4072"/>
      <c r="R2" s="4073"/>
      <c r="Z2" s="4074"/>
      <c r="AE2" s="4075"/>
      <c r="AM2" s="4076"/>
      <c r="AR2" s="4077"/>
      <c r="AZ2" s="4078"/>
      <c r="BE2" s="4079"/>
      <c r="BM2" s="4080"/>
      <c r="BR2" s="4081"/>
      <c r="BZ2" s="4082"/>
      <c r="CJ2" s="1" t="e">
        <f>AVERAGE(#REF!,B4)</f>
        <v>#REF!</v>
      </c>
      <c r="CK2" s="1" t="e">
        <f>AVERAGE(#REF!,C4)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AVERAGE(#REF!)</f>
        <v>#REF!</v>
      </c>
      <c r="CS2" s="1" t="e">
        <f>AVERAGE(#REF!)</f>
        <v>#REF!</v>
      </c>
      <c r="CT2" s="1" t="e">
        <f>AVERAGE(#REF!)</f>
        <v>#REF!</v>
      </c>
      <c r="CU2" s="1" t="e">
        <f>AVERAGE(#REF!)</f>
        <v>#REF!</v>
      </c>
      <c r="CV2" s="1" t="e">
        <f>AVERAGE(#REF!,B3)</f>
        <v>#REF!</v>
      </c>
      <c r="CW2" s="1" t="e">
        <f>AVERAGE(#REF!,C3)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AVERAGE(#REF!,B5)</f>
        <v>#REF!</v>
      </c>
      <c r="DI2" s="1" t="e">
        <f>AVERAGE(#REF!,C5)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</row>
    <row r="3" spans="1:117" x14ac:dyDescent="0.25">
      <c r="A3" s="4083" t="s">
        <v>372</v>
      </c>
      <c r="B3">
        <v>1.19</v>
      </c>
      <c r="C3">
        <v>1.49</v>
      </c>
      <c r="E3" s="4084">
        <v>0</v>
      </c>
      <c r="F3">
        <v>4</v>
      </c>
      <c r="G3">
        <v>0</v>
      </c>
      <c r="H3">
        <v>1</v>
      </c>
      <c r="I3">
        <v>0</v>
      </c>
      <c r="J3">
        <v>2</v>
      </c>
      <c r="K3">
        <v>1</v>
      </c>
      <c r="L3">
        <v>2</v>
      </c>
      <c r="M3" s="4085">
        <v>0</v>
      </c>
      <c r="N3">
        <v>0</v>
      </c>
      <c r="O3">
        <v>0</v>
      </c>
      <c r="P3">
        <v>0</v>
      </c>
      <c r="Q3">
        <v>0</v>
      </c>
      <c r="R3" s="4086">
        <v>3</v>
      </c>
      <c r="S3">
        <v>1</v>
      </c>
      <c r="T3">
        <v>0</v>
      </c>
      <c r="U3">
        <v>1</v>
      </c>
      <c r="V3">
        <v>0</v>
      </c>
      <c r="W3">
        <v>0</v>
      </c>
      <c r="X3">
        <v>8</v>
      </c>
      <c r="Y3">
        <v>1</v>
      </c>
      <c r="Z3" s="4087">
        <v>0</v>
      </c>
      <c r="AA3">
        <v>0</v>
      </c>
      <c r="AB3">
        <v>0</v>
      </c>
      <c r="AC3">
        <v>0</v>
      </c>
      <c r="AD3">
        <v>0</v>
      </c>
      <c r="AE3" s="4088"/>
      <c r="AM3" s="4089"/>
      <c r="AR3" s="4090"/>
      <c r="AZ3" s="4091"/>
      <c r="BE3" s="4092"/>
      <c r="BM3" s="4093"/>
      <c r="BR3" s="4094"/>
      <c r="BZ3" s="4095"/>
      <c r="CJ3" s="4151" t="e">
        <f>_xlfn.AGGREGATE(1,6,CJ2:CO2)</f>
        <v>#DIV/0!</v>
      </c>
      <c r="CK3" s="4151"/>
      <c r="CL3" s="4151"/>
      <c r="CM3" s="4151"/>
      <c r="CN3" s="4151"/>
      <c r="CO3" s="4151"/>
      <c r="CP3" s="4151" t="e">
        <f t="shared" ref="CP3" si="0">_xlfn.AGGREGATE(1,6,CP2:CU2)</f>
        <v>#DIV/0!</v>
      </c>
      <c r="CQ3" s="4151"/>
      <c r="CR3" s="4151"/>
      <c r="CS3" s="4151"/>
      <c r="CT3" s="4151"/>
      <c r="CU3" s="4151"/>
      <c r="CV3" s="4151" t="e">
        <f t="shared" ref="CV3" si="1">_xlfn.AGGREGATE(1,6,CV2:DA2)</f>
        <v>#DIV/0!</v>
      </c>
      <c r="CW3" s="4151"/>
      <c r="CX3" s="4151"/>
      <c r="CY3" s="4151"/>
      <c r="CZ3" s="4151"/>
      <c r="DA3" s="4151"/>
      <c r="DB3" s="4151" t="e">
        <f t="shared" ref="DB3" si="2">_xlfn.AGGREGATE(1,6,DB2:DG2)</f>
        <v>#DIV/0!</v>
      </c>
      <c r="DC3" s="4151"/>
      <c r="DD3" s="4151"/>
      <c r="DE3" s="4151"/>
      <c r="DF3" s="4151"/>
      <c r="DG3" s="4151"/>
      <c r="DH3" s="4151" t="e">
        <f t="shared" ref="DH3" si="3">_xlfn.AGGREGATE(1,6,DH2:DM2)</f>
        <v>#DIV/0!</v>
      </c>
      <c r="DI3" s="4151"/>
      <c r="DJ3" s="4151"/>
      <c r="DK3" s="4151"/>
      <c r="DL3" s="4151"/>
      <c r="DM3" s="4151"/>
    </row>
    <row r="4" spans="1:117" x14ac:dyDescent="0.25">
      <c r="A4" s="4096" t="s">
        <v>1343</v>
      </c>
      <c r="B4">
        <v>1.5</v>
      </c>
      <c r="C4">
        <v>1.61</v>
      </c>
      <c r="E4" s="4097">
        <v>1</v>
      </c>
      <c r="F4">
        <v>0</v>
      </c>
      <c r="G4">
        <v>0</v>
      </c>
      <c r="H4">
        <v>0</v>
      </c>
      <c r="I4">
        <v>0</v>
      </c>
      <c r="J4">
        <v>1</v>
      </c>
      <c r="K4">
        <v>5</v>
      </c>
      <c r="L4">
        <v>1</v>
      </c>
      <c r="M4" s="4098">
        <v>0</v>
      </c>
      <c r="N4">
        <v>0</v>
      </c>
      <c r="O4">
        <v>0</v>
      </c>
      <c r="P4">
        <v>0</v>
      </c>
      <c r="Q4">
        <v>0</v>
      </c>
      <c r="R4" s="4099">
        <v>0</v>
      </c>
      <c r="S4">
        <v>1</v>
      </c>
      <c r="T4">
        <v>1</v>
      </c>
      <c r="U4">
        <v>1</v>
      </c>
      <c r="V4">
        <v>0</v>
      </c>
      <c r="W4">
        <v>0</v>
      </c>
      <c r="X4">
        <v>3</v>
      </c>
      <c r="Y4">
        <v>0</v>
      </c>
      <c r="Z4" s="4100">
        <v>0</v>
      </c>
      <c r="AA4">
        <v>0</v>
      </c>
      <c r="AB4">
        <v>0</v>
      </c>
      <c r="AC4">
        <v>0</v>
      </c>
      <c r="AD4">
        <v>0</v>
      </c>
      <c r="AE4" s="4101"/>
      <c r="AM4" s="4102"/>
      <c r="AR4" s="4103"/>
      <c r="AZ4" s="4104"/>
      <c r="BE4" s="4105"/>
      <c r="BM4" s="4106"/>
      <c r="BR4" s="4107"/>
      <c r="BZ4" s="4108"/>
    </row>
    <row r="5" spans="1:117" x14ac:dyDescent="0.25">
      <c r="A5" s="4109" t="s">
        <v>716</v>
      </c>
      <c r="B5">
        <v>1.05</v>
      </c>
      <c r="C5">
        <v>1.17</v>
      </c>
      <c r="E5" s="4110">
        <v>0</v>
      </c>
      <c r="F5">
        <v>1</v>
      </c>
      <c r="G5">
        <v>1</v>
      </c>
      <c r="H5">
        <v>0</v>
      </c>
      <c r="I5">
        <v>0</v>
      </c>
      <c r="J5">
        <v>0</v>
      </c>
      <c r="K5">
        <v>1</v>
      </c>
      <c r="L5">
        <v>2</v>
      </c>
      <c r="M5" s="4111">
        <v>0</v>
      </c>
      <c r="N5">
        <v>0</v>
      </c>
      <c r="O5">
        <v>0</v>
      </c>
      <c r="P5">
        <v>0</v>
      </c>
      <c r="Q5">
        <v>0</v>
      </c>
      <c r="R5" s="4112">
        <v>0</v>
      </c>
      <c r="S5">
        <v>1</v>
      </c>
      <c r="T5">
        <v>0</v>
      </c>
      <c r="U5">
        <v>0</v>
      </c>
      <c r="V5">
        <v>0</v>
      </c>
      <c r="W5">
        <v>0</v>
      </c>
      <c r="X5">
        <v>2</v>
      </c>
      <c r="Y5">
        <v>0</v>
      </c>
      <c r="Z5" s="4113">
        <v>0</v>
      </c>
      <c r="AA5">
        <v>0</v>
      </c>
      <c r="AB5">
        <v>0</v>
      </c>
      <c r="AC5">
        <v>0</v>
      </c>
      <c r="AD5">
        <v>0</v>
      </c>
      <c r="AE5" s="4114"/>
      <c r="AM5" s="4115"/>
      <c r="AR5" s="4116"/>
      <c r="AZ5" s="4117"/>
      <c r="BE5" s="4118"/>
      <c r="BM5" s="4119"/>
      <c r="BR5" s="4120"/>
      <c r="BZ5" s="4121"/>
    </row>
    <row r="6" spans="1:117" x14ac:dyDescent="0.25">
      <c r="B6" s="4070">
        <f>AVERAGE(B3:B5)</f>
        <v>1.2466666666666668</v>
      </c>
      <c r="C6" s="4070">
        <f t="shared" ref="C6:D6" si="4">AVERAGE(C3:C5)</f>
        <v>1.4233333333333331</v>
      </c>
      <c r="D6" s="4070" t="e">
        <f t="shared" si="4"/>
        <v>#DIV/0!</v>
      </c>
    </row>
    <row r="8" spans="1:117" x14ac:dyDescent="0.25">
      <c r="CJ8" s="4176" t="s">
        <v>1099</v>
      </c>
      <c r="CK8" s="4176"/>
      <c r="CL8" s="4176"/>
      <c r="CM8" s="4176"/>
      <c r="CN8" s="4176"/>
      <c r="CO8" s="4176"/>
      <c r="CP8" s="4174" t="s">
        <v>994</v>
      </c>
      <c r="CQ8" s="4174"/>
      <c r="CR8" s="4174"/>
      <c r="CS8" s="4174"/>
      <c r="CT8" s="4174"/>
      <c r="CU8" s="4174"/>
      <c r="CV8" s="4176" t="s">
        <v>1103</v>
      </c>
      <c r="CW8" s="4176"/>
      <c r="CX8" s="4176"/>
      <c r="CY8" s="4176"/>
      <c r="CZ8" s="4176"/>
      <c r="DA8" s="4176"/>
      <c r="DB8" s="4175" t="s">
        <v>1105</v>
      </c>
      <c r="DC8" s="4174"/>
      <c r="DD8" s="4174"/>
      <c r="DE8" s="4174"/>
      <c r="DF8" s="4174"/>
      <c r="DG8" s="4174"/>
      <c r="DH8" s="3999"/>
      <c r="DI8" s="3999"/>
      <c r="DJ8" s="3999"/>
      <c r="DK8" s="3999"/>
      <c r="DL8" s="3999"/>
      <c r="DM8" s="3999"/>
    </row>
  </sheetData>
  <mergeCells count="14">
    <mergeCell ref="DH1:DM1"/>
    <mergeCell ref="CJ3:CO3"/>
    <mergeCell ref="CP3:CU3"/>
    <mergeCell ref="CV3:DA3"/>
    <mergeCell ref="DB3:DG3"/>
    <mergeCell ref="DH3:DM3"/>
    <mergeCell ref="CJ8:CO8"/>
    <mergeCell ref="CP8:CU8"/>
    <mergeCell ref="CV8:DA8"/>
    <mergeCell ref="DB8:DG8"/>
    <mergeCell ref="CJ1:CO1"/>
    <mergeCell ref="CP1:CU1"/>
    <mergeCell ref="CV1:DA1"/>
    <mergeCell ref="DB1:DG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M6"/>
  <sheetViews>
    <sheetView workbookViewId="0">
      <selection activeCell="G15" sqref="G15"/>
    </sheetView>
  </sheetViews>
  <sheetFormatPr defaultRowHeight="15" x14ac:dyDescent="0.25"/>
  <cols>
    <col min="1" max="1" width="12.28515625" customWidth="1"/>
  </cols>
  <sheetData>
    <row r="1" spans="1:117" x14ac:dyDescent="0.25">
      <c r="A1" s="3999"/>
      <c r="B1" s="1" t="s">
        <v>84</v>
      </c>
      <c r="C1" s="1" t="s">
        <v>1</v>
      </c>
      <c r="D1" s="1" t="s">
        <v>183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3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4" t="s">
        <v>5</v>
      </c>
      <c r="S1" s="4" t="s">
        <v>6</v>
      </c>
      <c r="T1" s="4" t="s">
        <v>7</v>
      </c>
      <c r="U1" s="4" t="s">
        <v>8</v>
      </c>
      <c r="V1" s="4" t="s">
        <v>9</v>
      </c>
      <c r="W1" s="4" t="s">
        <v>10</v>
      </c>
      <c r="X1" s="4" t="s">
        <v>11</v>
      </c>
      <c r="Y1" s="4" t="s">
        <v>12</v>
      </c>
      <c r="Z1" s="5" t="s">
        <v>13</v>
      </c>
      <c r="AA1" s="4" t="s">
        <v>14</v>
      </c>
      <c r="AB1" s="4" t="s">
        <v>15</v>
      </c>
      <c r="AC1" s="4" t="s">
        <v>16</v>
      </c>
      <c r="AD1" s="4" t="s">
        <v>17</v>
      </c>
      <c r="AE1" s="8" t="s">
        <v>5</v>
      </c>
      <c r="AF1" s="8" t="s">
        <v>6</v>
      </c>
      <c r="AG1" s="8" t="s">
        <v>7</v>
      </c>
      <c r="AH1" s="8" t="s">
        <v>8</v>
      </c>
      <c r="AI1" s="8" t="s">
        <v>9</v>
      </c>
      <c r="AJ1" s="8" t="s">
        <v>10</v>
      </c>
      <c r="AK1" s="8" t="s">
        <v>11</v>
      </c>
      <c r="AL1" s="8" t="s">
        <v>12</v>
      </c>
      <c r="AM1" s="9" t="s">
        <v>13</v>
      </c>
      <c r="AN1" s="8" t="s">
        <v>14</v>
      </c>
      <c r="AO1" s="8" t="s">
        <v>15</v>
      </c>
      <c r="AP1" s="8" t="s">
        <v>16</v>
      </c>
      <c r="AQ1" s="8" t="s">
        <v>17</v>
      </c>
      <c r="CJ1" s="4177" t="s">
        <v>1100</v>
      </c>
      <c r="CK1" s="4177"/>
      <c r="CL1" s="4177"/>
      <c r="CM1" s="4177"/>
      <c r="CN1" s="4177"/>
      <c r="CO1" s="4177"/>
      <c r="CP1" s="4196" t="s">
        <v>1111</v>
      </c>
      <c r="CQ1" s="4179"/>
      <c r="CR1" s="4179"/>
      <c r="CS1" s="4179"/>
      <c r="CT1" s="4179"/>
      <c r="CU1" s="4179"/>
      <c r="CV1" s="4178" t="s">
        <v>1101</v>
      </c>
      <c r="CW1" s="4178"/>
      <c r="CX1" s="4178"/>
      <c r="CY1" s="4178"/>
      <c r="CZ1" s="4178"/>
      <c r="DA1" s="4178"/>
      <c r="DB1" s="4176" t="s">
        <v>1102</v>
      </c>
      <c r="DC1" s="4176"/>
      <c r="DD1" s="4176"/>
      <c r="DE1" s="4176"/>
      <c r="DF1" s="4176"/>
      <c r="DG1" s="4176"/>
      <c r="DH1" s="4178" t="s">
        <v>1104</v>
      </c>
      <c r="DI1" s="4178"/>
      <c r="DJ1" s="4178"/>
      <c r="DK1" s="4178"/>
      <c r="DL1" s="4178"/>
      <c r="DM1" s="4178"/>
    </row>
    <row r="2" spans="1:117" x14ac:dyDescent="0.25">
      <c r="A2" s="619" t="s">
        <v>1341</v>
      </c>
      <c r="B2" s="619"/>
      <c r="C2" s="619"/>
      <c r="D2" s="619"/>
      <c r="E2" s="4122"/>
      <c r="M2" s="4123"/>
      <c r="R2" s="4124"/>
      <c r="Z2" s="4125"/>
      <c r="AE2" s="4126"/>
      <c r="AM2" s="4127"/>
      <c r="AR2" s="4128"/>
      <c r="AZ2" s="4129"/>
      <c r="BE2" s="4130"/>
      <c r="BM2" s="4131"/>
      <c r="BR2" s="4132"/>
      <c r="BZ2" s="4133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0.93</v>
      </c>
      <c r="CQ2" s="1" t="e">
        <f>AVERAGE(#REF!,C3)</f>
        <v>#REF!</v>
      </c>
      <c r="CR2" s="1" t="e">
        <f>AVERAGE(#REF!)</f>
        <v>#REF!</v>
      </c>
      <c r="CS2" s="1" t="e">
        <f>AVERAGE(#REF!)</f>
        <v>#REF!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</row>
    <row r="3" spans="1:117" x14ac:dyDescent="0.25">
      <c r="A3" s="4134" t="s">
        <v>324</v>
      </c>
      <c r="B3">
        <v>0.93</v>
      </c>
      <c r="C3">
        <v>1.34</v>
      </c>
      <c r="E3" s="4135">
        <v>4</v>
      </c>
      <c r="F3">
        <v>0</v>
      </c>
      <c r="G3">
        <v>1</v>
      </c>
      <c r="H3">
        <v>0</v>
      </c>
      <c r="I3">
        <v>0</v>
      </c>
      <c r="J3">
        <v>0</v>
      </c>
      <c r="K3">
        <v>5</v>
      </c>
      <c r="L3">
        <v>1</v>
      </c>
      <c r="M3" s="4136">
        <v>0</v>
      </c>
      <c r="N3">
        <v>0</v>
      </c>
      <c r="O3">
        <v>0</v>
      </c>
      <c r="P3">
        <v>0</v>
      </c>
      <c r="Q3">
        <v>0</v>
      </c>
      <c r="R3" s="4137">
        <v>1</v>
      </c>
      <c r="S3">
        <v>1</v>
      </c>
      <c r="T3">
        <v>1</v>
      </c>
      <c r="U3">
        <v>0</v>
      </c>
      <c r="V3">
        <v>0</v>
      </c>
      <c r="W3">
        <v>0</v>
      </c>
      <c r="X3">
        <v>3</v>
      </c>
      <c r="Y3">
        <v>0</v>
      </c>
      <c r="Z3" s="4138">
        <v>0</v>
      </c>
      <c r="AA3">
        <v>0</v>
      </c>
      <c r="AB3">
        <v>0</v>
      </c>
      <c r="AC3">
        <v>0</v>
      </c>
      <c r="AD3">
        <v>0</v>
      </c>
      <c r="AE3" s="4139"/>
      <c r="AM3" s="4140"/>
      <c r="AR3" s="4141"/>
      <c r="AZ3" s="4142"/>
      <c r="BE3" s="4143"/>
      <c r="BM3" s="4144"/>
      <c r="BR3" s="4145"/>
      <c r="BZ3" s="4146"/>
      <c r="CJ3" s="4151" t="e">
        <f>_xlfn.AGGREGATE(1,6,CJ2:CO2)</f>
        <v>#DIV/0!</v>
      </c>
      <c r="CK3" s="4151"/>
      <c r="CL3" s="4151"/>
      <c r="CM3" s="4151"/>
      <c r="CN3" s="4151"/>
      <c r="CO3" s="4151"/>
      <c r="CP3" s="4151">
        <f t="shared" ref="CP3" si="0">_xlfn.AGGREGATE(1,6,CP2:CU2)</f>
        <v>0.93</v>
      </c>
      <c r="CQ3" s="4151"/>
      <c r="CR3" s="4151"/>
      <c r="CS3" s="4151"/>
      <c r="CT3" s="4151"/>
      <c r="CU3" s="4151"/>
      <c r="CV3" s="4151" t="e">
        <f t="shared" ref="CV3" si="1">_xlfn.AGGREGATE(1,6,CV2:DA2)</f>
        <v>#DIV/0!</v>
      </c>
      <c r="CW3" s="4151"/>
      <c r="CX3" s="4151"/>
      <c r="CY3" s="4151"/>
      <c r="CZ3" s="4151"/>
      <c r="DA3" s="4151"/>
      <c r="DB3" s="4151" t="e">
        <f t="shared" ref="DB3" si="2">_xlfn.AGGREGATE(1,6,DB2:DG2)</f>
        <v>#DIV/0!</v>
      </c>
      <c r="DC3" s="4151"/>
      <c r="DD3" s="4151"/>
      <c r="DE3" s="4151"/>
      <c r="DF3" s="4151"/>
      <c r="DG3" s="4151"/>
      <c r="DH3" s="4151" t="e">
        <f t="shared" ref="DH3" si="3">_xlfn.AGGREGATE(1,6,DH2:DM2)</f>
        <v>#DIV/0!</v>
      </c>
      <c r="DI3" s="4151"/>
      <c r="DJ3" s="4151"/>
      <c r="DK3" s="4151"/>
      <c r="DL3" s="4151"/>
      <c r="DM3" s="4151"/>
    </row>
    <row r="4" spans="1:117" x14ac:dyDescent="0.25">
      <c r="B4">
        <f>AVERAGE(B3:B3)</f>
        <v>0.93</v>
      </c>
      <c r="C4" s="4070">
        <f t="shared" ref="C4:D4" si="4">AVERAGE(C3:C3)</f>
        <v>1.34</v>
      </c>
      <c r="D4" s="4070" t="e">
        <f t="shared" si="4"/>
        <v>#DIV/0!</v>
      </c>
    </row>
    <row r="6" spans="1:117" x14ac:dyDescent="0.25">
      <c r="CJ6" s="4176" t="s">
        <v>1099</v>
      </c>
      <c r="CK6" s="4176"/>
      <c r="CL6" s="4176"/>
      <c r="CM6" s="4176"/>
      <c r="CN6" s="4176"/>
      <c r="CO6" s="4176"/>
      <c r="CP6" s="4174" t="s">
        <v>994</v>
      </c>
      <c r="CQ6" s="4174"/>
      <c r="CR6" s="4174"/>
      <c r="CS6" s="4174"/>
      <c r="CT6" s="4174"/>
      <c r="CU6" s="4174"/>
      <c r="CV6" s="4176" t="s">
        <v>1103</v>
      </c>
      <c r="CW6" s="4176"/>
      <c r="CX6" s="4176"/>
      <c r="CY6" s="4176"/>
      <c r="CZ6" s="4176"/>
      <c r="DA6" s="4176"/>
      <c r="DB6" s="4175" t="s">
        <v>1105</v>
      </c>
      <c r="DC6" s="4174"/>
      <c r="DD6" s="4174"/>
      <c r="DE6" s="4174"/>
      <c r="DF6" s="4174"/>
      <c r="DG6" s="4174"/>
      <c r="DH6" s="3999"/>
      <c r="DI6" s="3999"/>
      <c r="DJ6" s="3999"/>
      <c r="DK6" s="3999"/>
      <c r="DL6" s="3999"/>
      <c r="DM6" s="3999"/>
    </row>
  </sheetData>
  <mergeCells count="14">
    <mergeCell ref="DH3:DM3"/>
    <mergeCell ref="CJ1:CO1"/>
    <mergeCell ref="CP1:CU1"/>
    <mergeCell ref="CV1:DA1"/>
    <mergeCell ref="DB1:DG1"/>
    <mergeCell ref="DH1:DM1"/>
    <mergeCell ref="CJ6:CO6"/>
    <mergeCell ref="CP6:CU6"/>
    <mergeCell ref="CV6:DA6"/>
    <mergeCell ref="DB6:DG6"/>
    <mergeCell ref="CJ3:CO3"/>
    <mergeCell ref="CP3:CU3"/>
    <mergeCell ref="CV3:DA3"/>
    <mergeCell ref="DB3:DG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DY9"/>
  <sheetViews>
    <sheetView workbookViewId="0">
      <selection activeCell="CP2" sqref="CP2"/>
    </sheetView>
  </sheetViews>
  <sheetFormatPr defaultRowHeight="15" x14ac:dyDescent="0.25"/>
  <sheetData>
    <row r="1" spans="1:129" x14ac:dyDescent="0.25">
      <c r="A1" s="3999"/>
      <c r="B1" s="1" t="s">
        <v>84</v>
      </c>
      <c r="C1" s="1" t="s">
        <v>1</v>
      </c>
      <c r="D1" s="1" t="s">
        <v>183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3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4" t="s">
        <v>5</v>
      </c>
      <c r="S1" s="4" t="s">
        <v>6</v>
      </c>
      <c r="T1" s="4" t="s">
        <v>7</v>
      </c>
      <c r="U1" s="4" t="s">
        <v>8</v>
      </c>
      <c r="V1" s="4" t="s">
        <v>9</v>
      </c>
      <c r="W1" s="4" t="s">
        <v>10</v>
      </c>
      <c r="X1" s="4" t="s">
        <v>11</v>
      </c>
      <c r="Y1" s="4" t="s">
        <v>12</v>
      </c>
      <c r="Z1" s="5" t="s">
        <v>13</v>
      </c>
      <c r="AA1" s="4" t="s">
        <v>14</v>
      </c>
      <c r="AB1" s="4" t="s">
        <v>15</v>
      </c>
      <c r="AC1" s="4" t="s">
        <v>16</v>
      </c>
      <c r="AD1" s="4" t="s">
        <v>17</v>
      </c>
      <c r="AE1" s="8" t="s">
        <v>5</v>
      </c>
      <c r="AF1" s="8" t="s">
        <v>6</v>
      </c>
      <c r="AG1" s="8" t="s">
        <v>7</v>
      </c>
      <c r="AH1" s="8" t="s">
        <v>8</v>
      </c>
      <c r="AI1" s="8" t="s">
        <v>9</v>
      </c>
      <c r="AJ1" s="8" t="s">
        <v>10</v>
      </c>
      <c r="AK1" s="8" t="s">
        <v>11</v>
      </c>
      <c r="AL1" s="8" t="s">
        <v>12</v>
      </c>
      <c r="AM1" s="9" t="s">
        <v>13</v>
      </c>
      <c r="AN1" s="8" t="s">
        <v>14</v>
      </c>
      <c r="AO1" s="8" t="s">
        <v>15</v>
      </c>
      <c r="AP1" s="8" t="s">
        <v>16</v>
      </c>
      <c r="AQ1" s="8" t="s">
        <v>17</v>
      </c>
      <c r="CJ1" s="4177" t="s">
        <v>1100</v>
      </c>
      <c r="CK1" s="4177"/>
      <c r="CL1" s="4177"/>
      <c r="CM1" s="4177"/>
      <c r="CN1" s="4177"/>
      <c r="CO1" s="4177"/>
      <c r="CP1" s="4196" t="s">
        <v>1350</v>
      </c>
      <c r="CQ1" s="4179"/>
      <c r="CR1" s="4179"/>
      <c r="CS1" s="4179"/>
      <c r="CT1" s="4179"/>
      <c r="CU1" s="4179"/>
      <c r="CV1" s="4178" t="s">
        <v>1101</v>
      </c>
      <c r="CW1" s="4178"/>
      <c r="CX1" s="4178"/>
      <c r="CY1" s="4178"/>
      <c r="CZ1" s="4178"/>
      <c r="DA1" s="4178"/>
      <c r="DB1" s="4176" t="s">
        <v>1102</v>
      </c>
      <c r="DC1" s="4176"/>
      <c r="DD1" s="4176"/>
      <c r="DE1" s="4176"/>
      <c r="DF1" s="4176"/>
      <c r="DG1" s="4176"/>
      <c r="DH1" s="4178" t="s">
        <v>1104</v>
      </c>
      <c r="DI1" s="4178"/>
      <c r="DJ1" s="4178"/>
      <c r="DK1" s="4178"/>
      <c r="DL1" s="4178"/>
      <c r="DM1" s="4178"/>
      <c r="DN1" s="3999"/>
      <c r="DO1" s="3999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</row>
    <row r="2" spans="1:129" x14ac:dyDescent="0.25"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AVERAGE(B3)</f>
        <v>#DIV/0!</v>
      </c>
      <c r="CQ2" s="1" t="e">
        <f>AVERAGE(C3)</f>
        <v>#DIV/0!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3999"/>
      <c r="DO2" s="3999"/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</row>
    <row r="3" spans="1:129" x14ac:dyDescent="0.25">
      <c r="CJ3" s="4151" t="e">
        <f>_xlfn.AGGREGATE(1,6,CJ2:CO2)</f>
        <v>#DIV/0!</v>
      </c>
      <c r="CK3" s="4151"/>
      <c r="CL3" s="4151"/>
      <c r="CM3" s="4151"/>
      <c r="CN3" s="4151"/>
      <c r="CO3" s="4151"/>
      <c r="CP3" s="4151" t="e">
        <f t="shared" ref="CP3" si="1">_xlfn.AGGREGATE(1,6,CP2:CU2)</f>
        <v>#DIV/0!</v>
      </c>
      <c r="CQ3" s="4151"/>
      <c r="CR3" s="4151"/>
      <c r="CS3" s="4151"/>
      <c r="CT3" s="4151"/>
      <c r="CU3" s="4151"/>
      <c r="CV3" s="4151" t="e">
        <f t="shared" ref="CV3" si="2">_xlfn.AGGREGATE(1,6,CV2:DA2)</f>
        <v>#DIV/0!</v>
      </c>
      <c r="CW3" s="4151"/>
      <c r="CX3" s="4151"/>
      <c r="CY3" s="4151"/>
      <c r="CZ3" s="4151"/>
      <c r="DA3" s="4151"/>
      <c r="DB3" s="4151" t="e">
        <f t="shared" ref="DB3" si="3">_xlfn.AGGREGATE(1,6,DB2:DG2)</f>
        <v>#DIV/0!</v>
      </c>
      <c r="DC3" s="4151"/>
      <c r="DD3" s="4151"/>
      <c r="DE3" s="4151"/>
      <c r="DF3" s="4151"/>
      <c r="DG3" s="4151"/>
      <c r="DH3" s="4151" t="e">
        <f t="shared" ref="DH3" si="4">_xlfn.AGGREGATE(1,6,DH2:DM2)</f>
        <v>#DIV/0!</v>
      </c>
      <c r="DI3" s="4151"/>
      <c r="DJ3" s="4151"/>
      <c r="DK3" s="4151"/>
      <c r="DL3" s="4151"/>
      <c r="DM3" s="4151"/>
      <c r="DN3" s="3999"/>
      <c r="DO3" s="3999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</row>
    <row r="4" spans="1:129" x14ac:dyDescent="0.25">
      <c r="CJ4" s="4176" t="s">
        <v>1099</v>
      </c>
      <c r="CK4" s="4176"/>
      <c r="CL4" s="4176"/>
      <c r="CM4" s="4176"/>
      <c r="CN4" s="4176"/>
      <c r="CO4" s="4176"/>
      <c r="CP4" s="4174" t="s">
        <v>994</v>
      </c>
      <c r="CQ4" s="4174"/>
      <c r="CR4" s="4174"/>
      <c r="CS4" s="4174"/>
      <c r="CT4" s="4174"/>
      <c r="CU4" s="4174"/>
      <c r="CV4" s="4176" t="s">
        <v>1103</v>
      </c>
      <c r="CW4" s="4176"/>
      <c r="CX4" s="4176"/>
      <c r="CY4" s="4176"/>
      <c r="CZ4" s="4176"/>
      <c r="DA4" s="4176"/>
      <c r="DB4" s="4175" t="s">
        <v>1105</v>
      </c>
      <c r="DC4" s="4174"/>
      <c r="DD4" s="4174"/>
      <c r="DE4" s="4174"/>
      <c r="DF4" s="4174"/>
      <c r="DG4" s="4174"/>
      <c r="DT4" s="3999"/>
      <c r="DU4" s="3999"/>
      <c r="DV4" s="3999"/>
      <c r="DW4" s="3999"/>
      <c r="DX4" s="3999"/>
      <c r="DY4" s="3999"/>
    </row>
    <row r="5" spans="1:129" x14ac:dyDescent="0.25">
      <c r="CJ5" s="3999"/>
      <c r="CK5" s="3999"/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</row>
    <row r="6" spans="1:129" x14ac:dyDescent="0.25">
      <c r="CJ6" s="3999"/>
      <c r="CK6" s="3999"/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</row>
    <row r="7" spans="1:129" x14ac:dyDescent="0.25">
      <c r="CJ7" s="3999"/>
      <c r="CK7" s="3999"/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</row>
    <row r="8" spans="1:129" x14ac:dyDescent="0.25">
      <c r="CJ8" s="3999"/>
      <c r="CK8" s="3999"/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</row>
    <row r="9" spans="1:129" x14ac:dyDescent="0.25">
      <c r="CP9" s="3999"/>
      <c r="CQ9" s="3999"/>
      <c r="CR9" s="3999"/>
      <c r="CS9" s="3999"/>
      <c r="CT9" s="3999"/>
      <c r="CU9" s="3999"/>
      <c r="DH9" s="3999"/>
      <c r="DI9" s="3999"/>
      <c r="DJ9" s="3999"/>
      <c r="DK9" s="3999"/>
      <c r="DL9" s="3999"/>
      <c r="DM9" s="3999"/>
    </row>
  </sheetData>
  <mergeCells count="14">
    <mergeCell ref="CJ4:CO4"/>
    <mergeCell ref="CP4:CU4"/>
    <mergeCell ref="CV4:DA4"/>
    <mergeCell ref="DB4:DG4"/>
    <mergeCell ref="CJ3:CO3"/>
    <mergeCell ref="CP3:CU3"/>
    <mergeCell ref="CV3:DA3"/>
    <mergeCell ref="DB3:DG3"/>
    <mergeCell ref="DH3:DM3"/>
    <mergeCell ref="CJ1:CO1"/>
    <mergeCell ref="CP1:CU1"/>
    <mergeCell ref="CV1:DA1"/>
    <mergeCell ref="DB1:DG1"/>
    <mergeCell ref="DH1:DM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B1:AS11"/>
  <sheetViews>
    <sheetView workbookViewId="0">
      <selection activeCell="H9" sqref="H9"/>
    </sheetView>
  </sheetViews>
  <sheetFormatPr defaultRowHeight="15" x14ac:dyDescent="0.25"/>
  <cols>
    <col min="2" max="2" width="10" customWidth="1"/>
    <col min="3" max="3" width="11.85546875" customWidth="1"/>
  </cols>
  <sheetData>
    <row r="1" spans="2:45" x14ac:dyDescent="0.25">
      <c r="B1" s="1" t="s">
        <v>84</v>
      </c>
      <c r="C1" s="1" t="s">
        <v>1</v>
      </c>
      <c r="D1" s="1" t="s">
        <v>183</v>
      </c>
      <c r="J1" s="3999"/>
    </row>
    <row r="3" spans="2:45" x14ac:dyDescent="0.25">
      <c r="J3" s="4168" t="s">
        <v>1346</v>
      </c>
      <c r="K3" s="4169"/>
      <c r="L3" s="4169"/>
      <c r="M3" s="4169"/>
      <c r="N3" s="4170" t="s">
        <v>1347</v>
      </c>
      <c r="O3" s="4171"/>
      <c r="P3" s="4171"/>
      <c r="Q3" s="4171"/>
      <c r="R3" s="4175" t="s">
        <v>1348</v>
      </c>
      <c r="S3" s="4152"/>
      <c r="T3" s="4152"/>
      <c r="U3" s="4152"/>
      <c r="V3" s="4176" t="s">
        <v>1349</v>
      </c>
      <c r="W3" s="4152"/>
      <c r="X3" s="4152"/>
      <c r="Y3" s="4152"/>
      <c r="AH3" s="3999"/>
      <c r="AI3" s="3999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2:45" x14ac:dyDescent="0.25">
      <c r="J4" s="1" t="e">
        <f>AVERAGE(D6,D8,D10,D11,D13,D14,D16,D17,D23,D30,D42,D50,D53,D55,D60,D66,D70,D77,D79,D84,D97,D101,D106,D109,D115,D119,D126,D134,D136,D138,D145,D149,D167,D171,D173,D174,D184,D190,D193,D194,D201,D207,D208,D210,D212,D215,D217,D221,D227,D229,D233,D234,D238,D241,D247,D251)</f>
        <v>#DIV/0!</v>
      </c>
      <c r="K4" s="1" t="e">
        <f t="shared" ref="K4:M4" si="0">AVERAGE(E6,E8,E10,E11,E13,E14,E16,E17,E23,E30,E42,E50,E53,E55,E60,E66,E70,E77,E79,E84,E97,E101,E106,E109,E115,E119,E126,E134,E136,E138,E145,E149,E167,E171,E173,E174,E184,E190,E193,E194,E201,E207,E208,E210,E212,E215,E217,E221,E227,E229,E233,E234,E238,E241,E247,E251)</f>
        <v>#DIV/0!</v>
      </c>
      <c r="L4" s="1" t="e">
        <f t="shared" si="0"/>
        <v>#DIV/0!</v>
      </c>
      <c r="M4" s="1" t="e">
        <f t="shared" si="0"/>
        <v>#DIV/0!</v>
      </c>
      <c r="N4" s="1" t="e">
        <f>AVERAGE(D3,D5,D18,D27,D28,D32,D34,D36,D44,D56,D61,D63,D69,D75,D88,D96,D99,D105,D111,D116,D117,D128,D133,D139,D144,D147,D158,D162,D163,D164,D165,D166,D172,D177,D183,D195,D200,D202,D203,D206,D214,D218,D225,D232,D244,D250,D252,D254)</f>
        <v>#DIV/0!</v>
      </c>
      <c r="O4" s="1" t="e">
        <f t="shared" ref="O4:Q4" si="1">AVERAGE(E3,E5,E18,E27,E28,E32,E34,E36,E44,E56,E61,E63,E69,E75,E88,E96,E99,E105,E111,E116,E117,E128,E133,E139,E144,E147,E158,E162,E163,E164,E165,E166,E172,E177,E183,E195,E200,E202,E203,E206,E214,E218,E225,E232,E244,E250,E252,E254)</f>
        <v>#DIV/0!</v>
      </c>
      <c r="P4" s="1" t="e">
        <f t="shared" si="1"/>
        <v>#DIV/0!</v>
      </c>
      <c r="Q4" s="1" t="e">
        <f t="shared" si="1"/>
        <v>#DIV/0!</v>
      </c>
      <c r="R4" s="1" t="e">
        <f>AVERAGE(D21,D24,D39,D40,D47,D49,D51,D52,D65,D80,D82,D92,D93,D112,D130,D140,D148,D150,D153,D154,D155,D157,D161,D181,D196,D204,D222,D223,D231,D239,D243,D249,D256)</f>
        <v>#DIV/0!</v>
      </c>
      <c r="S4" s="1" t="e">
        <f>AVERAGE(E21,E24,E39,E40,E47,E49,E51,E52,E65,E80,E82,E92,E93,E112,E130,E140,E148,E150,E153,E154,E155,E157,E161,E181,E196,E204,E222,E223,E231,E239,E243,E249,E256)</f>
        <v>#DIV/0!</v>
      </c>
      <c r="T4" s="1" t="e">
        <f>AVERAGE(F21,F24,F39,F40,F47,F49,F51,F52,F65,F80,F82,F92,F93,F112,F130,F140,F148,F150,F153,F154,F155,F157,F161,F181,F196,F204,F222,F223,F231,F239,F243,F249,F256)</f>
        <v>#DIV/0!</v>
      </c>
      <c r="U4" s="1" t="e">
        <f>AVERAGE(G21,G24,G39,G40,G47,G49,G51,G52,G65,G80,G82,G92,G93,G112,G130,G140,G148,G150,G153,G154,G155,G157,G161,G181,G196,G204,G222,G223,G231,G239,G243,G249,G256)</f>
        <v>#DIV/0!</v>
      </c>
      <c r="V4" s="1" t="e">
        <f>AVERAGE(D9,D15,D25,D26,D37,D38,D45,D48,D59,D64,D73,D78,D86,D94,D95,D98,D113,D121,D123,D131,D142,D156,D160,D170,D175,D185,D191,D236,D242,D246,D248)</f>
        <v>#DIV/0!</v>
      </c>
      <c r="W4" s="1" t="e">
        <f>AVERAGE(E9,E15,E25,E26,E37,E38,E45,E48,E59,E64,E73,E78,E86,E94,E95,E98,E113,E121,E123,E131,E142,E156,E160,E170,E175,E185,E191,E236,E242,E246,E248)</f>
        <v>#DIV/0!</v>
      </c>
      <c r="X4" s="1" t="e">
        <f>AVERAGE(F9,F15,F25,F26,F37,F38,F45,F48,F59,F64,F73,F78,F86,F94,F95,F98,F113,F121,F123,F131,F142,F156,F160,F170,F175,F185,F191,F236,F242,F246,F248)</f>
        <v>#DIV/0!</v>
      </c>
      <c r="Y4" s="1" t="e">
        <f>AVERAGE(G9,G15,G25,G26,G37,G38,G45,G48,G59,G64,G73,G78,G86,G94,G95,G98,G113,G121,G123,G131,G142,G156,G160,G170,G175,G185,G191,G236,G242,G246,G248)</f>
        <v>#DIV/0!</v>
      </c>
      <c r="AH4" s="3999"/>
      <c r="AI4" s="3999"/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2:45" x14ac:dyDescent="0.25">
      <c r="J5" s="4167" t="e">
        <f>AVERAGE(J4:K4)</f>
        <v>#DIV/0!</v>
      </c>
      <c r="K5" s="4167"/>
      <c r="L5" s="4167"/>
      <c r="M5" s="4167"/>
      <c r="N5" s="4167" t="e">
        <f>AVERAGE(N4:O4)</f>
        <v>#DIV/0!</v>
      </c>
      <c r="O5" s="4167"/>
      <c r="P5" s="4167"/>
      <c r="Q5" s="4167"/>
      <c r="R5" s="4167" t="e">
        <f>AVERAGE(R4:S4)</f>
        <v>#DIV/0!</v>
      </c>
      <c r="S5" s="4167"/>
      <c r="T5" s="4167"/>
      <c r="U5" s="4167"/>
      <c r="V5" s="4167" t="e">
        <f>AVERAGE(V4:W4)</f>
        <v>#DIV/0!</v>
      </c>
      <c r="W5" s="4167"/>
      <c r="X5" s="4167"/>
      <c r="Y5" s="4167"/>
      <c r="AH5" s="3999"/>
      <c r="AI5" s="3999"/>
      <c r="AJ5" s="3999"/>
      <c r="AK5" s="3999"/>
      <c r="AL5" s="3999"/>
      <c r="AM5" s="3999"/>
      <c r="AN5" s="3999"/>
      <c r="AO5" s="3999"/>
      <c r="AP5" s="3999"/>
      <c r="AQ5" s="3999"/>
      <c r="AR5" s="3999"/>
      <c r="AS5" s="3999"/>
    </row>
    <row r="6" spans="2:45" x14ac:dyDescent="0.25">
      <c r="V6" s="3999"/>
      <c r="W6" s="3999"/>
      <c r="X6" s="3999"/>
      <c r="Y6" s="3999"/>
      <c r="AH6" s="3999"/>
      <c r="AI6" s="3999"/>
      <c r="AJ6" s="3999"/>
      <c r="AK6" s="3999"/>
      <c r="AL6" s="3999"/>
      <c r="AM6" s="3999"/>
      <c r="AN6" s="3999"/>
      <c r="AO6" s="3999"/>
      <c r="AP6" s="3999"/>
      <c r="AQ6" s="3999"/>
      <c r="AR6" s="3999"/>
      <c r="AS6" s="3999"/>
    </row>
    <row r="7" spans="2:45" x14ac:dyDescent="0.25">
      <c r="V7" s="3999"/>
      <c r="W7" s="3999"/>
      <c r="X7" s="3999"/>
      <c r="Y7" s="3999"/>
    </row>
    <row r="8" spans="2:45" x14ac:dyDescent="0.25">
      <c r="V8" s="3999"/>
      <c r="W8" s="3999"/>
      <c r="X8" s="3999"/>
      <c r="Y8" s="3999"/>
    </row>
    <row r="9" spans="2:45" x14ac:dyDescent="0.25">
      <c r="V9" s="3999"/>
      <c r="W9" s="3999"/>
      <c r="X9" s="3999"/>
      <c r="Y9" s="3999"/>
    </row>
    <row r="10" spans="2:45" x14ac:dyDescent="0.25">
      <c r="V10" s="3999"/>
      <c r="W10" s="3999"/>
      <c r="X10" s="3999"/>
      <c r="Y10" s="3999"/>
    </row>
    <row r="11" spans="2:45" x14ac:dyDescent="0.25">
      <c r="V11" s="3999"/>
      <c r="W11" s="3999"/>
      <c r="X11" s="3999"/>
      <c r="Y11" s="3999"/>
    </row>
  </sheetData>
  <mergeCells count="8">
    <mergeCell ref="J5:M5"/>
    <mergeCell ref="N5:Q5"/>
    <mergeCell ref="R5:U5"/>
    <mergeCell ref="V5:Y5"/>
    <mergeCell ref="J3:M3"/>
    <mergeCell ref="N3:Q3"/>
    <mergeCell ref="R3:U3"/>
    <mergeCell ref="V3:Y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2026-01-02T18:21:54Z</dcterms:modified>
</cp:coreProperties>
</file>